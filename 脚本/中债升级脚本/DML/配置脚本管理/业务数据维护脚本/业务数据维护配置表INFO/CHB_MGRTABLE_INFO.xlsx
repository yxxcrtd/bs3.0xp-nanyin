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Sheet1!$B$1:$G$1</definedName>
  </definedNames>
  <calcPr calcId="152511" concurrentCalc="0"/>
</workbook>
</file>

<file path=xl/calcChain.xml><?xml version="1.0" encoding="utf-8"?>
<calcChain xmlns="http://schemas.openxmlformats.org/spreadsheetml/2006/main">
  <c r="H29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4" i="1"/>
</calcChain>
</file>

<file path=xl/sharedStrings.xml><?xml version="1.0" encoding="utf-8"?>
<sst xmlns="http://schemas.openxmlformats.org/spreadsheetml/2006/main" count="137" uniqueCount="78">
  <si>
    <t>序号</t>
  </si>
  <si>
    <t>主键UUID</t>
  </si>
  <si>
    <t>待维护表名称</t>
  </si>
  <si>
    <t>待维护表中文名称</t>
  </si>
  <si>
    <t>待维护表对应接口</t>
  </si>
  <si>
    <t>数据状态，E:有效，D:删除</t>
  </si>
  <si>
    <t>HEADER_NUM</t>
  </si>
  <si>
    <t>默认值</t>
    <phoneticPr fontId="2" type="noConversion"/>
  </si>
  <si>
    <t>MGRTABLE_NAME</t>
  </si>
  <si>
    <t>MGRTABLE_CHI_NAME</t>
  </si>
  <si>
    <t>DATAOBJECT</t>
  </si>
  <si>
    <t>STATUS</t>
  </si>
  <si>
    <t>CHB_MGRTABLE_INFO</t>
    <phoneticPr fontId="2" type="noConversion"/>
  </si>
  <si>
    <t>MGRTABLE_ID</t>
    <phoneticPr fontId="2" type="noConversion"/>
  </si>
  <si>
    <t>CHB_PRD_DECLARE_INFO</t>
  </si>
  <si>
    <t>产品申报信息表</t>
  </si>
  <si>
    <t>E</t>
  </si>
  <si>
    <t>CHB_LOAN_DETAIL_INFO</t>
  </si>
  <si>
    <t>资产收益权贷款明细基本信息表</t>
  </si>
  <si>
    <t>CHB_ASSET_INFO</t>
  </si>
  <si>
    <t>资产要素信息</t>
  </si>
  <si>
    <t>CHB_PRD_FEE_DEAL</t>
  </si>
  <si>
    <t>产品费用交易信息</t>
  </si>
  <si>
    <t>CHB_ASSETS_BASIS_DATA</t>
  </si>
  <si>
    <t>资产基础指标数据</t>
  </si>
  <si>
    <t>CHB_MST_COUNTER_PARTY</t>
  </si>
  <si>
    <t>交易对手信息</t>
  </si>
  <si>
    <t>CHB_COUNTER_PARTY</t>
  </si>
  <si>
    <t>CHB_PRD_PERIODYIELD</t>
  </si>
  <si>
    <t>产品收益率净值信息</t>
  </si>
  <si>
    <t>CHB_PRD_BASEINFO</t>
  </si>
  <si>
    <t>产品基本信息</t>
  </si>
  <si>
    <t>CHB_INVEST_TRADE</t>
  </si>
  <si>
    <t>投资交易信息</t>
  </si>
  <si>
    <t>CHB_PRD_OPENSCH</t>
  </si>
  <si>
    <t>产品开放计划</t>
  </si>
  <si>
    <t>BOK_BALANCE</t>
  </si>
  <si>
    <t>科目余额数据</t>
  </si>
  <si>
    <t>MST_BOND_CREDIT_RATING</t>
  </si>
  <si>
    <t>债券评级信息</t>
  </si>
  <si>
    <t>CHB_INTERF_ERRODATA</t>
  </si>
  <si>
    <t>错误信息表</t>
  </si>
  <si>
    <t>CHB_BOT_AST_POS</t>
  </si>
  <si>
    <t>资管计划底层资产持仓</t>
  </si>
  <si>
    <t>CHB_ASSET_POSITION</t>
  </si>
  <si>
    <t>资产每日头寸</t>
  </si>
  <si>
    <t>CHB_PRD_POSITION</t>
  </si>
  <si>
    <t>产品每日头寸</t>
  </si>
  <si>
    <t>CHB_MONTH_FEE_POSITION</t>
  </si>
  <si>
    <t>月报费用头寸</t>
  </si>
  <si>
    <t>CHB_MONTH_ASSET_POSITION</t>
  </si>
  <si>
    <t>月报资产头寸</t>
  </si>
  <si>
    <t>CHB_MONTH_PRD_POSITION</t>
  </si>
  <si>
    <t>月报产品头寸</t>
  </si>
  <si>
    <t>PBC_MONTH_ASSET_POSITION</t>
  </si>
  <si>
    <t>人行资产头寸</t>
  </si>
  <si>
    <t>PBC_MONTH_PRD_POSITION</t>
  </si>
  <si>
    <t>人行产品头寸</t>
  </si>
  <si>
    <t>CHB_PRD_BONUS_DEAL</t>
  </si>
  <si>
    <t>产品分红交易</t>
  </si>
  <si>
    <t>CHB_PRD_DEAL</t>
  </si>
  <si>
    <t>投资者交易信息</t>
  </si>
  <si>
    <t>MST_BOND_CREDIT_RATING</t>
    <phoneticPr fontId="2" type="noConversion"/>
  </si>
  <si>
    <t>SALE_CUST_SVRREPORT</t>
  </si>
  <si>
    <t>监管区域客户组别</t>
  </si>
  <si>
    <t>CHB_CPROD_BALANCE</t>
    <phoneticPr fontId="2" type="noConversion"/>
  </si>
  <si>
    <t>周期型产品余额接口数</t>
    <phoneticPr fontId="2" type="noConversion"/>
  </si>
  <si>
    <t>CHB_CPROD_BALANCE</t>
    <phoneticPr fontId="2" type="noConversion"/>
  </si>
  <si>
    <t>E</t>
    <phoneticPr fontId="2" type="noConversion"/>
  </si>
  <si>
    <t>delete from CHB_MGRTABLE_INFO where  MGRTABLE_ID in('CHB_PRD_DECLARE_INFO',
'CHB_PRD_BASEINFO',
'CHB_INVEST_TRADE',
'CHB_MST_COUNTER_PARTY',
'CHB_PRD_OPENSCH',
'CHB_PRD_PERIODYIELD',
'CHB_PRD_FEE_DEAL',
'CHB_LOAN_DETAIL_INFO',
'CHB_ASSET_INFO',
'CHB_BOT_AST_POS',
'CHB_PRD_BONUS_DEAL',
'MST_BOND_CREDIT_RATING',
'SALE_CUST_SVRREPORT',
'CHB_INTERF_ERRODATA',
'CHB_ASSETS_BASIS_DATA',
'BOK_BALANCE',
'CHB_ASSET_POSITION',
'CHB_PRD_POSITION',
'CHB_MONTH_FEE_POSITION',
'CHB_MONTH_ASSET_POSITION',
'CHB_MONTH_PRD_POSITION',
'PBC_MONTH_ASSET_POSITION',
'PBC_MONTH_PRD_POSITION',
'CHB_PRD_DEAL',
'CHB_CPROD_BALANCE'
);</t>
    <phoneticPr fontId="2" type="noConversion"/>
  </si>
  <si>
    <t>BOK_BALANCE</t>
    <phoneticPr fontId="2" type="noConversion"/>
  </si>
  <si>
    <t>CHB_ASSETS_BASIS_DATA</t>
    <phoneticPr fontId="2" type="noConversion"/>
  </si>
  <si>
    <t>CHB_EMPLOYEE_INFO</t>
  </si>
  <si>
    <t>从业人员信息</t>
  </si>
  <si>
    <t>CHB_EMPLOYEE_INFO</t>
    <phoneticPr fontId="2" type="noConversion"/>
  </si>
  <si>
    <t>CHB_SUBJECT_BALANCE</t>
    <phoneticPr fontId="2" type="noConversion"/>
  </si>
  <si>
    <t>CHB_ASSET_INDEX</t>
    <phoneticPr fontId="2" type="noConversion"/>
  </si>
  <si>
    <t>CHB_PRD_DECLARE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</si>
</sst>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2"/>
      <scheme val="minor"/>
    </font>
    <font>
      <b/>
      <sz val="10"/>
      <color theme="1"/>
      <name val="宋体"/>
      <family val="3"/>
      <charset val="134"/>
      <scheme val="minor"/>
    </font>
    <font>
      <sz val="10"/>
      <color rgb="FF333333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Border="1" applyAlignment="1">
      <alignment horizontal="center" vertical="center" wrapText="1"/>
    </xf>
    <xf numFmtId="0" fontId="3" fillId="0" borderId="0" xfId="0" applyFont="1"/>
    <xf numFmtId="0" fontId="3" fillId="3" borderId="0" xfId="0" applyFont="1" applyFill="1"/>
    <xf numFmtId="0" fontId="5" fillId="0" borderId="0" xfId="0" applyFont="1" applyBorder="1" applyAlignment="1">
      <alignment vertical="center"/>
    </xf>
    <xf numFmtId="0" fontId="1" fillId="0" borderId="0" xfId="0" applyFont="1" applyBorder="1"/>
    <xf numFmtId="0" fontId="5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1" fillId="0" borderId="0" xfId="0" applyFont="1" applyFill="1"/>
    <xf numFmtId="0" fontId="3" fillId="5" borderId="0" xfId="0" applyFont="1" applyFill="1"/>
    <xf numFmtId="0" fontId="3" fillId="4" borderId="0" xfId="0" applyFont="1" applyFill="1"/>
    <xf numFmtId="0" fontId="1" fillId="4" borderId="0" xfId="0" applyFont="1" applyFill="1"/>
    <xf numFmtId="0" fontId="3" fillId="0" borderId="0" xfId="0" applyFont="1" applyFill="1"/>
    <xf numFmtId="0" fontId="3" fillId="0" borderId="0" xfId="0" applyFont="1" applyAlignment="1"/>
    <xf numFmtId="0" fontId="4" fillId="4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abSelected="1" workbookViewId="0">
      <selection activeCell="E12" sqref="E12"/>
    </sheetView>
  </sheetViews>
  <sheetFormatPr defaultRowHeight="12" x14ac:dyDescent="0.15"/>
  <cols>
    <col min="1" max="1" width="9" style="2"/>
    <col min="2" max="3" width="26.125" style="2" bestFit="1" customWidth="1"/>
    <col min="4" max="4" width="19.375" style="2" bestFit="1" customWidth="1"/>
    <col min="5" max="5" width="26.125" style="2" bestFit="1" customWidth="1"/>
    <col min="6" max="6" width="25.75" style="2" bestFit="1" customWidth="1"/>
    <col min="7" max="7" width="11.625" style="2" bestFit="1" customWidth="1"/>
    <col min="8" max="16384" width="9" style="2"/>
  </cols>
  <sheetData>
    <row r="1" spans="1:8" x14ac:dyDescent="0.15">
      <c r="B1" s="3" t="s">
        <v>13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6</v>
      </c>
    </row>
    <row r="2" spans="1:8" x14ac:dyDescent="0.15">
      <c r="A2" s="1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7</v>
      </c>
    </row>
    <row r="3" spans="1:8" x14ac:dyDescent="0.15">
      <c r="A3" s="14" t="s">
        <v>12</v>
      </c>
      <c r="B3" s="14"/>
      <c r="C3" s="14"/>
      <c r="D3" s="14"/>
      <c r="E3" s="14"/>
      <c r="F3" s="14"/>
      <c r="G3" s="14"/>
      <c r="H3" s="13" t="s">
        <v>69</v>
      </c>
    </row>
    <row r="4" spans="1:8" ht="17.25" customHeight="1" x14ac:dyDescent="0.15">
      <c r="A4" s="2">
        <v>1</v>
      </c>
      <c r="B4" s="2" t="s">
        <v>14</v>
      </c>
      <c r="C4" s="2" t="s">
        <v>14</v>
      </c>
      <c r="D4" s="2" t="s">
        <v>15</v>
      </c>
      <c r="E4" s="2" t="s">
        <v>77</v>
      </c>
      <c r="F4" s="2" t="s">
        <v>16</v>
      </c>
      <c r="G4" s="2">
        <v>1</v>
      </c>
      <c r="H4" s="2" t="str">
        <f>CONCATENATE("insert into CHB_MGRTABLE_INFO (MGRTABLE_ID,MGRTABLE_NAME,MGRTABLE_CHI_NAME,DATAOBJECT,STATUS,HEADER_NUM) values ('",B4,"','",C4,"','",D4,"','",E4,"','",F4,"','",G4,"');")</f>
        <v>insert into CHB_MGRTABLE_INFO (MGRTABLE_ID,MGRTABLE_NAME,MGRTABLE_CHI_NAME,DATAOBJECT,STATUS,HEADER_NUM) values ('CHB_PRD_DECLARE_INFO','CHB_PRD_DECLARE_INFO','产品申报信息表','CHB_PRD_DECLARE','E','1');</v>
      </c>
    </row>
    <row r="5" spans="1:8" x14ac:dyDescent="0.15">
      <c r="A5" s="2">
        <v>2</v>
      </c>
      <c r="B5" s="4" t="s">
        <v>30</v>
      </c>
      <c r="C5" s="4" t="s">
        <v>30</v>
      </c>
      <c r="D5" s="5" t="s">
        <v>31</v>
      </c>
      <c r="E5" s="4" t="s">
        <v>30</v>
      </c>
      <c r="F5" s="2" t="s">
        <v>16</v>
      </c>
      <c r="G5" s="2">
        <v>1</v>
      </c>
      <c r="H5" s="2" t="str">
        <f t="shared" ref="H5:H29" si="0">CONCATENATE("insert into CHB_MGRTABLE_INFO (MGRTABLE_ID,MGRTABLE_NAME,MGRTABLE_CHI_NAME,DATAOBJECT,STATUS,HEADER_NUM) values ('",B5,"','",C5,"','",D5,"','",E5,"','",F5,"','",G5,"');")</f>
        <v>insert into CHB_MGRTABLE_INFO (MGRTABLE_ID,MGRTABLE_NAME,MGRTABLE_CHI_NAME,DATAOBJECT,STATUS,HEADER_NUM) values ('CHB_PRD_BASEINFO','CHB_PRD_BASEINFO','产品基本信息','CHB_PRD_BASEINFO','E','1');</v>
      </c>
    </row>
    <row r="6" spans="1:8" x14ac:dyDescent="0.15">
      <c r="A6" s="2">
        <v>3</v>
      </c>
      <c r="B6" s="2" t="s">
        <v>32</v>
      </c>
      <c r="C6" s="2" t="s">
        <v>32</v>
      </c>
      <c r="D6" s="2" t="s">
        <v>33</v>
      </c>
      <c r="E6" s="2" t="s">
        <v>32</v>
      </c>
      <c r="F6" s="2" t="s">
        <v>16</v>
      </c>
      <c r="G6" s="2">
        <v>1</v>
      </c>
      <c r="H6" s="2" t="str">
        <f t="shared" si="0"/>
        <v>insert into CHB_MGRTABLE_INFO (MGRTABLE_ID,MGRTABLE_NAME,MGRTABLE_CHI_NAME,DATAOBJECT,STATUS,HEADER_NUM) values ('CHB_INVEST_TRADE','CHB_INVEST_TRADE','投资交易信息','CHB_INVEST_TRADE','E','1');</v>
      </c>
    </row>
    <row r="7" spans="1:8" s="8" customFormat="1" x14ac:dyDescent="0.15">
      <c r="A7" s="12">
        <v>4</v>
      </c>
      <c r="B7" s="6" t="s">
        <v>25</v>
      </c>
      <c r="C7" s="6" t="s">
        <v>25</v>
      </c>
      <c r="D7" s="7" t="s">
        <v>26</v>
      </c>
      <c r="E7" s="6" t="s">
        <v>27</v>
      </c>
      <c r="F7" s="8" t="s">
        <v>16</v>
      </c>
      <c r="G7" s="8">
        <v>1</v>
      </c>
      <c r="H7" s="2" t="str">
        <f t="shared" si="0"/>
        <v>insert into CHB_MGRTABLE_INFO (MGRTABLE_ID,MGRTABLE_NAME,MGRTABLE_CHI_NAME,DATAOBJECT,STATUS,HEADER_NUM) values ('CHB_MST_COUNTER_PARTY','CHB_MST_COUNTER_PARTY','交易对手信息','CHB_COUNTER_PARTY','E','1');</v>
      </c>
    </row>
    <row r="8" spans="1:8" s="12" customFormat="1" x14ac:dyDescent="0.15">
      <c r="A8" s="12">
        <v>5</v>
      </c>
      <c r="B8" s="6" t="s">
        <v>34</v>
      </c>
      <c r="C8" s="6" t="s">
        <v>34</v>
      </c>
      <c r="D8" s="12" t="s">
        <v>35</v>
      </c>
      <c r="E8" s="6" t="s">
        <v>34</v>
      </c>
      <c r="F8" s="12" t="s">
        <v>16</v>
      </c>
      <c r="G8" s="12">
        <v>1</v>
      </c>
      <c r="H8" s="2" t="str">
        <f t="shared" si="0"/>
        <v>insert into CHB_MGRTABLE_INFO (MGRTABLE_ID,MGRTABLE_NAME,MGRTABLE_CHI_NAME,DATAOBJECT,STATUS,HEADER_NUM) values ('CHB_PRD_OPENSCH','CHB_PRD_OPENSCH','产品开放计划','CHB_PRD_OPENSCH','E','1');</v>
      </c>
    </row>
    <row r="9" spans="1:8" s="12" customFormat="1" x14ac:dyDescent="0.15">
      <c r="A9" s="12">
        <v>6</v>
      </c>
      <c r="B9" s="6" t="s">
        <v>28</v>
      </c>
      <c r="C9" s="6" t="s">
        <v>28</v>
      </c>
      <c r="D9" s="7" t="s">
        <v>29</v>
      </c>
      <c r="E9" s="6" t="s">
        <v>28</v>
      </c>
      <c r="F9" s="12" t="s">
        <v>16</v>
      </c>
      <c r="G9" s="12">
        <v>1</v>
      </c>
      <c r="H9" s="2" t="str">
        <f t="shared" si="0"/>
        <v>insert into CHB_MGRTABLE_INFO (MGRTABLE_ID,MGRTABLE_NAME,MGRTABLE_CHI_NAME,DATAOBJECT,STATUS,HEADER_NUM) values ('CHB_PRD_PERIODYIELD','CHB_PRD_PERIODYIELD','产品收益率净值信息','CHB_PRD_PERIODYIELD','E','1');</v>
      </c>
    </row>
    <row r="10" spans="1:8" s="12" customFormat="1" x14ac:dyDescent="0.15">
      <c r="A10" s="12">
        <v>7</v>
      </c>
      <c r="B10" s="6" t="s">
        <v>21</v>
      </c>
      <c r="C10" s="6" t="s">
        <v>21</v>
      </c>
      <c r="D10" s="7" t="s">
        <v>22</v>
      </c>
      <c r="E10" s="6" t="s">
        <v>21</v>
      </c>
      <c r="F10" s="12" t="s">
        <v>16</v>
      </c>
      <c r="G10" s="12">
        <v>1</v>
      </c>
      <c r="H10" s="2" t="str">
        <f t="shared" si="0"/>
        <v>insert into CHB_MGRTABLE_INFO (MGRTABLE_ID,MGRTABLE_NAME,MGRTABLE_CHI_NAME,DATAOBJECT,STATUS,HEADER_NUM) values ('CHB_PRD_FEE_DEAL','CHB_PRD_FEE_DEAL','产品费用交易信息','CHB_PRD_FEE_DEAL','E','1');</v>
      </c>
    </row>
    <row r="11" spans="1:8" ht="18" customHeight="1" x14ac:dyDescent="0.15">
      <c r="A11" s="2">
        <v>8</v>
      </c>
      <c r="B11" s="2" t="s">
        <v>17</v>
      </c>
      <c r="C11" s="2" t="s">
        <v>17</v>
      </c>
      <c r="D11" s="2" t="s">
        <v>18</v>
      </c>
      <c r="E11" s="2" t="s">
        <v>17</v>
      </c>
      <c r="F11" s="2" t="s">
        <v>16</v>
      </c>
      <c r="G11" s="2">
        <v>1</v>
      </c>
      <c r="H11" s="2" t="str">
        <f t="shared" si="0"/>
        <v>insert into CHB_MGRTABLE_INFO (MGRTABLE_ID,MGRTABLE_NAME,MGRTABLE_CHI_NAME,DATAOBJECT,STATUS,HEADER_NUM) values ('CHB_LOAN_DETAIL_INFO','CHB_LOAN_DETAIL_INFO','资产收益权贷款明细基本信息表','CHB_LOAN_DETAIL_INFO','E','1');</v>
      </c>
    </row>
    <row r="12" spans="1:8" x14ac:dyDescent="0.15">
      <c r="A12" s="2">
        <v>9</v>
      </c>
      <c r="B12" s="4" t="s">
        <v>19</v>
      </c>
      <c r="C12" s="4" t="s">
        <v>19</v>
      </c>
      <c r="D12" s="5" t="s">
        <v>20</v>
      </c>
      <c r="E12" s="4" t="s">
        <v>19</v>
      </c>
      <c r="F12" s="2" t="s">
        <v>16</v>
      </c>
      <c r="G12" s="2">
        <v>2</v>
      </c>
      <c r="H12" s="2" t="str">
        <f t="shared" si="0"/>
        <v>insert into CHB_MGRTABLE_INFO (MGRTABLE_ID,MGRTABLE_NAME,MGRTABLE_CHI_NAME,DATAOBJECT,STATUS,HEADER_NUM) values ('CHB_ASSET_INFO','CHB_ASSET_INFO','资产要素信息','CHB_ASSET_INFO','E','2');</v>
      </c>
    </row>
    <row r="13" spans="1:8" x14ac:dyDescent="0.15">
      <c r="A13" s="2">
        <v>10</v>
      </c>
      <c r="B13" s="2" t="s">
        <v>42</v>
      </c>
      <c r="C13" s="2" t="s">
        <v>42</v>
      </c>
      <c r="D13" s="2" t="s">
        <v>43</v>
      </c>
      <c r="E13" s="2" t="s">
        <v>42</v>
      </c>
      <c r="F13" s="2" t="s">
        <v>16</v>
      </c>
      <c r="G13" s="2">
        <v>1</v>
      </c>
      <c r="H13" s="2" t="str">
        <f t="shared" si="0"/>
        <v>insert into CHB_MGRTABLE_INFO (MGRTABLE_ID,MGRTABLE_NAME,MGRTABLE_CHI_NAME,DATAOBJECT,STATUS,HEADER_NUM) values ('CHB_BOT_AST_POS','CHB_BOT_AST_POS','资管计划底层资产持仓','CHB_BOT_AST_POS','E','1');</v>
      </c>
    </row>
    <row r="14" spans="1:8" s="12" customFormat="1" x14ac:dyDescent="0.15">
      <c r="A14" s="12">
        <v>11</v>
      </c>
      <c r="B14" s="12" t="s">
        <v>58</v>
      </c>
      <c r="C14" s="12" t="s">
        <v>58</v>
      </c>
      <c r="D14" s="12" t="s">
        <v>59</v>
      </c>
      <c r="E14" s="12" t="s">
        <v>58</v>
      </c>
      <c r="F14" s="12" t="s">
        <v>16</v>
      </c>
      <c r="G14" s="12">
        <v>1</v>
      </c>
      <c r="H14" s="2" t="str">
        <f t="shared" si="0"/>
        <v>insert into CHB_MGRTABLE_INFO (MGRTABLE_ID,MGRTABLE_NAME,MGRTABLE_CHI_NAME,DATAOBJECT,STATUS,HEADER_NUM) values ('CHB_PRD_BONUS_DEAL','CHB_PRD_BONUS_DEAL','产品分红交易','CHB_PRD_BONUS_DEAL','E','1');</v>
      </c>
    </row>
    <row r="15" spans="1:8" s="12" customFormat="1" x14ac:dyDescent="0.15">
      <c r="A15" s="12">
        <v>12</v>
      </c>
      <c r="B15" s="12" t="s">
        <v>62</v>
      </c>
      <c r="C15" s="12" t="s">
        <v>38</v>
      </c>
      <c r="D15" s="12" t="s">
        <v>39</v>
      </c>
      <c r="E15" s="12" t="s">
        <v>38</v>
      </c>
      <c r="F15" s="12" t="s">
        <v>16</v>
      </c>
      <c r="G15" s="12">
        <v>1</v>
      </c>
      <c r="H15" s="2" t="str">
        <f t="shared" si="0"/>
        <v>insert into CHB_MGRTABLE_INFO (MGRTABLE_ID,MGRTABLE_NAME,MGRTABLE_CHI_NAME,DATAOBJECT,STATUS,HEADER_NUM) values ('MST_BOND_CREDIT_RATING','MST_BOND_CREDIT_RATING','债券评级信息','MST_BOND_CREDIT_RATING','E','1');</v>
      </c>
    </row>
    <row r="16" spans="1:8" s="9" customFormat="1" x14ac:dyDescent="0.15">
      <c r="A16" s="9">
        <v>13</v>
      </c>
      <c r="B16" s="9" t="s">
        <v>63</v>
      </c>
      <c r="C16" s="9" t="s">
        <v>63</v>
      </c>
      <c r="D16" s="9" t="s">
        <v>64</v>
      </c>
      <c r="E16" s="9" t="s">
        <v>63</v>
      </c>
      <c r="F16" s="9" t="s">
        <v>16</v>
      </c>
      <c r="G16" s="9">
        <v>1</v>
      </c>
      <c r="H16" s="2" t="str">
        <f t="shared" si="0"/>
        <v>insert into CHB_MGRTABLE_INFO (MGRTABLE_ID,MGRTABLE_NAME,MGRTABLE_CHI_NAME,DATAOBJECT,STATUS,HEADER_NUM) values ('SALE_CUST_SVRREPORT','SALE_CUST_SVRREPORT','监管区域客户组别','SALE_CUST_SVRREPORT','E','1');</v>
      </c>
    </row>
    <row r="17" spans="1:8" x14ac:dyDescent="0.15">
      <c r="A17" s="2">
        <v>14</v>
      </c>
      <c r="B17" s="2" t="s">
        <v>40</v>
      </c>
      <c r="C17" s="2" t="s">
        <v>40</v>
      </c>
      <c r="D17" s="2" t="s">
        <v>41</v>
      </c>
      <c r="F17" s="2" t="s">
        <v>16</v>
      </c>
      <c r="G17" s="2">
        <v>1</v>
      </c>
      <c r="H17" s="2" t="str">
        <f t="shared" si="0"/>
        <v>insert into CHB_MGRTABLE_INFO (MGRTABLE_ID,MGRTABLE_NAME,MGRTABLE_CHI_NAME,DATAOBJECT,STATUS,HEADER_NUM) values ('CHB_INTERF_ERRODATA','CHB_INTERF_ERRODATA','错误信息表','','E','1');</v>
      </c>
    </row>
    <row r="18" spans="1:8" s="8" customFormat="1" x14ac:dyDescent="0.15">
      <c r="A18" s="12">
        <v>15</v>
      </c>
      <c r="B18" s="6" t="s">
        <v>23</v>
      </c>
      <c r="C18" s="6" t="s">
        <v>71</v>
      </c>
      <c r="D18" s="7" t="s">
        <v>24</v>
      </c>
      <c r="E18" s="6" t="s">
        <v>76</v>
      </c>
      <c r="F18" s="8" t="s">
        <v>16</v>
      </c>
      <c r="G18" s="8">
        <v>1</v>
      </c>
      <c r="H18" s="2" t="str">
        <f t="shared" si="0"/>
        <v>insert into CHB_MGRTABLE_INFO (MGRTABLE_ID,MGRTABLE_NAME,MGRTABLE_CHI_NAME,DATAOBJECT,STATUS,HEADER_NUM) values ('CHB_ASSETS_BASIS_DATA','CHB_ASSETS_BASIS_DATA','资产基础指标数据','CHB_ASSET_INDEX','E','1');</v>
      </c>
    </row>
    <row r="19" spans="1:8" s="8" customFormat="1" x14ac:dyDescent="0.15">
      <c r="A19" s="12">
        <v>16</v>
      </c>
      <c r="B19" s="8" t="s">
        <v>36</v>
      </c>
      <c r="C19" s="8" t="s">
        <v>70</v>
      </c>
      <c r="D19" s="8" t="s">
        <v>37</v>
      </c>
      <c r="E19" s="8" t="s">
        <v>75</v>
      </c>
      <c r="F19" s="8" t="s">
        <v>16</v>
      </c>
      <c r="G19" s="8">
        <v>1</v>
      </c>
      <c r="H19" s="2" t="str">
        <f t="shared" si="0"/>
        <v>insert into CHB_MGRTABLE_INFO (MGRTABLE_ID,MGRTABLE_NAME,MGRTABLE_CHI_NAME,DATAOBJECT,STATUS,HEADER_NUM) values ('BOK_BALANCE','BOK_BALANCE','科目余额数据','CHB_SUBJECT_BALANCE','E','1');</v>
      </c>
    </row>
    <row r="20" spans="1:8" s="11" customFormat="1" x14ac:dyDescent="0.15">
      <c r="A20" s="10">
        <v>17</v>
      </c>
      <c r="B20" s="11" t="s">
        <v>44</v>
      </c>
      <c r="C20" s="11" t="s">
        <v>44</v>
      </c>
      <c r="D20" s="11" t="s">
        <v>45</v>
      </c>
      <c r="F20" s="11" t="s">
        <v>16</v>
      </c>
      <c r="G20" s="11">
        <v>1</v>
      </c>
      <c r="H20" s="10" t="str">
        <f t="shared" si="0"/>
        <v>insert into CHB_MGRTABLE_INFO (MGRTABLE_ID,MGRTABLE_NAME,MGRTABLE_CHI_NAME,DATAOBJECT,STATUS,HEADER_NUM) values ('CHB_ASSET_POSITION','CHB_ASSET_POSITION','资产每日头寸','','E','1');</v>
      </c>
    </row>
    <row r="21" spans="1:8" s="11" customFormat="1" x14ac:dyDescent="0.15">
      <c r="A21" s="10">
        <v>18</v>
      </c>
      <c r="B21" s="11" t="s">
        <v>46</v>
      </c>
      <c r="C21" s="11" t="s">
        <v>46</v>
      </c>
      <c r="D21" s="11" t="s">
        <v>47</v>
      </c>
      <c r="F21" s="11" t="s">
        <v>16</v>
      </c>
      <c r="G21" s="11">
        <v>1</v>
      </c>
      <c r="H21" s="10" t="str">
        <f t="shared" si="0"/>
        <v>insert into CHB_MGRTABLE_INFO (MGRTABLE_ID,MGRTABLE_NAME,MGRTABLE_CHI_NAME,DATAOBJECT,STATUS,HEADER_NUM) values ('CHB_PRD_POSITION','CHB_PRD_POSITION','产品每日头寸','','E','1');</v>
      </c>
    </row>
    <row r="22" spans="1:8" s="11" customFormat="1" x14ac:dyDescent="0.15">
      <c r="A22" s="10">
        <v>19</v>
      </c>
      <c r="B22" s="11" t="s">
        <v>48</v>
      </c>
      <c r="C22" s="11" t="s">
        <v>48</v>
      </c>
      <c r="D22" s="11" t="s">
        <v>49</v>
      </c>
      <c r="F22" s="11" t="s">
        <v>16</v>
      </c>
      <c r="G22" s="11">
        <v>1</v>
      </c>
      <c r="H22" s="10" t="str">
        <f t="shared" si="0"/>
        <v>insert into CHB_MGRTABLE_INFO (MGRTABLE_ID,MGRTABLE_NAME,MGRTABLE_CHI_NAME,DATAOBJECT,STATUS,HEADER_NUM) values ('CHB_MONTH_FEE_POSITION','CHB_MONTH_FEE_POSITION','月报费用头寸','','E','1');</v>
      </c>
    </row>
    <row r="23" spans="1:8" s="11" customFormat="1" x14ac:dyDescent="0.15">
      <c r="A23" s="10">
        <v>20</v>
      </c>
      <c r="B23" s="11" t="s">
        <v>50</v>
      </c>
      <c r="C23" s="11" t="s">
        <v>50</v>
      </c>
      <c r="D23" s="11" t="s">
        <v>51</v>
      </c>
      <c r="F23" s="11" t="s">
        <v>16</v>
      </c>
      <c r="G23" s="11">
        <v>1</v>
      </c>
      <c r="H23" s="10" t="str">
        <f t="shared" si="0"/>
        <v>insert into CHB_MGRTABLE_INFO (MGRTABLE_ID,MGRTABLE_NAME,MGRTABLE_CHI_NAME,DATAOBJECT,STATUS,HEADER_NUM) values ('CHB_MONTH_ASSET_POSITION','CHB_MONTH_ASSET_POSITION','月报资产头寸','','E','1');</v>
      </c>
    </row>
    <row r="24" spans="1:8" s="11" customFormat="1" x14ac:dyDescent="0.15">
      <c r="A24" s="10">
        <v>21</v>
      </c>
      <c r="B24" s="11" t="s">
        <v>52</v>
      </c>
      <c r="C24" s="11" t="s">
        <v>52</v>
      </c>
      <c r="D24" s="11" t="s">
        <v>53</v>
      </c>
      <c r="F24" s="11" t="s">
        <v>16</v>
      </c>
      <c r="G24" s="11">
        <v>1</v>
      </c>
      <c r="H24" s="10" t="str">
        <f t="shared" si="0"/>
        <v>insert into CHB_MGRTABLE_INFO (MGRTABLE_ID,MGRTABLE_NAME,MGRTABLE_CHI_NAME,DATAOBJECT,STATUS,HEADER_NUM) values ('CHB_MONTH_PRD_POSITION','CHB_MONTH_PRD_POSITION','月报产品头寸','','E','1');</v>
      </c>
    </row>
    <row r="25" spans="1:8" s="11" customFormat="1" x14ac:dyDescent="0.15">
      <c r="A25" s="10">
        <v>22</v>
      </c>
      <c r="B25" s="11" t="s">
        <v>54</v>
      </c>
      <c r="C25" s="11" t="s">
        <v>54</v>
      </c>
      <c r="D25" s="11" t="s">
        <v>55</v>
      </c>
      <c r="F25" s="11" t="s">
        <v>16</v>
      </c>
      <c r="G25" s="11">
        <v>1</v>
      </c>
      <c r="H25" s="10" t="str">
        <f t="shared" si="0"/>
        <v>insert into CHB_MGRTABLE_INFO (MGRTABLE_ID,MGRTABLE_NAME,MGRTABLE_CHI_NAME,DATAOBJECT,STATUS,HEADER_NUM) values ('PBC_MONTH_ASSET_POSITION','PBC_MONTH_ASSET_POSITION','人行资产头寸','','E','1');</v>
      </c>
    </row>
    <row r="26" spans="1:8" s="11" customFormat="1" x14ac:dyDescent="0.15">
      <c r="A26" s="10">
        <v>23</v>
      </c>
      <c r="B26" s="11" t="s">
        <v>56</v>
      </c>
      <c r="C26" s="11" t="s">
        <v>56</v>
      </c>
      <c r="D26" s="11" t="s">
        <v>57</v>
      </c>
      <c r="F26" s="11" t="s">
        <v>16</v>
      </c>
      <c r="G26" s="11">
        <v>1</v>
      </c>
      <c r="H26" s="10" t="str">
        <f t="shared" si="0"/>
        <v>insert into CHB_MGRTABLE_INFO (MGRTABLE_ID,MGRTABLE_NAME,MGRTABLE_CHI_NAME,DATAOBJECT,STATUS,HEADER_NUM) values ('PBC_MONTH_PRD_POSITION','PBC_MONTH_PRD_POSITION','人行产品头寸','','E','1');</v>
      </c>
    </row>
    <row r="27" spans="1:8" s="11" customFormat="1" x14ac:dyDescent="0.15">
      <c r="A27" s="10">
        <v>24</v>
      </c>
      <c r="B27" s="11" t="s">
        <v>60</v>
      </c>
      <c r="C27" s="11" t="s">
        <v>60</v>
      </c>
      <c r="D27" s="11" t="s">
        <v>61</v>
      </c>
      <c r="E27" s="11" t="s">
        <v>60</v>
      </c>
      <c r="F27" s="11" t="s">
        <v>68</v>
      </c>
      <c r="G27" s="11">
        <v>1</v>
      </c>
      <c r="H27" s="10" t="str">
        <f t="shared" si="0"/>
        <v>insert into CHB_MGRTABLE_INFO (MGRTABLE_ID,MGRTABLE_NAME,MGRTABLE_CHI_NAME,DATAOBJECT,STATUS,HEADER_NUM) values ('CHB_PRD_DEAL','CHB_PRD_DEAL','投资者交易信息','CHB_PRD_DEAL','E','1');</v>
      </c>
    </row>
    <row r="28" spans="1:8" x14ac:dyDescent="0.15">
      <c r="A28" s="2">
        <v>25</v>
      </c>
      <c r="B28" s="2" t="s">
        <v>67</v>
      </c>
      <c r="C28" s="2" t="s">
        <v>65</v>
      </c>
      <c r="D28" s="2" t="s">
        <v>66</v>
      </c>
      <c r="E28" s="2" t="s">
        <v>67</v>
      </c>
      <c r="F28" s="2" t="s">
        <v>16</v>
      </c>
      <c r="G28" s="2">
        <v>1</v>
      </c>
      <c r="H28" s="2" t="str">
        <f t="shared" si="0"/>
        <v>insert into CHB_MGRTABLE_INFO (MGRTABLE_ID,MGRTABLE_NAME,MGRTABLE_CHI_NAME,DATAOBJECT,STATUS,HEADER_NUM) values ('CHB_CPROD_BALANCE','CHB_CPROD_BALANCE','周期型产品余额接口数','CHB_CPROD_BALANCE','E','1');</v>
      </c>
    </row>
    <row r="29" spans="1:8" x14ac:dyDescent="0.15">
      <c r="A29" s="2">
        <v>26</v>
      </c>
      <c r="B29" s="2" t="s">
        <v>74</v>
      </c>
      <c r="C29" s="2" t="s">
        <v>72</v>
      </c>
      <c r="D29" s="2" t="s">
        <v>73</v>
      </c>
      <c r="E29" s="2" t="s">
        <v>72</v>
      </c>
      <c r="F29" s="2" t="s">
        <v>16</v>
      </c>
      <c r="G29" s="2">
        <v>1</v>
      </c>
      <c r="H29" s="2" t="str">
        <f t="shared" si="0"/>
        <v>insert into CHB_MGRTABLE_INFO (MGRTABLE_ID,MGRTABLE_NAME,MGRTABLE_CHI_NAME,DATAOBJECT,STATUS,HEADER_NUM) values ('CHB_EMPLOYEE_INFO','CHB_EMPLOYEE_INFO','从业人员信息','CHB_EMPLOYEE_INFO','E','1');</v>
      </c>
    </row>
  </sheetData>
  <autoFilter ref="B1:G1"/>
  <mergeCells count="1">
    <mergeCell ref="A3:G3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2021-01-29T05:05:15Z</dcterms:modified>
</cp:coreProperties>
</file>