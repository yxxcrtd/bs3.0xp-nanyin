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杭州TMP-SUB的配置\check相关配置\"/>
    </mc:Choice>
  </mc:AlternateContent>
  <bookViews>
    <workbookView xWindow="0" yWindow="120" windowWidth="20490" windowHeight="765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规则表配置!$A$2:$WVI$87</definedName>
    <definedName name="_xlnm._FilterDatabase" localSheetId="1" hidden="1">规则条件表!$B$1:$I$84</definedName>
  </definedNames>
  <calcPr calcId="152511" concurrentCalc="0"/>
</workbook>
</file>

<file path=xl/calcChain.xml><?xml version="1.0" encoding="utf-8"?>
<calcChain xmlns="http://schemas.openxmlformats.org/spreadsheetml/2006/main">
  <c r="J10" i="4" l="1"/>
  <c r="J13" i="4"/>
  <c r="J12" i="4"/>
  <c r="J11" i="4"/>
  <c r="J9" i="4"/>
  <c r="J8" i="4"/>
  <c r="J7" i="4"/>
  <c r="J6" i="4"/>
  <c r="J5" i="4"/>
  <c r="J4" i="4"/>
  <c r="L35" i="3"/>
  <c r="L71" i="3"/>
  <c r="L81" i="3"/>
  <c r="L78" i="3"/>
  <c r="L73" i="3"/>
  <c r="L74" i="3"/>
  <c r="L75" i="3"/>
  <c r="L76" i="3"/>
  <c r="L59" i="3"/>
  <c r="L54" i="3"/>
  <c r="L56" i="3"/>
  <c r="L44" i="3"/>
  <c r="L39" i="3"/>
  <c r="L37" i="3"/>
  <c r="L34" i="3"/>
  <c r="L29" i="3"/>
  <c r="L25" i="3"/>
  <c r="L12" i="3"/>
  <c r="L70" i="3"/>
  <c r="L41" i="3"/>
  <c r="L26" i="3"/>
  <c r="L61" i="3"/>
  <c r="L57" i="3"/>
  <c r="L33" i="3"/>
  <c r="L31" i="3"/>
  <c r="L27" i="3"/>
  <c r="L23" i="3"/>
  <c r="L18" i="3"/>
  <c r="L15" i="3"/>
  <c r="L13" i="3"/>
  <c r="L5" i="3"/>
  <c r="L4" i="3"/>
  <c r="L10" i="3"/>
  <c r="L19" i="3"/>
  <c r="L47" i="3"/>
  <c r="L48" i="3"/>
  <c r="L49" i="3"/>
  <c r="L50" i="3"/>
  <c r="L52" i="3"/>
  <c r="L53" i="3"/>
  <c r="L62" i="3"/>
  <c r="L64" i="3"/>
  <c r="L67" i="3"/>
  <c r="L69" i="3"/>
  <c r="L42" i="3"/>
  <c r="L45" i="3"/>
  <c r="L82" i="3"/>
  <c r="L83" i="3"/>
  <c r="L79" i="3"/>
  <c r="L80" i="3"/>
  <c r="L36" i="3"/>
  <c r="L22" i="3"/>
  <c r="L58" i="3"/>
  <c r="L30" i="3"/>
  <c r="L14" i="3"/>
</calcChain>
</file>

<file path=xl/sharedStrings.xml><?xml version="1.0" encoding="utf-8"?>
<sst xmlns="http://schemas.openxmlformats.org/spreadsheetml/2006/main" count="930" uniqueCount="403">
  <si>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</si>
  <si>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</si>
  <si>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</si>
  <si>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</si>
  <si>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</si>
  <si>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</si>
  <si>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</si>
  <si>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</si>
  <si>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</si>
  <si>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</si>
  <si>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</si>
  <si>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</si>
  <si>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</si>
  <si>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</si>
  <si>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</si>
  <si>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</si>
  <si>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</si>
  <si>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</si>
  <si>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</si>
  <si>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</si>
  <si>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</si>
  <si>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</si>
  <si>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</si>
  <si>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</si>
  <si>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</si>
  <si>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</si>
  <si>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</si>
  <si>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compareValue</t>
  </si>
  <si>
    <t>CHB_PRD_ISSUE_SUB_TMP</t>
  </si>
  <si>
    <t>CHECKCONDITIONID</t>
  </si>
  <si>
    <t>主键</t>
  </si>
  <si>
    <t>检查规则标识，检查规则表主键</t>
  </si>
  <si>
    <t>目标结果</t>
  </si>
  <si>
    <t>01</t>
  </si>
  <si>
    <t>02</t>
  </si>
  <si>
    <t>99</t>
  </si>
  <si>
    <t>873E4A49-6810-5A9E-E050-007F01006A21</t>
  </si>
  <si>
    <t>873E4A49-6810-5A9E-E050-007F01006A19</t>
  </si>
  <si>
    <t>873E4A49-6810-5A9E-E050-007F01006A31</t>
  </si>
  <si>
    <t>873E4A49-6810-5A9E-E050-007F01006A47</t>
  </si>
  <si>
    <t>OPEN_MODE</t>
  </si>
  <si>
    <t>IS_CONSTRACTE</t>
  </si>
  <si>
    <t>OPEN_BUSS</t>
  </si>
  <si>
    <t>OPEN_CIRCLE</t>
  </si>
  <si>
    <t>873E4A49-6810-5A9E-E050-007F01006A26</t>
  </si>
  <si>
    <t>873E4A49-6810-5A9E-E050-007F01006A23</t>
  </si>
  <si>
    <t>873E4A49-6810-5A9E-E050-007F01006A27</t>
  </si>
  <si>
    <t>OPEN_CIRCLE_DAYS</t>
  </si>
  <si>
    <t>PRD_VDATE</t>
  </si>
  <si>
    <t>OPEN_BUSS_REMARK</t>
  </si>
  <si>
    <t>RAISE_VDATE</t>
  </si>
  <si>
    <t>PROD_ID</t>
  </si>
  <si>
    <t>RULE_COMMENT</t>
  </si>
  <si>
    <t>RAISE_ENDDATE</t>
  </si>
  <si>
    <t>PRD_MDATE</t>
  </si>
  <si>
    <t>101</t>
  </si>
  <si>
    <t>401</t>
  </si>
  <si>
    <t>ys154A49-6813-5A9E-E050-007F22006A65</t>
  </si>
  <si>
    <t>ys214A49-6813-5A9E-E050-007F22700001</t>
  </si>
  <si>
    <t>ys214A49-6813-5A9E-E050-007F22700003</t>
  </si>
  <si>
    <t>ys214A49-6813-5A9E-E050-007F22700004</t>
  </si>
  <si>
    <t>ys214A49-6813-5A9E-E050-007F22700005</t>
  </si>
  <si>
    <t>ys214A49-6813-5A9E-E050-007F22700006</t>
  </si>
  <si>
    <t>ys214A49-6813-5A9E-E050-007F22700007</t>
  </si>
  <si>
    <t>ys214A49-6813-5A9E-E050-007F22700008</t>
  </si>
  <si>
    <t>ys214A49-6813-5A9E-E050-007F22700009</t>
  </si>
  <si>
    <t>ys214A49-6813-5A9E-E050-007F22700011</t>
  </si>
  <si>
    <t>ys214A49-6813-5A9E-E050-007F22700013</t>
  </si>
  <si>
    <t>ys214A49-6813-5A9E-E050-007F22700015</t>
  </si>
  <si>
    <t>ys214A49-6813-5A9E-E050-007F22700016</t>
  </si>
  <si>
    <t>ys214A49-6813-5A9E-E050-007F22700017</t>
  </si>
  <si>
    <t>ys214A49-6813-5A9E-E050-007F22700024</t>
  </si>
  <si>
    <t>ys214A49-6813-5A9E-E050-007F22700025</t>
  </si>
  <si>
    <t>ys214A49-6813-5A9E-E050-007F22700028</t>
  </si>
  <si>
    <t>ys214A49-6813-5A9E-E050-007F22700029</t>
  </si>
  <si>
    <t>ys214A49-6813-5A9E-E050-007F22700030</t>
  </si>
  <si>
    <t>ys214A49-6813-5A9E-E050-007F22700031</t>
  </si>
  <si>
    <t>ys214A49-6813-5A9E-E050-007F22700032</t>
  </si>
  <si>
    <t>ys214A49-6813-5A9E-E050-007F22700033</t>
  </si>
  <si>
    <t>ys214A49-6813-5A9E-E050-007F22700034</t>
  </si>
  <si>
    <t>ys214A49-6813-5A9E-E050-007F22700035</t>
  </si>
  <si>
    <t>ys214A49-6813-5A9E-E050-007F22700036</t>
  </si>
  <si>
    <t>ys3E4A49-6813-5A9E-E050-007F01006A66</t>
  </si>
  <si>
    <t>ys8E4A49-6813-5A9E-E050-007F21706A67</t>
  </si>
  <si>
    <t>inDatadict</t>
  </si>
  <si>
    <t>isValidDate</t>
  </si>
  <si>
    <t>isNumber2</t>
  </si>
  <si>
    <t>compareProperty</t>
  </si>
  <si>
    <t>isCustomizedString</t>
  </si>
  <si>
    <t>ACCT_NAME</t>
  </si>
  <si>
    <t>FIRST_OPEN_DAY</t>
  </si>
  <si>
    <t>HOLIDAY_ON_FLAG</t>
  </si>
  <si>
    <t>MANAGE_TYPE</t>
  </si>
  <si>
    <t>YIELD_LOW</t>
  </si>
  <si>
    <t>YIELD_HIGH</t>
  </si>
  <si>
    <t>YIELD_REMARK</t>
  </si>
  <si>
    <t>BUSI_ACCT_NO</t>
  </si>
  <si>
    <t>&gt;=</t>
  </si>
  <si>
    <t>yyyy-MM-dd</t>
  </si>
  <si>
    <t>SVR_OPEN_MODE</t>
  </si>
  <si>
    <t>0</t>
  </si>
  <si>
    <t>SVR_REGULAR_OPEN_CYCLE</t>
  </si>
  <si>
    <t>257</t>
  </si>
  <si>
    <t>SVR_YES_OR_NO</t>
  </si>
  <si>
    <t>5,2</t>
  </si>
  <si>
    <t>SVR_OPEN_BUSS</t>
  </si>
  <si>
    <t>SVR_PRO_STYLE</t>
  </si>
  <si>
    <t>8,5</t>
  </si>
  <si>
    <t>201</t>
  </si>
  <si>
    <t>61</t>
  </si>
  <si>
    <t>^[A-Za-z0-9-]+$</t>
  </si>
  <si>
    <t>开放模式不在值域范围内</t>
  </si>
  <si>
    <t>规律开放周期不在值域范围内</t>
  </si>
  <si>
    <t>节假日是否开放不在值域范围内</t>
  </si>
  <si>
    <t>开放期业务不在值域范围内</t>
  </si>
  <si>
    <t>开放期业务说明不能为空</t>
  </si>
  <si>
    <t>开放期业务说明不能超过256字符</t>
  </si>
  <si>
    <t>管理方式不能为空</t>
  </si>
  <si>
    <t>管理方式不在值域范围内</t>
  </si>
  <si>
    <t>业绩比较基准说明不能超过400字符</t>
  </si>
  <si>
    <t>业绩比较基准说明必须填写白名单中的文字。</t>
  </si>
  <si>
    <t>资金托管账户不能超过200字符</t>
  </si>
  <si>
    <t>资金托管账户必须填写白名单中的文字。</t>
  </si>
  <si>
    <t>资金托管账号不能超过60字符</t>
  </si>
  <si>
    <t>!=</t>
  </si>
  <si>
    <t>isCustomizedStringForWhitelist</t>
    <phoneticPr fontId="5" type="noConversion"/>
  </si>
  <si>
    <t>ISSUE_PARTY_ID</t>
    <phoneticPr fontId="5" type="noConversion"/>
  </si>
  <si>
    <t>发行机构代码要素格式不对。正确的格式：6位英文或数字。</t>
    <phoneticPr fontId="5" type="noConversion"/>
  </si>
  <si>
    <t>isNotEmpty</t>
    <phoneticPr fontId="5" type="noConversion"/>
  </si>
  <si>
    <t>发行机构代码要素不可为空。</t>
    <phoneticPr fontId="5" type="noConversion"/>
  </si>
  <si>
    <t>产品登记编码要素不可为空。</t>
    <phoneticPr fontId="5" type="noConversion"/>
  </si>
  <si>
    <t>产品登记编码要素格式不对。正确的格式：14或15位英文或数字。</t>
    <phoneticPr fontId="5" type="noConversion"/>
  </si>
  <si>
    <t>ys8E4A49-6813-5A9E-E050-007F21706A68</t>
  </si>
  <si>
    <t>ys8E4A49-6813-5A9E-E050-007F21706A69</t>
  </si>
  <si>
    <t>ys8E4A49-6813-5A9E-E050-007F21706A71</t>
  </si>
  <si>
    <t>理财产品代码过长</t>
    <phoneticPr fontId="5" type="noConversion"/>
  </si>
  <si>
    <t>ys8E4A49-6813-5A9E-E050-007F21706A72</t>
  </si>
  <si>
    <t>ys8E4A49-6813-5A9E-E050-007F21706A73</t>
  </si>
  <si>
    <t>理财产品代码必须填写白名单中的文字。</t>
    <phoneticPr fontId="5" type="noConversion"/>
  </si>
  <si>
    <t>理财产品代码要素不可为空。</t>
    <phoneticPr fontId="5" type="noConversion"/>
  </si>
  <si>
    <t>ys8E4A49-6813-5A9E-E050-007F21706A74</t>
  </si>
  <si>
    <t>ys8E4A49-6813-5A9E-E050-007F21706A75</t>
  </si>
  <si>
    <t>ys8E4A49-6813-5A9E-E050-007F21706A76</t>
  </si>
  <si>
    <t>compareProperty</t>
    <phoneticPr fontId="5" type="noConversion"/>
  </si>
  <si>
    <t>&gt;=</t>
    <phoneticPr fontId="5" type="noConversion"/>
  </si>
  <si>
    <t>募集结束日期必须大于募集起始日期</t>
    <phoneticPr fontId="5" type="noConversion"/>
  </si>
  <si>
    <t>ys8E4A49-6813-5A9E-E050-007F21706A77</t>
  </si>
  <si>
    <t>ys8E4A49-6813-5A9E-E050-007F21706A78</t>
  </si>
  <si>
    <t>isValidDate</t>
    <phoneticPr fontId="5" type="noConversion"/>
  </si>
  <si>
    <t>yyyy-MM-dd</t>
    <phoneticPr fontId="5" type="noConversion"/>
  </si>
  <si>
    <t>ys8E4A49-6813-5A9E-E050-007F21706A79</t>
  </si>
  <si>
    <t>ys8E4A49-6813-5A9E-E050-007F21706A80</t>
  </si>
  <si>
    <t>产品起始日期必须大于等于募集结束日期。</t>
  </si>
  <si>
    <t>产品终止日期必须大于产品起始日期。</t>
  </si>
  <si>
    <t>产品起始日期不能为空</t>
    <phoneticPr fontId="5" type="noConversion"/>
  </si>
  <si>
    <t>产品终止日期不能为空</t>
    <phoneticPr fontId="5" type="noConversion"/>
  </si>
  <si>
    <t>OPEN_CIRCLE_DAYS</t>
    <phoneticPr fontId="5" type="noConversion"/>
  </si>
  <si>
    <t>ys8E4A49-6813-5A9E-E050-007F21706A81</t>
  </si>
  <si>
    <t>ys8E4A49-6813-5A9E-E050-007F21706A82</t>
  </si>
  <si>
    <t>isNumber</t>
  </si>
  <si>
    <t>4,0</t>
    <phoneticPr fontId="5" type="noConversion"/>
  </si>
  <si>
    <t>compareValueAsNumber</t>
    <phoneticPr fontId="5" type="noConversion"/>
  </si>
  <si>
    <t>0</t>
    <phoneticPr fontId="5" type="noConversion"/>
  </si>
  <si>
    <t>无规律开放说明不可为空</t>
    <phoneticPr fontId="5" type="noConversion"/>
  </si>
  <si>
    <t>ys214A49-6813-5A9E-E050-007F22700008</t>
    <phoneticPr fontId="5" type="noConversion"/>
  </si>
  <si>
    <t>ys8E4A49-6813-5A9E-E050-007F21706A83</t>
  </si>
  <si>
    <t>AVG_OPEN_COUNT</t>
    <phoneticPr fontId="5" type="noConversion"/>
  </si>
  <si>
    <t>OPEN_BUSS_REMARK</t>
    <phoneticPr fontId="5" type="noConversion"/>
  </si>
  <si>
    <t>开放期业务说明必须在白名单范围内</t>
    <phoneticPr fontId="5" type="noConversion"/>
  </si>
  <si>
    <t>CHB_PRD_ISSUE_SUB_TMP</t>
    <phoneticPr fontId="5" type="noConversion"/>
  </si>
  <si>
    <t>CHB_PRD_ISSUE_SUB_TMP</t>
    <phoneticPr fontId="5" type="noConversion"/>
  </si>
  <si>
    <t>delete  CHB_DATACHECK_RULE where datatype='CHB_PRD_ISSUE_SUB_TMP';</t>
    <phoneticPr fontId="5" type="noConversion"/>
  </si>
  <si>
    <t>delete from chb_datacheck_condition t where t.checkruleid in (select checkruleid from chb_datacheck_rule t where t.datatype = 'CHB_PRD_ISSUE_SUB_TMP');</t>
    <phoneticPr fontId="5" type="noConversion"/>
  </si>
  <si>
    <t>PROD_REGIST_CODE</t>
    <phoneticPr fontId="5" type="noConversion"/>
  </si>
  <si>
    <t>字段</t>
  </si>
  <si>
    <t>校验类型</t>
  </si>
  <si>
    <t>校验内容</t>
  </si>
  <si>
    <t>直联接口错误信息提示语</t>
  </si>
  <si>
    <t>产品登记编码</t>
  </si>
  <si>
    <t>静态校验</t>
  </si>
  <si>
    <t>必填</t>
  </si>
  <si>
    <t>产品登记编码要素不可为空。</t>
  </si>
  <si>
    <t>正则表达式：仅可填写英文或数字（文字长度14位或者15位）</t>
  </si>
  <si>
    <t>产品登记编码要素格式不对。正确的格式：14或15位英文或数字。</t>
  </si>
  <si>
    <t>报文内不可重复</t>
  </si>
  <si>
    <t>产品登记编码报文内不可重复。</t>
  </si>
  <si>
    <t>动态校验</t>
  </si>
  <si>
    <t>产品登记编码是否匹配数据库中已有的记录</t>
  </si>
  <si>
    <t>该产品不存在。</t>
  </si>
  <si>
    <t>“报告通过”状态的产品才能进行发行登记</t>
  </si>
  <si>
    <t>只有产品状态应该为“报告通过”的才可以进行发行登记。</t>
  </si>
  <si>
    <t>系统中存在发行登记信息的产品（尚未提交）不能进行发行登记</t>
  </si>
  <si>
    <t>该产品在系统已存在发行信息。</t>
  </si>
  <si>
    <t>发行机构代码</t>
  </si>
  <si>
    <t>发行机构代码要素不可为空。</t>
  </si>
  <si>
    <t>该代码必须与登记的银行一致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</si>
  <si>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</si>
  <si>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</si>
  <si>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</si>
  <si>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理财产品代码</t>
  </si>
  <si>
    <t>理财产品代码要素不可为空。</t>
  </si>
  <si>
    <t>文字长度（最大长）100</t>
  </si>
  <si>
    <t>理财产品代码过长。</t>
  </si>
  <si>
    <t>白名单检查</t>
  </si>
  <si>
    <t>理财产品代码必须填写白名单中的文字。</t>
  </si>
  <si>
    <t>理财产品代码报文内不可重复。</t>
  </si>
  <si>
    <t>同一机构内理财产品代码具有唯一性</t>
  </si>
  <si>
    <t>理财产品代码不能重复。</t>
  </si>
  <si>
    <t>募集起始日期</t>
  </si>
  <si>
    <t>募集起始日期要素不可为空。</t>
  </si>
  <si>
    <t>日期类型</t>
  </si>
  <si>
    <t>“募集起始日”必须落在申报登记时填报的“募集起始日（从）”和“募集起始日（到）”的区间内</t>
  </si>
  <si>
    <t>募集起始日期应落在申报登记要素中募集起始日期（从）/（到）的区间内.</t>
  </si>
  <si>
    <t>募集结束日期</t>
  </si>
  <si>
    <t>募集结束日期必须为正确日期。</t>
  </si>
  <si>
    <t>“募集结束日期”应大于等于“募集起始日期”</t>
  </si>
  <si>
    <t>募集结束日期必须大于等于募集起始日期。</t>
  </si>
  <si>
    <t>产品起始日期</t>
  </si>
  <si>
    <t>产品起始日期要素不可为空。</t>
  </si>
  <si>
    <t>产品起始日期必须为日期格式（YYYY-MM-DD）。</t>
  </si>
  <si>
    <t>产品起始日期必须为正确日期。</t>
  </si>
  <si>
    <t>产品起始日期应大于等于“募集结束日期”</t>
  </si>
  <si>
    <t>产品终止日期</t>
  </si>
  <si>
    <t>产品终止日期要素不可为空。</t>
  </si>
  <si>
    <t>产品终止日期必须为日期格式（YYYY-MM-DD）。</t>
  </si>
  <si>
    <t>产品终止日期必须为正确日期。</t>
  </si>
  <si>
    <t>产品终止日期应大于“产品起始日期”</t>
  </si>
  <si>
    <t>管理方式</t>
  </si>
  <si>
    <t>发行登记管理方式要素不可为空。</t>
  </si>
  <si>
    <t>枚举范围内、单选</t>
  </si>
  <si>
    <t>发行登记管理方式不在值域范围内。</t>
  </si>
  <si>
    <t>是否为结构化（分级）产品</t>
  </si>
  <si>
    <t>是否为结构化（分级）产品不在值域范围内。</t>
  </si>
  <si>
    <t>业绩比较基准上限%</t>
  </si>
  <si>
    <t>选填</t>
  </si>
  <si>
    <t>-</t>
  </si>
  <si>
    <t>数字类型(8,7)</t>
  </si>
  <si>
    <t>业绩比较基准下限%</t>
  </si>
  <si>
    <t>业绩比较基准上限%≥业绩比较基准下限%</t>
  </si>
  <si>
    <t>业绩比较基准说明</t>
  </si>
  <si>
    <t>文字长度（最大长）400</t>
  </si>
  <si>
    <t>业绩比较基准说明过长。</t>
  </si>
  <si>
    <t>开放模式</t>
  </si>
  <si>
    <t>选择性必填。单选产品运作模式选择“开放式净值型”和“开放式非净值型”的产品，该要素必填；
产品运作模式选择“封闭式净值型”和“封闭式非净值型”的产品，此要素必须为空</t>
  </si>
  <si>
    <t>产品运作模式选择“封闭式净值型”和“封闭式非净值型”的产品,开放模式不能有值；
产品运作模式选择“开放式净值型”和“开放式非净值型”的产品,开放模式不能为空。</t>
  </si>
  <si>
    <t>开放模式不在值域范围内。</t>
  </si>
  <si>
    <t>规律开放周期</t>
  </si>
  <si>
    <t>当“开放模式”选择 “01 有规律开放”时，必填</t>
  </si>
  <si>
    <t>当开放模式为有规律开放时，规律开放周期要素不可为空。</t>
  </si>
  <si>
    <t>当“开放模式”选择“02 无规律开放”时，此要素必须为空</t>
  </si>
  <si>
    <t>当开放模式为无规律开放时，规律开放周期要素必须为空。</t>
  </si>
  <si>
    <t>规律开放周期不在值域范围内。</t>
  </si>
  <si>
    <t>产品运作模式选择“封闭式净值型”和“封闭式非净值型”的产品，此要素必须为空</t>
  </si>
  <si>
    <t>产品运作模式选择“封闭式净值型”和“封闭式非净值型”的产品,规律开放周期不能有值；</t>
  </si>
  <si>
    <t>其他规律开放周期(天)</t>
  </si>
  <si>
    <t>当“开放模式”选择“01 有规律开放”、“规律开放周期”选择“99 其他规律开放周期”时,必填</t>
  </si>
  <si>
    <t>当开放模式为无规律开放时，其他规律开放周期(天)要素必须为空。</t>
  </si>
  <si>
    <t>当“开放模式”选择“01 有规律开放”、“规律开放周期”选择“99 其他规律开放周期”以外的要素时，此要素必须为空</t>
  </si>
  <si>
    <t>当开放模式为有规律开放、规律开放周期为每天开放时，其他规律开放周期(天)要素必须为空。</t>
  </si>
  <si>
    <t>产品运作模式选择“封闭式净值型”和“封闭式非净值型”的产品,其他规律开放周期（天）不能有值！</t>
  </si>
  <si>
    <t>数字类型(4)</t>
  </si>
  <si>
    <t>大于0</t>
  </si>
  <si>
    <t>其他规律开放周期(天)必须大于0。</t>
  </si>
  <si>
    <t>无规律开放说明</t>
  </si>
  <si>
    <t>当“开放模式”选择 “02 无规律开放”时，必填</t>
  </si>
  <si>
    <t>当“开放模式”选择“01 有规律开放”时，此要素必须为空</t>
  </si>
  <si>
    <t>当开放模式为有规律开放时，无规律开放说明要素必须为空。</t>
  </si>
  <si>
    <t>产品运作模式选择“封闭式净值型”和“封闭式非净值型”的产品,无规律开放说明不能有值。</t>
  </si>
  <si>
    <t>无规律开放说明必须填写白名单中的文字。</t>
  </si>
  <si>
    <t>文字长度（最大长）256</t>
  </si>
  <si>
    <t>无规律开放说明过长。</t>
  </si>
  <si>
    <t>首次开放周期起始日</t>
  </si>
  <si>
    <t>选择性必填。产品运作模式选择“开放式净值型”和“开放式非净值型”的产品，该要素必填；
产品运作模式选择“封闭式净值型”和“封闭式非净值型”的产品，此要素必须为空</t>
  </si>
  <si>
    <t>产品运作模式选择“封闭式净值型”和“封闭式非净值型”的产品,首次开放周期起始日不能有值；
产品运作模式选择“开放式净值型”和“开放式非净值型”的产品,首次开放周期起始日不能为空。</t>
  </si>
  <si>
    <t>首次开放周期起始日必须为正确日期。</t>
  </si>
  <si>
    <t>节假日是否开放</t>
  </si>
  <si>
    <t>产品运作模式选择“封闭式净值型”和“封闭式非净值型”的产品,节假日是否开放不能有值；
产品运作模式选择“开放式净值型”和“开放式非净值型”的产品,节假日是否开放不能为空。</t>
  </si>
  <si>
    <t>节假日是否开放不在值域范围内。</t>
  </si>
  <si>
    <t>平均开放次数（年化）</t>
  </si>
  <si>
    <t>产品运作模式选择“封闭式净值型”和“封闭式非净值型”的产品,平均开放次数（年化）不能有值；
产品运作模式选择“开放式净值型”和“开放式非净值型”的产品,平均开放次数（年化）不能为空。</t>
  </si>
  <si>
    <t>数字类型(5,2)</t>
  </si>
  <si>
    <t>必须大于0，小于等于366</t>
  </si>
  <si>
    <t>平均开放次数（年化）必须大于0且不能超过366。</t>
  </si>
  <si>
    <t>开放期业务</t>
  </si>
  <si>
    <t>产品运作模式选择“封闭式净值型”和“封闭式非净值型”的产品,开放期业务不能有值；
产品运作模式选择“开放式净值型”和“开放式非净值型”的产品,开放期业务不能为空。</t>
  </si>
  <si>
    <t>开放期业务不在值域范围内。</t>
  </si>
  <si>
    <t>开放期业务说明</t>
  </si>
  <si>
    <t>“开放期业务”选择“99 其他”时，必填</t>
  </si>
  <si>
    <t>当开放期业务为其他时，开放期业务说明要素不可为空。</t>
  </si>
  <si>
    <t>开放期业务说明必须填写白名单中的文字。</t>
  </si>
  <si>
    <t>开放期业务说明过长。</t>
  </si>
  <si>
    <t>产品运作模式选择“封闭式净值型”和“封闭式非净值型”的产品,开放期业务说明不能有值；</t>
  </si>
  <si>
    <t>资金托管账号</t>
  </si>
  <si>
    <t>资金托管账号要素不可为空。</t>
  </si>
  <si>
    <t>文字长度（最大长）60</t>
  </si>
  <si>
    <t>资金托管账号过长。</t>
  </si>
  <si>
    <t>可填写大小写字母、数字、以及“-”</t>
  </si>
  <si>
    <t>资金托管账户</t>
  </si>
  <si>
    <t>资金托管账户要素不可为空。</t>
  </si>
  <si>
    <t>文字长度（最大长）200</t>
  </si>
  <si>
    <t>资金托管账户过长。</t>
  </si>
  <si>
    <t>登记流水号</t>
  </si>
  <si>
    <t>登记流水号要素不可为空。</t>
  </si>
  <si>
    <t>文字长度（最大长）32</t>
  </si>
  <si>
    <t>登记流水号过长。</t>
  </si>
  <si>
    <t>登记流水号报文内不可重复。</t>
  </si>
  <si>
    <t>只允许白名单中的英文、数字和半角符号</t>
  </si>
  <si>
    <t>登记流水号只能含有白名单内的阿拉伯数字，英文字母，半角符号。</t>
  </si>
  <si>
    <t>OPEN_MODE</t>
    <phoneticPr fontId="5" type="noConversion"/>
  </si>
  <si>
    <t>Y</t>
    <phoneticPr fontId="5" type="noConversion"/>
  </si>
  <si>
    <t>代码检查</t>
    <phoneticPr fontId="5" type="noConversion"/>
  </si>
  <si>
    <t>募集起始日期必须为日期格式（YYYY-MM-DD）。</t>
    <phoneticPr fontId="5" type="noConversion"/>
  </si>
  <si>
    <t>募集起始日期必须为正确日期。</t>
    <phoneticPr fontId="5" type="noConversion"/>
  </si>
  <si>
    <t>isValidDate</t>
    <phoneticPr fontId="5" type="noConversion"/>
  </si>
  <si>
    <t>前一个检查已实现，isValidDate</t>
    <phoneticPr fontId="5" type="noConversion"/>
  </si>
  <si>
    <t>募集起始日期必须为日期格式（YYYY-MM-DD）且是正确的日期。</t>
    <phoneticPr fontId="5" type="noConversion"/>
  </si>
  <si>
    <t>募集结束日期要素不可为空。</t>
    <phoneticPr fontId="5" type="noConversion"/>
  </si>
  <si>
    <t>募集结束日期要素不可为空。</t>
    <phoneticPr fontId="5" type="noConversion"/>
  </si>
  <si>
    <t>募集结束日期必须为日期格式（YYYY-MM-DD）。</t>
    <phoneticPr fontId="5" type="noConversion"/>
  </si>
  <si>
    <t>募集结束日期必须为日期格式（YYYY-MM-DD）且是正确的日期。</t>
    <phoneticPr fontId="5" type="noConversion"/>
  </si>
  <si>
    <t>产品起始日期必须为日期格式（YYYY-MM-DD）且是正确的日期。</t>
    <phoneticPr fontId="5" type="noConversion"/>
  </si>
  <si>
    <t>ya3E4A49-6813-5A9E-E050-007F01006A66</t>
    <phoneticPr fontId="5" type="noConversion"/>
  </si>
  <si>
    <t>是否为结构化（分级）产品要素不可为空。</t>
    <phoneticPr fontId="5" type="noConversion"/>
  </si>
  <si>
    <t>是否结构化分级产品不在值域范围内。</t>
    <phoneticPr fontId="5" type="noConversion"/>
  </si>
  <si>
    <t>先填不需要检查</t>
    <phoneticPr fontId="5" type="noConversion"/>
  </si>
  <si>
    <t>业绩比较基准下限以百分数形式表示时必须为n（8,5）格式。</t>
    <phoneticPr fontId="5" type="noConversion"/>
  </si>
  <si>
    <t>业绩比较基准下限以百分数形式表示时必须为n（8,5）格式。</t>
    <phoneticPr fontId="5" type="noConversion"/>
  </si>
  <si>
    <t>业绩比较基准上限以百分数形式表示时必须为n（8,5）格式。</t>
    <phoneticPr fontId="5" type="noConversion"/>
  </si>
  <si>
    <t>业绩比较基准上限以百分数形式表示时必须为n（8,5）格式。</t>
    <phoneticPr fontId="5" type="noConversion"/>
  </si>
  <si>
    <t>业绩比较基准上限必须大于等于业绩比较基准下限。</t>
    <phoneticPr fontId="5" type="noConversion"/>
  </si>
  <si>
    <t>ys214A49-6813-5A9E-E050-007F22700002</t>
    <phoneticPr fontId="5" type="noConversion"/>
  </si>
  <si>
    <t>其他规律开放周期(天)必须为n..4格式。</t>
    <phoneticPr fontId="5" type="noConversion"/>
  </si>
  <si>
    <t>ys214A49-6813-5A9E-E050-007F22700005</t>
    <phoneticPr fontId="5" type="noConversion"/>
  </si>
  <si>
    <t>ys214A49-6813-5A9E-E050-007F22700006</t>
    <phoneticPr fontId="5" type="noConversion"/>
  </si>
  <si>
    <t>873E4A49-6810-5A9E-E050-007F01006A38</t>
    <phoneticPr fontId="5" type="noConversion"/>
  </si>
  <si>
    <t>产品终止日期必须为日期格式（YYYY-MM-DD）且是正确的日期。</t>
    <phoneticPr fontId="5" type="noConversion"/>
  </si>
  <si>
    <t>首次开放周期起始日必须为日期格式（YYYY-MM-DD）。</t>
    <phoneticPr fontId="5" type="noConversion"/>
  </si>
  <si>
    <t>首次开放周期起始日必须为日期格式（YYYY-MM-DD）且是正确的日期。</t>
    <phoneticPr fontId="5" type="noConversion"/>
  </si>
  <si>
    <t>平均开放次数（年化）必须为n（5,2）格式。</t>
    <phoneticPr fontId="5" type="noConversion"/>
  </si>
  <si>
    <t>ys214A49-6813-5A9E-E050-007F22700016</t>
    <phoneticPr fontId="5" type="noConversion"/>
  </si>
  <si>
    <t>ya214A49-6813-5A9E-E050-007F22700035</t>
    <phoneticPr fontId="5" type="noConversion"/>
  </si>
  <si>
    <t>资金托管账号要素格式不对。正确的格式：大小写字母或数字、以及“-”。</t>
    <phoneticPr fontId="5" type="noConversion"/>
  </si>
  <si>
    <t>ya214A49-6813-5A9E-E050-007F22700033</t>
    <phoneticPr fontId="5" type="noConversion"/>
  </si>
  <si>
    <t>规律开放周期不能为空</t>
    <phoneticPr fontId="5" type="noConversion"/>
  </si>
  <si>
    <t>规律开放周期必须为空</t>
    <phoneticPr fontId="5" type="noConversion"/>
  </si>
  <si>
    <t>其他规律开放周期(天)要素不可为空。</t>
    <phoneticPr fontId="5" type="noConversion"/>
  </si>
  <si>
    <t>其他规律开放周期(天)要素必须为空。</t>
    <phoneticPr fontId="5" type="noConversion"/>
  </si>
  <si>
    <t>ya214A49-6813-5A9E-E050-007F22700013</t>
    <phoneticPr fontId="5" type="noConversion"/>
  </si>
  <si>
    <t>yb214A49-6813-5A9E-E050-007F22700013</t>
    <phoneticPr fontId="5" type="noConversion"/>
  </si>
  <si>
    <t>平均开放次数（年化）不能超过366。</t>
    <phoneticPr fontId="5" type="noConversion"/>
  </si>
  <si>
    <t>平均开放次数（年化）必须大于0.</t>
    <phoneticPr fontId="5" type="noConversion"/>
  </si>
  <si>
    <t>compareValueAsNumber</t>
    <phoneticPr fontId="5" type="noConversion"/>
  </si>
  <si>
    <t>&gt;</t>
    <phoneticPr fontId="5" type="noConversion"/>
  </si>
  <si>
    <t>366</t>
    <phoneticPr fontId="5" type="noConversion"/>
  </si>
  <si>
    <t>&lt;=</t>
    <phoneticPr fontId="5" type="noConversion"/>
  </si>
  <si>
    <t>^[0-9a-zA-Z]{6}$</t>
    <phoneticPr fontId="5" type="noConversion"/>
  </si>
  <si>
    <t>^[0-9a-zA-Z]{14,15}$</t>
    <phoneticPr fontId="5" type="noConversion"/>
  </si>
  <si>
    <t>募集起始日期要素不可为空。</t>
    <phoneticPr fontId="5" type="noConversion"/>
  </si>
  <si>
    <t>lessThanCharLength</t>
    <phoneticPr fontId="5" type="noConversion"/>
  </si>
  <si>
    <t>873E4A49-6810-5A9E-E050-007F01006A37</t>
    <phoneticPr fontId="5" type="noConversion"/>
  </si>
  <si>
    <t>，其他规律开放周期(天)要素必须为空。</t>
    <phoneticPr fontId="5" type="noConversion"/>
  </si>
  <si>
    <t>OPEN_CIRCLE</t>
    <phoneticPr fontId="5" type="noConversion"/>
  </si>
  <si>
    <t>!=</t>
    <phoneticPr fontId="5" type="noConversion"/>
  </si>
  <si>
    <t>，其他规律开放周期(天)要素必须为空。</t>
    <phoneticPr fontId="5" type="noConversion"/>
  </si>
  <si>
    <t>ys214A49-6813-5A9E-E050-007F22700002</t>
    <phoneticPr fontId="5" type="noConversion"/>
  </si>
  <si>
    <t>OPEN_MODE</t>
    <phoneticPr fontId="5" type="noConversion"/>
  </si>
  <si>
    <t>当开放模式为有规律开放时</t>
    <phoneticPr fontId="5" type="noConversion"/>
  </si>
  <si>
    <t>规律开放周期不能为空</t>
    <phoneticPr fontId="5" type="noConversion"/>
  </si>
  <si>
    <t>当开放模式为无规律开放时</t>
    <phoneticPr fontId="5" type="noConversion"/>
  </si>
  <si>
    <t>规律开放周期必须为空</t>
    <phoneticPr fontId="5" type="noConversion"/>
  </si>
  <si>
    <t>其他规律开放周期(天)要素不可为空。</t>
    <phoneticPr fontId="5" type="noConversion"/>
  </si>
  <si>
    <t>OPEN_MODE</t>
    <phoneticPr fontId="5" type="noConversion"/>
  </si>
  <si>
    <t>当开放模式为无规律开放时</t>
    <phoneticPr fontId="5" type="noConversion"/>
  </si>
  <si>
    <t>，其他规律开放周期(天)要素必须为空。</t>
    <phoneticPr fontId="5" type="noConversion"/>
  </si>
  <si>
    <t>ys214A49-6813-5A9E-E050-007F22700007</t>
    <phoneticPr fontId="5" type="noConversion"/>
  </si>
  <si>
    <t>01</t>
    <phoneticPr fontId="5" type="noConversion"/>
  </si>
  <si>
    <t>，无规律开放说明要素必须为空。</t>
    <phoneticPr fontId="5" type="noConversion"/>
  </si>
  <si>
    <t>OPEN_BUSS</t>
    <phoneticPr fontId="5" type="noConversion"/>
  </si>
  <si>
    <t>当开放期业务为其他时</t>
    <phoneticPr fontId="5" type="noConversion"/>
  </si>
  <si>
    <t>，开放期业务说明要素不可为空。</t>
    <phoneticPr fontId="5" type="noConversion"/>
  </si>
  <si>
    <t>当开放模式为有规律开放、</t>
    <phoneticPr fontId="5" type="noConversion"/>
  </si>
  <si>
    <t>规律开放周期为每天开放时</t>
    <phoneticPr fontId="5" type="noConversion"/>
  </si>
  <si>
    <t>873E4A49-6810-5A9E-E050-007F01006A37</t>
    <phoneticPr fontId="5" type="noConversion"/>
  </si>
  <si>
    <t>873E4A49-6810-5A9E-E050-007F01006A37</t>
    <phoneticPr fontId="5" type="noConversion"/>
  </si>
  <si>
    <t>当开放模式为有规律开放时</t>
    <phoneticPr fontId="5" type="noConversion"/>
  </si>
  <si>
    <t>无规律开放说明必须为空</t>
    <phoneticPr fontId="5" type="noConversion"/>
  </si>
  <si>
    <t>873E4A49-6810-5A9E-E050-007F01006A38</t>
    <phoneticPr fontId="5" type="noConversion"/>
  </si>
  <si>
    <t>当开放模式为无规律开放时，无规律开放说明要素不可为空。</t>
    <phoneticPr fontId="5" type="noConversion"/>
  </si>
  <si>
    <t>当开放模式为无规律开放时</t>
    <phoneticPr fontId="5" type="noConversion"/>
  </si>
  <si>
    <t>ys214A49-6813-5A9E-E050-007F22700005</t>
    <phoneticPr fontId="5" type="noConversion"/>
  </si>
  <si>
    <t>当开放模式为有规律开放、规律开放周期为其他规律开放周期时，其他规律开放周期(天)要素不可为空。</t>
    <phoneticPr fontId="5" type="noConversion"/>
  </si>
  <si>
    <t>ys214A49-6813-5A9E-E050-107F22700007</t>
    <phoneticPr fontId="5" type="noConversion"/>
  </si>
  <si>
    <t>01</t>
    <phoneticPr fontId="5" type="noConversion"/>
  </si>
  <si>
    <t>OPEN_CIRCLE</t>
    <phoneticPr fontId="5" type="noConversion"/>
  </si>
  <si>
    <t>当开放模式为有规律开放、</t>
    <phoneticPr fontId="5" type="noConversion"/>
  </si>
  <si>
    <t>规律开放周期为其他规律开放周期时</t>
    <phoneticPr fontId="5" type="noConversion"/>
  </si>
  <si>
    <t>&gt;</t>
    <phoneticPr fontId="5" type="noConversion"/>
  </si>
  <si>
    <t>其他规律开放周期(天)必须大于0。</t>
    <phoneticPr fontId="5" type="noConversion"/>
  </si>
  <si>
    <t>无规律开放说明必须填写白名单中的文字。</t>
    <phoneticPr fontId="5" type="noConversion"/>
  </si>
  <si>
    <t>无规律开放说明过长。</t>
    <phoneticPr fontId="5" type="noConversion"/>
  </si>
  <si>
    <t>其他规律开放周期(天)要素必须为空。</t>
    <phoneticPr fontId="5" type="noConversion"/>
  </si>
  <si>
    <t>ys8E4A49-6813-5A9E-E050-007F21706A70</t>
    <phoneticPr fontId="5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</si>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</sst>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6" fillId="0" borderId="2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49" fontId="4" fillId="0" borderId="1" xfId="0" applyNumberFormat="1" applyFont="1" applyFill="1" applyBorder="1" applyAlignment="1"/>
    <xf numFmtId="0" fontId="4" fillId="0" borderId="0" xfId="0" applyFont="1" applyFill="1" applyAlignment="1"/>
    <xf numFmtId="0" fontId="2" fillId="0" borderId="0" xfId="0" applyFont="1" applyFill="1" applyAlignment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1" fillId="0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wrapText="1"/>
    </xf>
    <xf numFmtId="49" fontId="1" fillId="6" borderId="1" xfId="0" applyNumberFormat="1" applyFont="1" applyFill="1" applyBorder="1" applyAlignment="1"/>
    <xf numFmtId="0" fontId="1" fillId="5" borderId="1" xfId="0" applyFont="1" applyFill="1" applyBorder="1" applyAlignment="1"/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/>
    </xf>
    <xf numFmtId="0" fontId="2" fillId="5" borderId="0" xfId="0" applyFont="1" applyFill="1" applyAlignment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/>
    </xf>
    <xf numFmtId="0" fontId="2" fillId="3" borderId="0" xfId="0" applyFont="1" applyFill="1" applyAlignment="1"/>
    <xf numFmtId="0" fontId="4" fillId="6" borderId="1" xfId="0" applyFont="1" applyFill="1" applyBorder="1" applyAlignment="1"/>
    <xf numFmtId="0" fontId="1" fillId="5" borderId="2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vertical="center" wrapText="1"/>
    </xf>
    <xf numFmtId="0" fontId="7" fillId="0" borderId="0" xfId="0" applyFont="1" applyFill="1" applyAlignment="1"/>
    <xf numFmtId="49" fontId="4" fillId="5" borderId="1" xfId="0" applyNumberFormat="1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3"/>
  <sheetViews>
    <sheetView tabSelected="1" topLeftCell="C1" workbookViewId="0">
      <selection activeCell="F5" sqref="F5"/>
    </sheetView>
  </sheetViews>
  <sheetFormatPr defaultColWidth="7.19921875" defaultRowHeight="12" outlineLevelRow="1" x14ac:dyDescent="0.15"/>
  <cols>
    <col min="1" max="1" width="7.19921875" style="15"/>
    <col min="2" max="2" width="28.59765625" style="15" customWidth="1"/>
    <col min="3" max="3" width="17.5" style="15" customWidth="1"/>
    <col min="4" max="4" width="16.5" style="15" customWidth="1"/>
    <col min="5" max="5" width="19.09765625" style="16" customWidth="1"/>
    <col min="6" max="6" width="14.19921875" style="15" customWidth="1"/>
    <col min="7" max="7" width="7.19921875" style="15"/>
    <col min="8" max="8" width="12.3984375" style="17" customWidth="1"/>
    <col min="9" max="9" width="7.19921875" style="15"/>
    <col min="10" max="10" width="14.69921875" style="16" customWidth="1"/>
    <col min="11" max="11" width="5.296875" style="15" customWidth="1"/>
    <col min="12" max="12" width="7.19921875" style="15"/>
    <col min="13" max="13" width="9.796875" style="15" customWidth="1"/>
    <col min="14" max="15" width="7.19921875" style="15"/>
    <col min="16" max="16" width="16.59765625" style="16" customWidth="1"/>
    <col min="17" max="17" width="19.5" style="15" customWidth="1"/>
    <col min="18" max="252" width="7.19921875" style="15"/>
    <col min="253" max="253" width="17.796875" style="15" customWidth="1"/>
    <col min="254" max="254" width="7.19921875" style="15"/>
    <col min="255" max="255" width="12.3984375" style="15" customWidth="1"/>
    <col min="256" max="256" width="9.5" style="15" customWidth="1"/>
    <col min="257" max="257" width="11.19921875" style="15" customWidth="1"/>
    <col min="258" max="508" width="7.19921875" style="15"/>
    <col min="509" max="509" width="17.796875" style="15" customWidth="1"/>
    <col min="510" max="510" width="7.19921875" style="15"/>
    <col min="511" max="511" width="12.3984375" style="15" customWidth="1"/>
    <col min="512" max="512" width="9.5" style="15" customWidth="1"/>
    <col min="513" max="513" width="11.19921875" style="15" customWidth="1"/>
    <col min="514" max="764" width="7.19921875" style="15"/>
    <col min="765" max="765" width="17.796875" style="15" customWidth="1"/>
    <col min="766" max="766" width="7.19921875" style="15"/>
    <col min="767" max="767" width="12.3984375" style="15" customWidth="1"/>
    <col min="768" max="768" width="9.5" style="15" customWidth="1"/>
    <col min="769" max="769" width="11.19921875" style="15" customWidth="1"/>
    <col min="770" max="1020" width="7.19921875" style="15"/>
    <col min="1021" max="1021" width="17.796875" style="15" customWidth="1"/>
    <col min="1022" max="1022" width="7.19921875" style="15"/>
    <col min="1023" max="1023" width="12.3984375" style="15" customWidth="1"/>
    <col min="1024" max="1024" width="9.5" style="15" customWidth="1"/>
    <col min="1025" max="1025" width="11.19921875" style="15" customWidth="1"/>
    <col min="1026" max="1276" width="7.19921875" style="15"/>
    <col min="1277" max="1277" width="17.796875" style="15" customWidth="1"/>
    <col min="1278" max="1278" width="7.19921875" style="15"/>
    <col min="1279" max="1279" width="12.3984375" style="15" customWidth="1"/>
    <col min="1280" max="1280" width="9.5" style="15" customWidth="1"/>
    <col min="1281" max="1281" width="11.19921875" style="15" customWidth="1"/>
    <col min="1282" max="1532" width="7.19921875" style="15"/>
    <col min="1533" max="1533" width="17.796875" style="15" customWidth="1"/>
    <col min="1534" max="1534" width="7.19921875" style="15"/>
    <col min="1535" max="1535" width="12.3984375" style="15" customWidth="1"/>
    <col min="1536" max="1536" width="9.5" style="15" customWidth="1"/>
    <col min="1537" max="1537" width="11.19921875" style="15" customWidth="1"/>
    <col min="1538" max="1788" width="7.19921875" style="15"/>
    <col min="1789" max="1789" width="17.796875" style="15" customWidth="1"/>
    <col min="1790" max="1790" width="7.19921875" style="15"/>
    <col min="1791" max="1791" width="12.3984375" style="15" customWidth="1"/>
    <col min="1792" max="1792" width="9.5" style="15" customWidth="1"/>
    <col min="1793" max="1793" width="11.19921875" style="15" customWidth="1"/>
    <col min="1794" max="2044" width="7.19921875" style="15"/>
    <col min="2045" max="2045" width="17.796875" style="15" customWidth="1"/>
    <col min="2046" max="2046" width="7.19921875" style="15"/>
    <col min="2047" max="2047" width="12.3984375" style="15" customWidth="1"/>
    <col min="2048" max="2048" width="9.5" style="15" customWidth="1"/>
    <col min="2049" max="2049" width="11.19921875" style="15" customWidth="1"/>
    <col min="2050" max="2300" width="7.19921875" style="15"/>
    <col min="2301" max="2301" width="17.796875" style="15" customWidth="1"/>
    <col min="2302" max="2302" width="7.19921875" style="15"/>
    <col min="2303" max="2303" width="12.3984375" style="15" customWidth="1"/>
    <col min="2304" max="2304" width="9.5" style="15" customWidth="1"/>
    <col min="2305" max="2305" width="11.19921875" style="15" customWidth="1"/>
    <col min="2306" max="2556" width="7.19921875" style="15"/>
    <col min="2557" max="2557" width="17.796875" style="15" customWidth="1"/>
    <col min="2558" max="2558" width="7.19921875" style="15"/>
    <col min="2559" max="2559" width="12.3984375" style="15" customWidth="1"/>
    <col min="2560" max="2560" width="9.5" style="15" customWidth="1"/>
    <col min="2561" max="2561" width="11.19921875" style="15" customWidth="1"/>
    <col min="2562" max="2812" width="7.19921875" style="15"/>
    <col min="2813" max="2813" width="17.796875" style="15" customWidth="1"/>
    <col min="2814" max="2814" width="7.19921875" style="15"/>
    <col min="2815" max="2815" width="12.3984375" style="15" customWidth="1"/>
    <col min="2816" max="2816" width="9.5" style="15" customWidth="1"/>
    <col min="2817" max="2817" width="11.19921875" style="15" customWidth="1"/>
    <col min="2818" max="3068" width="7.19921875" style="15"/>
    <col min="3069" max="3069" width="17.796875" style="15" customWidth="1"/>
    <col min="3070" max="3070" width="7.19921875" style="15"/>
    <col min="3071" max="3071" width="12.3984375" style="15" customWidth="1"/>
    <col min="3072" max="3072" width="9.5" style="15" customWidth="1"/>
    <col min="3073" max="3073" width="11.19921875" style="15" customWidth="1"/>
    <col min="3074" max="3324" width="7.19921875" style="15"/>
    <col min="3325" max="3325" width="17.796875" style="15" customWidth="1"/>
    <col min="3326" max="3326" width="7.19921875" style="15"/>
    <col min="3327" max="3327" width="12.3984375" style="15" customWidth="1"/>
    <col min="3328" max="3328" width="9.5" style="15" customWidth="1"/>
    <col min="3329" max="3329" width="11.19921875" style="15" customWidth="1"/>
    <col min="3330" max="3580" width="7.19921875" style="15"/>
    <col min="3581" max="3581" width="17.796875" style="15" customWidth="1"/>
    <col min="3582" max="3582" width="7.19921875" style="15"/>
    <col min="3583" max="3583" width="12.3984375" style="15" customWidth="1"/>
    <col min="3584" max="3584" width="9.5" style="15" customWidth="1"/>
    <col min="3585" max="3585" width="11.19921875" style="15" customWidth="1"/>
    <col min="3586" max="3836" width="7.19921875" style="15"/>
    <col min="3837" max="3837" width="17.796875" style="15" customWidth="1"/>
    <col min="3838" max="3838" width="7.19921875" style="15"/>
    <col min="3839" max="3839" width="12.3984375" style="15" customWidth="1"/>
    <col min="3840" max="3840" width="9.5" style="15" customWidth="1"/>
    <col min="3841" max="3841" width="11.19921875" style="15" customWidth="1"/>
    <col min="3842" max="4092" width="7.19921875" style="15"/>
    <col min="4093" max="4093" width="17.796875" style="15" customWidth="1"/>
    <col min="4094" max="4094" width="7.19921875" style="15"/>
    <col min="4095" max="4095" width="12.3984375" style="15" customWidth="1"/>
    <col min="4096" max="4096" width="9.5" style="15" customWidth="1"/>
    <col min="4097" max="4097" width="11.19921875" style="15" customWidth="1"/>
    <col min="4098" max="4348" width="7.19921875" style="15"/>
    <col min="4349" max="4349" width="17.796875" style="15" customWidth="1"/>
    <col min="4350" max="4350" width="7.19921875" style="15"/>
    <col min="4351" max="4351" width="12.3984375" style="15" customWidth="1"/>
    <col min="4352" max="4352" width="9.5" style="15" customWidth="1"/>
    <col min="4353" max="4353" width="11.19921875" style="15" customWidth="1"/>
    <col min="4354" max="4604" width="7.19921875" style="15"/>
    <col min="4605" max="4605" width="17.796875" style="15" customWidth="1"/>
    <col min="4606" max="4606" width="7.19921875" style="15"/>
    <col min="4607" max="4607" width="12.3984375" style="15" customWidth="1"/>
    <col min="4608" max="4608" width="9.5" style="15" customWidth="1"/>
    <col min="4609" max="4609" width="11.19921875" style="15" customWidth="1"/>
    <col min="4610" max="4860" width="7.19921875" style="15"/>
    <col min="4861" max="4861" width="17.796875" style="15" customWidth="1"/>
    <col min="4862" max="4862" width="7.19921875" style="15"/>
    <col min="4863" max="4863" width="12.3984375" style="15" customWidth="1"/>
    <col min="4864" max="4864" width="9.5" style="15" customWidth="1"/>
    <col min="4865" max="4865" width="11.19921875" style="15" customWidth="1"/>
    <col min="4866" max="5116" width="7.19921875" style="15"/>
    <col min="5117" max="5117" width="17.796875" style="15" customWidth="1"/>
    <col min="5118" max="5118" width="7.19921875" style="15"/>
    <col min="5119" max="5119" width="12.3984375" style="15" customWidth="1"/>
    <col min="5120" max="5120" width="9.5" style="15" customWidth="1"/>
    <col min="5121" max="5121" width="11.19921875" style="15" customWidth="1"/>
    <col min="5122" max="5372" width="7.19921875" style="15"/>
    <col min="5373" max="5373" width="17.796875" style="15" customWidth="1"/>
    <col min="5374" max="5374" width="7.19921875" style="15"/>
    <col min="5375" max="5375" width="12.3984375" style="15" customWidth="1"/>
    <col min="5376" max="5376" width="9.5" style="15" customWidth="1"/>
    <col min="5377" max="5377" width="11.19921875" style="15" customWidth="1"/>
    <col min="5378" max="5628" width="7.19921875" style="15"/>
    <col min="5629" max="5629" width="17.796875" style="15" customWidth="1"/>
    <col min="5630" max="5630" width="7.19921875" style="15"/>
    <col min="5631" max="5631" width="12.3984375" style="15" customWidth="1"/>
    <col min="5632" max="5632" width="9.5" style="15" customWidth="1"/>
    <col min="5633" max="5633" width="11.19921875" style="15" customWidth="1"/>
    <col min="5634" max="5884" width="7.19921875" style="15"/>
    <col min="5885" max="5885" width="17.796875" style="15" customWidth="1"/>
    <col min="5886" max="5886" width="7.19921875" style="15"/>
    <col min="5887" max="5887" width="12.3984375" style="15" customWidth="1"/>
    <col min="5888" max="5888" width="9.5" style="15" customWidth="1"/>
    <col min="5889" max="5889" width="11.19921875" style="15" customWidth="1"/>
    <col min="5890" max="6140" width="7.19921875" style="15"/>
    <col min="6141" max="6141" width="17.796875" style="15" customWidth="1"/>
    <col min="6142" max="6142" width="7.19921875" style="15"/>
    <col min="6143" max="6143" width="12.3984375" style="15" customWidth="1"/>
    <col min="6144" max="6144" width="9.5" style="15" customWidth="1"/>
    <col min="6145" max="6145" width="11.19921875" style="15" customWidth="1"/>
    <col min="6146" max="6396" width="7.19921875" style="15"/>
    <col min="6397" max="6397" width="17.796875" style="15" customWidth="1"/>
    <col min="6398" max="6398" width="7.19921875" style="15"/>
    <col min="6399" max="6399" width="12.3984375" style="15" customWidth="1"/>
    <col min="6400" max="6400" width="9.5" style="15" customWidth="1"/>
    <col min="6401" max="6401" width="11.19921875" style="15" customWidth="1"/>
    <col min="6402" max="6652" width="7.19921875" style="15"/>
    <col min="6653" max="6653" width="17.796875" style="15" customWidth="1"/>
    <col min="6654" max="6654" width="7.19921875" style="15"/>
    <col min="6655" max="6655" width="12.3984375" style="15" customWidth="1"/>
    <col min="6656" max="6656" width="9.5" style="15" customWidth="1"/>
    <col min="6657" max="6657" width="11.19921875" style="15" customWidth="1"/>
    <col min="6658" max="6908" width="7.19921875" style="15"/>
    <col min="6909" max="6909" width="17.796875" style="15" customWidth="1"/>
    <col min="6910" max="6910" width="7.19921875" style="15"/>
    <col min="6911" max="6911" width="12.3984375" style="15" customWidth="1"/>
    <col min="6912" max="6912" width="9.5" style="15" customWidth="1"/>
    <col min="6913" max="6913" width="11.19921875" style="15" customWidth="1"/>
    <col min="6914" max="7164" width="7.19921875" style="15"/>
    <col min="7165" max="7165" width="17.796875" style="15" customWidth="1"/>
    <col min="7166" max="7166" width="7.19921875" style="15"/>
    <col min="7167" max="7167" width="12.3984375" style="15" customWidth="1"/>
    <col min="7168" max="7168" width="9.5" style="15" customWidth="1"/>
    <col min="7169" max="7169" width="11.19921875" style="15" customWidth="1"/>
    <col min="7170" max="7420" width="7.19921875" style="15"/>
    <col min="7421" max="7421" width="17.796875" style="15" customWidth="1"/>
    <col min="7422" max="7422" width="7.19921875" style="15"/>
    <col min="7423" max="7423" width="12.3984375" style="15" customWidth="1"/>
    <col min="7424" max="7424" width="9.5" style="15" customWidth="1"/>
    <col min="7425" max="7425" width="11.19921875" style="15" customWidth="1"/>
    <col min="7426" max="7676" width="7.19921875" style="15"/>
    <col min="7677" max="7677" width="17.796875" style="15" customWidth="1"/>
    <col min="7678" max="7678" width="7.19921875" style="15"/>
    <col min="7679" max="7679" width="12.3984375" style="15" customWidth="1"/>
    <col min="7680" max="7680" width="9.5" style="15" customWidth="1"/>
    <col min="7681" max="7681" width="11.19921875" style="15" customWidth="1"/>
    <col min="7682" max="7932" width="7.19921875" style="15"/>
    <col min="7933" max="7933" width="17.796875" style="15" customWidth="1"/>
    <col min="7934" max="7934" width="7.19921875" style="15"/>
    <col min="7935" max="7935" width="12.3984375" style="15" customWidth="1"/>
    <col min="7936" max="7936" width="9.5" style="15" customWidth="1"/>
    <col min="7937" max="7937" width="11.19921875" style="15" customWidth="1"/>
    <col min="7938" max="8188" width="7.19921875" style="15"/>
    <col min="8189" max="8189" width="17.796875" style="15" customWidth="1"/>
    <col min="8190" max="8190" width="7.19921875" style="15"/>
    <col min="8191" max="8191" width="12.3984375" style="15" customWidth="1"/>
    <col min="8192" max="8192" width="9.5" style="15" customWidth="1"/>
    <col min="8193" max="8193" width="11.19921875" style="15" customWidth="1"/>
    <col min="8194" max="8444" width="7.19921875" style="15"/>
    <col min="8445" max="8445" width="17.796875" style="15" customWidth="1"/>
    <col min="8446" max="8446" width="7.19921875" style="15"/>
    <col min="8447" max="8447" width="12.3984375" style="15" customWidth="1"/>
    <col min="8448" max="8448" width="9.5" style="15" customWidth="1"/>
    <col min="8449" max="8449" width="11.19921875" style="15" customWidth="1"/>
    <col min="8450" max="8700" width="7.19921875" style="15"/>
    <col min="8701" max="8701" width="17.796875" style="15" customWidth="1"/>
    <col min="8702" max="8702" width="7.19921875" style="15"/>
    <col min="8703" max="8703" width="12.3984375" style="15" customWidth="1"/>
    <col min="8704" max="8704" width="9.5" style="15" customWidth="1"/>
    <col min="8705" max="8705" width="11.19921875" style="15" customWidth="1"/>
    <col min="8706" max="8956" width="7.19921875" style="15"/>
    <col min="8957" max="8957" width="17.796875" style="15" customWidth="1"/>
    <col min="8958" max="8958" width="7.19921875" style="15"/>
    <col min="8959" max="8959" width="12.3984375" style="15" customWidth="1"/>
    <col min="8960" max="8960" width="9.5" style="15" customWidth="1"/>
    <col min="8961" max="8961" width="11.19921875" style="15" customWidth="1"/>
    <col min="8962" max="9212" width="7.19921875" style="15"/>
    <col min="9213" max="9213" width="17.796875" style="15" customWidth="1"/>
    <col min="9214" max="9214" width="7.19921875" style="15"/>
    <col min="9215" max="9215" width="12.3984375" style="15" customWidth="1"/>
    <col min="9216" max="9216" width="9.5" style="15" customWidth="1"/>
    <col min="9217" max="9217" width="11.19921875" style="15" customWidth="1"/>
    <col min="9218" max="9468" width="7.19921875" style="15"/>
    <col min="9469" max="9469" width="17.796875" style="15" customWidth="1"/>
    <col min="9470" max="9470" width="7.19921875" style="15"/>
    <col min="9471" max="9471" width="12.3984375" style="15" customWidth="1"/>
    <col min="9472" max="9472" width="9.5" style="15" customWidth="1"/>
    <col min="9473" max="9473" width="11.19921875" style="15" customWidth="1"/>
    <col min="9474" max="9724" width="7.19921875" style="15"/>
    <col min="9725" max="9725" width="17.796875" style="15" customWidth="1"/>
    <col min="9726" max="9726" width="7.19921875" style="15"/>
    <col min="9727" max="9727" width="12.3984375" style="15" customWidth="1"/>
    <col min="9728" max="9728" width="9.5" style="15" customWidth="1"/>
    <col min="9729" max="9729" width="11.19921875" style="15" customWidth="1"/>
    <col min="9730" max="9980" width="7.19921875" style="15"/>
    <col min="9981" max="9981" width="17.796875" style="15" customWidth="1"/>
    <col min="9982" max="9982" width="7.19921875" style="15"/>
    <col min="9983" max="9983" width="12.3984375" style="15" customWidth="1"/>
    <col min="9984" max="9984" width="9.5" style="15" customWidth="1"/>
    <col min="9985" max="9985" width="11.19921875" style="15" customWidth="1"/>
    <col min="9986" max="10236" width="7.19921875" style="15"/>
    <col min="10237" max="10237" width="17.796875" style="15" customWidth="1"/>
    <col min="10238" max="10238" width="7.19921875" style="15"/>
    <col min="10239" max="10239" width="12.3984375" style="15" customWidth="1"/>
    <col min="10240" max="10240" width="9.5" style="15" customWidth="1"/>
    <col min="10241" max="10241" width="11.19921875" style="15" customWidth="1"/>
    <col min="10242" max="10492" width="7.19921875" style="15"/>
    <col min="10493" max="10493" width="17.796875" style="15" customWidth="1"/>
    <col min="10494" max="10494" width="7.19921875" style="15"/>
    <col min="10495" max="10495" width="12.3984375" style="15" customWidth="1"/>
    <col min="10496" max="10496" width="9.5" style="15" customWidth="1"/>
    <col min="10497" max="10497" width="11.19921875" style="15" customWidth="1"/>
    <col min="10498" max="10748" width="7.19921875" style="15"/>
    <col min="10749" max="10749" width="17.796875" style="15" customWidth="1"/>
    <col min="10750" max="10750" width="7.19921875" style="15"/>
    <col min="10751" max="10751" width="12.3984375" style="15" customWidth="1"/>
    <col min="10752" max="10752" width="9.5" style="15" customWidth="1"/>
    <col min="10753" max="10753" width="11.19921875" style="15" customWidth="1"/>
    <col min="10754" max="11004" width="7.19921875" style="15"/>
    <col min="11005" max="11005" width="17.796875" style="15" customWidth="1"/>
    <col min="11006" max="11006" width="7.19921875" style="15"/>
    <col min="11007" max="11007" width="12.3984375" style="15" customWidth="1"/>
    <col min="11008" max="11008" width="9.5" style="15" customWidth="1"/>
    <col min="11009" max="11009" width="11.19921875" style="15" customWidth="1"/>
    <col min="11010" max="11260" width="7.19921875" style="15"/>
    <col min="11261" max="11261" width="17.796875" style="15" customWidth="1"/>
    <col min="11262" max="11262" width="7.19921875" style="15"/>
    <col min="11263" max="11263" width="12.3984375" style="15" customWidth="1"/>
    <col min="11264" max="11264" width="9.5" style="15" customWidth="1"/>
    <col min="11265" max="11265" width="11.19921875" style="15" customWidth="1"/>
    <col min="11266" max="11516" width="7.19921875" style="15"/>
    <col min="11517" max="11517" width="17.796875" style="15" customWidth="1"/>
    <col min="11518" max="11518" width="7.19921875" style="15"/>
    <col min="11519" max="11519" width="12.3984375" style="15" customWidth="1"/>
    <col min="11520" max="11520" width="9.5" style="15" customWidth="1"/>
    <col min="11521" max="11521" width="11.19921875" style="15" customWidth="1"/>
    <col min="11522" max="11772" width="7.19921875" style="15"/>
    <col min="11773" max="11773" width="17.796875" style="15" customWidth="1"/>
    <col min="11774" max="11774" width="7.19921875" style="15"/>
    <col min="11775" max="11775" width="12.3984375" style="15" customWidth="1"/>
    <col min="11776" max="11776" width="9.5" style="15" customWidth="1"/>
    <col min="11777" max="11777" width="11.19921875" style="15" customWidth="1"/>
    <col min="11778" max="12028" width="7.19921875" style="15"/>
    <col min="12029" max="12029" width="17.796875" style="15" customWidth="1"/>
    <col min="12030" max="12030" width="7.19921875" style="15"/>
    <col min="12031" max="12031" width="12.3984375" style="15" customWidth="1"/>
    <col min="12032" max="12032" width="9.5" style="15" customWidth="1"/>
    <col min="12033" max="12033" width="11.19921875" style="15" customWidth="1"/>
    <col min="12034" max="12284" width="7.19921875" style="15"/>
    <col min="12285" max="12285" width="17.796875" style="15" customWidth="1"/>
    <col min="12286" max="12286" width="7.19921875" style="15"/>
    <col min="12287" max="12287" width="12.3984375" style="15" customWidth="1"/>
    <col min="12288" max="12288" width="9.5" style="15" customWidth="1"/>
    <col min="12289" max="12289" width="11.19921875" style="15" customWidth="1"/>
    <col min="12290" max="12540" width="7.19921875" style="15"/>
    <col min="12541" max="12541" width="17.796875" style="15" customWidth="1"/>
    <col min="12542" max="12542" width="7.19921875" style="15"/>
    <col min="12543" max="12543" width="12.3984375" style="15" customWidth="1"/>
    <col min="12544" max="12544" width="9.5" style="15" customWidth="1"/>
    <col min="12545" max="12545" width="11.19921875" style="15" customWidth="1"/>
    <col min="12546" max="12796" width="7.19921875" style="15"/>
    <col min="12797" max="12797" width="17.796875" style="15" customWidth="1"/>
    <col min="12798" max="12798" width="7.19921875" style="15"/>
    <col min="12799" max="12799" width="12.3984375" style="15" customWidth="1"/>
    <col min="12800" max="12800" width="9.5" style="15" customWidth="1"/>
    <col min="12801" max="12801" width="11.19921875" style="15" customWidth="1"/>
    <col min="12802" max="13052" width="7.19921875" style="15"/>
    <col min="13053" max="13053" width="17.796875" style="15" customWidth="1"/>
    <col min="13054" max="13054" width="7.19921875" style="15"/>
    <col min="13055" max="13055" width="12.3984375" style="15" customWidth="1"/>
    <col min="13056" max="13056" width="9.5" style="15" customWidth="1"/>
    <col min="13057" max="13057" width="11.19921875" style="15" customWidth="1"/>
    <col min="13058" max="13308" width="7.19921875" style="15"/>
    <col min="13309" max="13309" width="17.796875" style="15" customWidth="1"/>
    <col min="13310" max="13310" width="7.19921875" style="15"/>
    <col min="13311" max="13311" width="12.3984375" style="15" customWidth="1"/>
    <col min="13312" max="13312" width="9.5" style="15" customWidth="1"/>
    <col min="13313" max="13313" width="11.19921875" style="15" customWidth="1"/>
    <col min="13314" max="13564" width="7.19921875" style="15"/>
    <col min="13565" max="13565" width="17.796875" style="15" customWidth="1"/>
    <col min="13566" max="13566" width="7.19921875" style="15"/>
    <col min="13567" max="13567" width="12.3984375" style="15" customWidth="1"/>
    <col min="13568" max="13568" width="9.5" style="15" customWidth="1"/>
    <col min="13569" max="13569" width="11.19921875" style="15" customWidth="1"/>
    <col min="13570" max="13820" width="7.19921875" style="15"/>
    <col min="13821" max="13821" width="17.796875" style="15" customWidth="1"/>
    <col min="13822" max="13822" width="7.19921875" style="15"/>
    <col min="13823" max="13823" width="12.3984375" style="15" customWidth="1"/>
    <col min="13824" max="13824" width="9.5" style="15" customWidth="1"/>
    <col min="13825" max="13825" width="11.19921875" style="15" customWidth="1"/>
    <col min="13826" max="14076" width="7.19921875" style="15"/>
    <col min="14077" max="14077" width="17.796875" style="15" customWidth="1"/>
    <col min="14078" max="14078" width="7.19921875" style="15"/>
    <col min="14079" max="14079" width="12.3984375" style="15" customWidth="1"/>
    <col min="14080" max="14080" width="9.5" style="15" customWidth="1"/>
    <col min="14081" max="14081" width="11.19921875" style="15" customWidth="1"/>
    <col min="14082" max="14332" width="7.19921875" style="15"/>
    <col min="14333" max="14333" width="17.796875" style="15" customWidth="1"/>
    <col min="14334" max="14334" width="7.19921875" style="15"/>
    <col min="14335" max="14335" width="12.3984375" style="15" customWidth="1"/>
    <col min="14336" max="14336" width="9.5" style="15" customWidth="1"/>
    <col min="14337" max="14337" width="11.19921875" style="15" customWidth="1"/>
    <col min="14338" max="14588" width="7.19921875" style="15"/>
    <col min="14589" max="14589" width="17.796875" style="15" customWidth="1"/>
    <col min="14590" max="14590" width="7.19921875" style="15"/>
    <col min="14591" max="14591" width="12.3984375" style="15" customWidth="1"/>
    <col min="14592" max="14592" width="9.5" style="15" customWidth="1"/>
    <col min="14593" max="14593" width="11.19921875" style="15" customWidth="1"/>
    <col min="14594" max="14844" width="7.19921875" style="15"/>
    <col min="14845" max="14845" width="17.796875" style="15" customWidth="1"/>
    <col min="14846" max="14846" width="7.19921875" style="15"/>
    <col min="14847" max="14847" width="12.3984375" style="15" customWidth="1"/>
    <col min="14848" max="14848" width="9.5" style="15" customWidth="1"/>
    <col min="14849" max="14849" width="11.19921875" style="15" customWidth="1"/>
    <col min="14850" max="15100" width="7.19921875" style="15"/>
    <col min="15101" max="15101" width="17.796875" style="15" customWidth="1"/>
    <col min="15102" max="15102" width="7.19921875" style="15"/>
    <col min="15103" max="15103" width="12.3984375" style="15" customWidth="1"/>
    <col min="15104" max="15104" width="9.5" style="15" customWidth="1"/>
    <col min="15105" max="15105" width="11.19921875" style="15" customWidth="1"/>
    <col min="15106" max="15356" width="7.19921875" style="15"/>
    <col min="15357" max="15357" width="17.796875" style="15" customWidth="1"/>
    <col min="15358" max="15358" width="7.19921875" style="15"/>
    <col min="15359" max="15359" width="12.3984375" style="15" customWidth="1"/>
    <col min="15360" max="15360" width="9.5" style="15" customWidth="1"/>
    <col min="15361" max="15361" width="11.19921875" style="15" customWidth="1"/>
    <col min="15362" max="15612" width="7.19921875" style="15"/>
    <col min="15613" max="15613" width="17.796875" style="15" customWidth="1"/>
    <col min="15614" max="15614" width="7.19921875" style="15"/>
    <col min="15615" max="15615" width="12.3984375" style="15" customWidth="1"/>
    <col min="15616" max="15616" width="9.5" style="15" customWidth="1"/>
    <col min="15617" max="15617" width="11.19921875" style="15" customWidth="1"/>
    <col min="15618" max="15868" width="7.19921875" style="15"/>
    <col min="15869" max="15869" width="17.796875" style="15" customWidth="1"/>
    <col min="15870" max="15870" width="7.19921875" style="15"/>
    <col min="15871" max="15871" width="12.3984375" style="15" customWidth="1"/>
    <col min="15872" max="15872" width="9.5" style="15" customWidth="1"/>
    <col min="15873" max="15873" width="11.19921875" style="15" customWidth="1"/>
    <col min="15874" max="16124" width="7.19921875" style="15"/>
    <col min="16125" max="16125" width="17.796875" style="15" customWidth="1"/>
    <col min="16126" max="16126" width="7.19921875" style="15"/>
    <col min="16127" max="16127" width="12.3984375" style="15" customWidth="1"/>
    <col min="16128" max="16128" width="9.5" style="15" customWidth="1"/>
    <col min="16129" max="16129" width="11.19921875" style="15" customWidth="1"/>
    <col min="16130" max="16384" width="7.19921875" style="15"/>
  </cols>
  <sheetData>
    <row r="1" spans="1:18" s="2" customFormat="1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  <c r="P1" s="10"/>
    </row>
    <row r="2" spans="1:18" s="2" customFormat="1" x14ac:dyDescent="0.25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  <c r="P2" s="10"/>
    </row>
    <row r="3" spans="1:18" s="2" customFormat="1" ht="12" customHeight="1" x14ac:dyDescent="0.25">
      <c r="B3" s="73" t="s">
        <v>170</v>
      </c>
      <c r="C3" s="73"/>
      <c r="D3" s="73"/>
      <c r="E3" s="73"/>
      <c r="F3" s="73"/>
      <c r="G3" s="73"/>
      <c r="H3" s="73"/>
      <c r="I3" s="73"/>
      <c r="J3" s="73"/>
      <c r="K3" s="73"/>
      <c r="L3" s="2" t="s">
        <v>171</v>
      </c>
      <c r="M3" s="38" t="s">
        <v>174</v>
      </c>
      <c r="N3" s="38" t="s">
        <v>10</v>
      </c>
      <c r="O3" s="38" t="s">
        <v>175</v>
      </c>
      <c r="P3" s="39" t="s">
        <v>176</v>
      </c>
      <c r="Q3" s="39" t="s">
        <v>177</v>
      </c>
    </row>
    <row r="4" spans="1:18" s="31" customFormat="1" ht="24" outlineLevel="1" x14ac:dyDescent="0.15">
      <c r="A4" s="18">
        <v>1</v>
      </c>
      <c r="B4" s="28" t="s">
        <v>401</v>
      </c>
      <c r="C4" s="28" t="s">
        <v>28</v>
      </c>
      <c r="D4" s="28" t="s">
        <v>21</v>
      </c>
      <c r="E4" s="29" t="s">
        <v>128</v>
      </c>
      <c r="F4" s="28" t="s">
        <v>173</v>
      </c>
      <c r="G4" s="28"/>
      <c r="H4" s="30"/>
      <c r="I4" s="28" t="s">
        <v>23</v>
      </c>
      <c r="J4" s="29" t="s">
        <v>130</v>
      </c>
      <c r="K4" s="28" t="s">
        <v>24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('ys8E4A49-6813-5A9E-E050-007F21706A70','CHB_PRD_ISSUE_SUB_TMP','com.joyintech.tams.common.svreport.datacheck.service.BaseCheckLib','isNotEmpty','PROD_REGIST_CODE','','','产品登记编码要素不可为空。','E','N');</v>
      </c>
      <c r="M4" s="78" t="s">
        <v>178</v>
      </c>
      <c r="N4" s="40">
        <v>1</v>
      </c>
      <c r="O4" s="18" t="s">
        <v>179</v>
      </c>
      <c r="P4" s="41" t="s">
        <v>180</v>
      </c>
      <c r="Q4" s="41" t="s">
        <v>181</v>
      </c>
    </row>
    <row r="5" spans="1:18" s="31" customFormat="1" ht="12" customHeight="1" outlineLevel="1" x14ac:dyDescent="0.15">
      <c r="A5" s="18">
        <v>2</v>
      </c>
      <c r="B5" s="28" t="s">
        <v>134</v>
      </c>
      <c r="C5" s="28" t="s">
        <v>28</v>
      </c>
      <c r="D5" s="28" t="s">
        <v>21</v>
      </c>
      <c r="E5" s="29" t="s">
        <v>88</v>
      </c>
      <c r="F5" s="28" t="s">
        <v>173</v>
      </c>
      <c r="G5" s="28"/>
      <c r="H5" s="30" t="s">
        <v>356</v>
      </c>
      <c r="I5" s="28" t="s">
        <v>309</v>
      </c>
      <c r="J5" s="29" t="s">
        <v>131</v>
      </c>
      <c r="K5" s="28" t="s">
        <v>24</v>
      </c>
      <c r="L5" s="2" t="str">
        <f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ys8E4A49-6813-5A9E-E050-007F21706A71','CHB_PRD_ISSUE_SUB_TMP','com.joyintech.tams.common.svreport.datacheck.service.BaseCheckLib','isCustomizedString','PROD_REGIST_CODE','','^[0-9a-zA-Z]{14,15}$','产品登记编码要素格式不对。正确的格式：14或15位英文或数字。','E','Y');</v>
      </c>
      <c r="M5" s="78"/>
      <c r="N5" s="40">
        <v>2</v>
      </c>
      <c r="O5" s="18" t="s">
        <v>179</v>
      </c>
      <c r="P5" s="41" t="s">
        <v>182</v>
      </c>
      <c r="Q5" s="41" t="s">
        <v>183</v>
      </c>
    </row>
    <row r="6" spans="1:18" s="31" customFormat="1" ht="12" customHeight="1" outlineLevel="1" x14ac:dyDescent="0.15">
      <c r="A6" s="18">
        <v>3</v>
      </c>
      <c r="B6" s="49"/>
      <c r="C6" s="49"/>
      <c r="D6" s="49"/>
      <c r="E6" s="50"/>
      <c r="F6" s="49"/>
      <c r="G6" s="49"/>
      <c r="H6" s="51"/>
      <c r="I6" s="49"/>
      <c r="J6" s="50"/>
      <c r="K6" s="49"/>
      <c r="L6" s="2"/>
      <c r="M6" s="78"/>
      <c r="N6" s="43">
        <v>3</v>
      </c>
      <c r="O6" s="44" t="s">
        <v>179</v>
      </c>
      <c r="P6" s="45" t="s">
        <v>184</v>
      </c>
      <c r="Q6" s="45" t="s">
        <v>185</v>
      </c>
      <c r="R6" s="31" t="s">
        <v>310</v>
      </c>
    </row>
    <row r="7" spans="1:18" s="31" customFormat="1" ht="12" customHeight="1" outlineLevel="1" x14ac:dyDescent="0.15">
      <c r="A7" s="18">
        <v>4</v>
      </c>
      <c r="B7" s="49"/>
      <c r="C7" s="49"/>
      <c r="D7" s="49"/>
      <c r="E7" s="50"/>
      <c r="F7" s="49"/>
      <c r="G7" s="49"/>
      <c r="H7" s="51"/>
      <c r="I7" s="49"/>
      <c r="J7" s="50"/>
      <c r="K7" s="49"/>
      <c r="L7" s="2"/>
      <c r="M7" s="78"/>
      <c r="N7" s="43">
        <v>4</v>
      </c>
      <c r="O7" s="44" t="s">
        <v>186</v>
      </c>
      <c r="P7" s="46" t="s">
        <v>187</v>
      </c>
      <c r="Q7" s="47" t="s">
        <v>188</v>
      </c>
      <c r="R7" s="31" t="s">
        <v>310</v>
      </c>
    </row>
    <row r="8" spans="1:18" s="31" customFormat="1" ht="12" customHeight="1" outlineLevel="1" x14ac:dyDescent="0.15">
      <c r="A8" s="18">
        <v>5</v>
      </c>
      <c r="B8" s="49"/>
      <c r="C8" s="49"/>
      <c r="D8" s="49"/>
      <c r="E8" s="50"/>
      <c r="F8" s="49"/>
      <c r="G8" s="49"/>
      <c r="H8" s="51"/>
      <c r="I8" s="49"/>
      <c r="J8" s="50"/>
      <c r="K8" s="49"/>
      <c r="L8" s="2"/>
      <c r="M8" s="78"/>
      <c r="N8" s="43">
        <v>5</v>
      </c>
      <c r="O8" s="44" t="s">
        <v>186</v>
      </c>
      <c r="P8" s="46" t="s">
        <v>189</v>
      </c>
      <c r="Q8" s="46" t="s">
        <v>190</v>
      </c>
      <c r="R8" s="31" t="s">
        <v>310</v>
      </c>
    </row>
    <row r="9" spans="1:18" s="31" customFormat="1" ht="12" customHeight="1" outlineLevel="1" x14ac:dyDescent="0.15">
      <c r="A9" s="18">
        <v>6</v>
      </c>
      <c r="B9" s="49"/>
      <c r="C9" s="49"/>
      <c r="D9" s="49"/>
      <c r="E9" s="50"/>
      <c r="F9" s="49"/>
      <c r="G9" s="49"/>
      <c r="H9" s="51"/>
      <c r="I9" s="49"/>
      <c r="J9" s="50"/>
      <c r="K9" s="49"/>
      <c r="L9" s="2"/>
      <c r="M9" s="78"/>
      <c r="N9" s="43">
        <v>6</v>
      </c>
      <c r="O9" s="44" t="s">
        <v>186</v>
      </c>
      <c r="P9" s="46" t="s">
        <v>191</v>
      </c>
      <c r="Q9" s="48" t="s">
        <v>192</v>
      </c>
      <c r="R9" s="31" t="s">
        <v>310</v>
      </c>
    </row>
    <row r="10" spans="1:18" s="31" customFormat="1" ht="12" customHeight="1" outlineLevel="1" x14ac:dyDescent="0.15">
      <c r="A10" s="18">
        <v>7</v>
      </c>
      <c r="B10" s="28" t="s">
        <v>132</v>
      </c>
      <c r="C10" s="28" t="s">
        <v>28</v>
      </c>
      <c r="D10" s="28" t="s">
        <v>21</v>
      </c>
      <c r="E10" s="29" t="s">
        <v>128</v>
      </c>
      <c r="F10" s="28" t="s">
        <v>126</v>
      </c>
      <c r="G10" s="28"/>
      <c r="H10" s="30"/>
      <c r="I10" s="28" t="s">
        <v>23</v>
      </c>
      <c r="J10" s="29" t="s">
        <v>129</v>
      </c>
      <c r="K10" s="28" t="s">
        <v>24</v>
      </c>
      <c r="L10" s="2" t="str">
        <f>CONCATENATE("insert into CHB_DATACHECK_RULE (CHECKRULEID,DATATYPE,CHECKCLASS,CHECKMETHOD,SRCPROPERTY,COMPARETO,OBJVALUE,REMARK,STATUS,NULLABLE) values ('",B10,"','",C10,"','",D10,"','",E10,"','",F10,"','",G10,"','",H10,"','",J10,"','",K10,"','",I10,"');")</f>
        <v>insert into CHB_DATACHECK_RULE (CHECKRULEID,DATATYPE,CHECKCLASS,CHECKMETHOD,SRCPROPERTY,COMPARETO,OBJVALUE,REMARK,STATUS,NULLABLE) values ('ys8E4A49-6813-5A9E-E050-007F21706A68','CHB_PRD_ISSUE_SUB_TMP','com.joyintech.tams.common.svreport.datacheck.service.BaseCheckLib','isNotEmpty','ISSUE_PARTY_ID','','','发行机构代码要素不可为空。','E','N');</v>
      </c>
      <c r="M10" s="78" t="s">
        <v>193</v>
      </c>
      <c r="N10" s="40">
        <v>7</v>
      </c>
      <c r="O10" s="18" t="s">
        <v>179</v>
      </c>
      <c r="P10" s="41" t="s">
        <v>180</v>
      </c>
      <c r="Q10" s="41" t="s">
        <v>194</v>
      </c>
    </row>
    <row r="11" spans="1:18" s="31" customFormat="1" ht="12" customHeight="1" outlineLevel="1" x14ac:dyDescent="0.15">
      <c r="A11" s="18">
        <v>8</v>
      </c>
      <c r="B11" s="49"/>
      <c r="C11" s="49"/>
      <c r="D11" s="49"/>
      <c r="E11" s="50"/>
      <c r="F11" s="49"/>
      <c r="G11" s="49"/>
      <c r="H11" s="51"/>
      <c r="I11" s="49"/>
      <c r="J11" s="50"/>
      <c r="K11" s="49"/>
      <c r="L11" s="2"/>
      <c r="M11" s="78"/>
      <c r="N11" s="43">
        <v>8</v>
      </c>
      <c r="O11" s="44" t="s">
        <v>179</v>
      </c>
      <c r="P11" s="45" t="s">
        <v>195</v>
      </c>
      <c r="Q11" s="45" t="s">
        <v>196</v>
      </c>
      <c r="R11" s="31" t="s">
        <v>310</v>
      </c>
    </row>
    <row r="12" spans="1:18" s="31" customFormat="1" ht="12" customHeight="1" outlineLevel="1" x14ac:dyDescent="0.15">
      <c r="A12" s="18">
        <v>9</v>
      </c>
      <c r="B12" s="28" t="s">
        <v>133</v>
      </c>
      <c r="C12" s="28" t="s">
        <v>28</v>
      </c>
      <c r="D12" s="28" t="s">
        <v>21</v>
      </c>
      <c r="E12" s="29" t="s">
        <v>88</v>
      </c>
      <c r="F12" s="28" t="s">
        <v>126</v>
      </c>
      <c r="G12" s="28"/>
      <c r="H12" s="30" t="s">
        <v>355</v>
      </c>
      <c r="I12" s="28" t="s">
        <v>309</v>
      </c>
      <c r="J12" s="29" t="s">
        <v>127</v>
      </c>
      <c r="K12" s="28" t="s">
        <v>24</v>
      </c>
      <c r="L12" s="2" t="str">
        <f>CONCATENATE("insert into CHB_DATACHECK_RULE (CHECKRULEID,DATATYPE,CHECKCLASS,CHECKMETHOD,SRCPROPERTY,COMPARETO,OBJVALUE,REMARK,STATUS,NULLABLE) values ('",B12,"','",C12,"','",D12,"','",E12,"','",F12,"','",G12,"','",H12,"','",J12,"','",K12,"','",I12,"');")</f>
        <v>insert into CHB_DATACHECK_RULE (CHECKRULEID,DATATYPE,CHECKCLASS,CHECKMETHOD,SRCPROPERTY,COMPARETO,OBJVALUE,REMARK,STATUS,NULLABLE) values ('ys8E4A49-6813-5A9E-E050-007F21706A69','CHB_PRD_ISSUE_SUB_TMP','com.joyintech.tams.common.svreport.datacheck.service.BaseCheckLib','isCustomizedString','ISSUE_PARTY_ID','','^[0-9a-zA-Z]{6}$','发行机构代码要素格式不对。正确的格式：6位英文或数字。','E','Y');</v>
      </c>
      <c r="M12" s="78"/>
      <c r="N12" s="40">
        <v>9</v>
      </c>
      <c r="O12" s="18" t="s">
        <v>179</v>
      </c>
      <c r="P12" s="41" t="s">
        <v>197</v>
      </c>
      <c r="Q12" s="41" t="s">
        <v>198</v>
      </c>
    </row>
    <row r="13" spans="1:18" s="31" customFormat="1" ht="12" customHeight="1" outlineLevel="1" x14ac:dyDescent="0.15">
      <c r="A13" s="18">
        <v>10</v>
      </c>
      <c r="B13" s="28" t="s">
        <v>136</v>
      </c>
      <c r="C13" s="28" t="s">
        <v>28</v>
      </c>
      <c r="D13" s="28" t="s">
        <v>21</v>
      </c>
      <c r="E13" s="29" t="s">
        <v>128</v>
      </c>
      <c r="F13" s="28" t="s">
        <v>51</v>
      </c>
      <c r="G13" s="28"/>
      <c r="H13" s="30"/>
      <c r="I13" s="28" t="s">
        <v>23</v>
      </c>
      <c r="J13" s="29" t="s">
        <v>139</v>
      </c>
      <c r="K13" s="28" t="s">
        <v>24</v>
      </c>
      <c r="L13" s="2" t="str">
        <f t="shared" ref="L13" si="0"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('ys8E4A49-6813-5A9E-E050-007F21706A72','CHB_PRD_ISSUE_SUB_TMP','com.joyintech.tams.common.svreport.datacheck.service.BaseCheckLib','isNotEmpty','PROD_ID','','','理财产品代码要素不可为空。','E','N');</v>
      </c>
      <c r="M13" s="78" t="s">
        <v>199</v>
      </c>
      <c r="N13" s="40">
        <v>10</v>
      </c>
      <c r="O13" s="18" t="s">
        <v>179</v>
      </c>
      <c r="P13" s="41" t="s">
        <v>180</v>
      </c>
      <c r="Q13" s="41" t="s">
        <v>200</v>
      </c>
    </row>
    <row r="14" spans="1:18" s="31" customFormat="1" ht="12" customHeight="1" outlineLevel="1" x14ac:dyDescent="0.15">
      <c r="A14" s="18">
        <v>11</v>
      </c>
      <c r="B14" s="28" t="s">
        <v>45</v>
      </c>
      <c r="C14" s="28" t="s">
        <v>170</v>
      </c>
      <c r="D14" s="28" t="s">
        <v>21</v>
      </c>
      <c r="E14" s="29" t="s">
        <v>358</v>
      </c>
      <c r="F14" s="28" t="s">
        <v>51</v>
      </c>
      <c r="G14" s="28"/>
      <c r="H14" s="30" t="s">
        <v>55</v>
      </c>
      <c r="I14" s="52" t="s">
        <v>309</v>
      </c>
      <c r="J14" s="29" t="s">
        <v>135</v>
      </c>
      <c r="K14" s="28" t="s">
        <v>24</v>
      </c>
      <c r="L14" s="2" t="str">
        <f>CONCATENATE("insert into CHB_DATACHECK_RULE (CHECKRULEID,DATATYPE,CHECKCLASS,CHECKMETHOD,SRCPROPERTY,COMPARETO,OBJVALUE,REMARK,STATUS,NULLABLE) values ('",B14,"','",C14,"','",D14,"','",E14,"','",F14,"','",G14,"','",H14,"','",J14,"','",K14,"','",I14,"');")</f>
        <v>insert into CHB_DATACHECK_RULE (CHECKRULEID,DATATYPE,CHECKCLASS,CHECKMETHOD,SRCPROPERTY,COMPARETO,OBJVALUE,REMARK,STATUS,NULLABLE) values ('873E4A49-6810-5A9E-E050-007F01006A23','CHB_PRD_ISSUE_SUB_TMP','com.joyintech.tams.common.svreport.datacheck.service.BaseCheckLib','lessThanCharLength','PROD_ID','','101','理财产品代码过长','E','Y');</v>
      </c>
      <c r="M14" s="78"/>
      <c r="N14" s="40">
        <v>11</v>
      </c>
      <c r="O14" s="18" t="s">
        <v>179</v>
      </c>
      <c r="P14" s="41" t="s">
        <v>201</v>
      </c>
      <c r="Q14" s="41" t="s">
        <v>202</v>
      </c>
    </row>
    <row r="15" spans="1:18" s="31" customFormat="1" ht="24" outlineLevel="1" x14ac:dyDescent="0.15">
      <c r="A15" s="18">
        <v>12</v>
      </c>
      <c r="B15" s="28" t="s">
        <v>137</v>
      </c>
      <c r="C15" s="28" t="s">
        <v>28</v>
      </c>
      <c r="D15" s="28" t="s">
        <v>21</v>
      </c>
      <c r="E15" s="29" t="s">
        <v>125</v>
      </c>
      <c r="F15" s="28" t="s">
        <v>51</v>
      </c>
      <c r="G15" s="28"/>
      <c r="H15" s="30" t="s">
        <v>402</v>
      </c>
      <c r="I15" s="52" t="s">
        <v>309</v>
      </c>
      <c r="J15" s="29" t="s">
        <v>138</v>
      </c>
      <c r="K15" s="28" t="s">
        <v>24</v>
      </c>
      <c r="L15" s="2" t="str">
        <f>CONCATENATE("insert into CHB_DATACHECK_RULE (CHECKRULEID,DATATYPE,CHECKCLASS,CHECKMETHOD,SRCPROPERTY,COMPARETO,OBJVALUE,REMARK,STATUS,NULLABLE) values ('",B15,"','",C15,"','",D15,"','",E15,"','",F15,"','",G15,"','",H15,"','",J15,"','",K15,"','",I15,"');")</f>
        <v>insert into CHB_DATACHECK_RULE (CHECKRULEID,DATATYPE,CHECKCLASS,CHECKMETHOD,SRCPROPERTY,COMPARETO,OBJVALUE,REMARK,STATUS,NULLABLE) values ('ys8E4A49-6813-5A9E-E050-007F21706A73','CHB_PRD_ISSUE_SUB_TMP','com.joyintech.tams.common.svreport.datacheck.service.BaseCheckLib','isCustomizedStringForWhitelist','PROD_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理财产品代码必须填写白名单中的文字。','E','Y');</v>
      </c>
      <c r="M15" s="78"/>
      <c r="N15" s="40">
        <v>12</v>
      </c>
      <c r="O15" s="18" t="s">
        <v>179</v>
      </c>
      <c r="P15" s="41" t="s">
        <v>203</v>
      </c>
      <c r="Q15" s="41" t="s">
        <v>204</v>
      </c>
    </row>
    <row r="16" spans="1:18" s="31" customFormat="1" outlineLevel="1" x14ac:dyDescent="0.15">
      <c r="A16" s="18">
        <v>13</v>
      </c>
      <c r="B16" s="49"/>
      <c r="C16" s="49"/>
      <c r="D16" s="49"/>
      <c r="E16" s="50"/>
      <c r="F16" s="49"/>
      <c r="G16" s="49"/>
      <c r="H16" s="51"/>
      <c r="I16" s="49"/>
      <c r="J16" s="50"/>
      <c r="K16" s="49"/>
      <c r="L16" s="2"/>
      <c r="M16" s="78"/>
      <c r="N16" s="43">
        <v>13</v>
      </c>
      <c r="O16" s="44" t="s">
        <v>179</v>
      </c>
      <c r="P16" s="45" t="s">
        <v>184</v>
      </c>
      <c r="Q16" s="45" t="s">
        <v>205</v>
      </c>
      <c r="R16" s="53" t="s">
        <v>310</v>
      </c>
    </row>
    <row r="17" spans="1:18" s="31" customFormat="1" ht="24" outlineLevel="1" x14ac:dyDescent="0.15">
      <c r="A17" s="18">
        <v>14</v>
      </c>
      <c r="B17" s="49"/>
      <c r="C17" s="49"/>
      <c r="D17" s="49"/>
      <c r="E17" s="50"/>
      <c r="F17" s="49"/>
      <c r="G17" s="49"/>
      <c r="H17" s="51"/>
      <c r="I17" s="49"/>
      <c r="J17" s="50"/>
      <c r="K17" s="49"/>
      <c r="L17" s="2"/>
      <c r="M17" s="78"/>
      <c r="N17" s="43">
        <v>14</v>
      </c>
      <c r="O17" s="44" t="s">
        <v>186</v>
      </c>
      <c r="P17" s="46" t="s">
        <v>206</v>
      </c>
      <c r="Q17" s="47" t="s">
        <v>207</v>
      </c>
      <c r="R17" s="53" t="s">
        <v>310</v>
      </c>
    </row>
    <row r="18" spans="1:18" s="31" customFormat="1" ht="35.25" customHeight="1" outlineLevel="1" x14ac:dyDescent="0.15">
      <c r="A18" s="18">
        <v>15</v>
      </c>
      <c r="B18" s="28" t="s">
        <v>140</v>
      </c>
      <c r="C18" s="28" t="s">
        <v>28</v>
      </c>
      <c r="D18" s="28" t="s">
        <v>21</v>
      </c>
      <c r="E18" s="29" t="s">
        <v>128</v>
      </c>
      <c r="F18" s="28" t="s">
        <v>50</v>
      </c>
      <c r="G18" s="28"/>
      <c r="H18" s="30"/>
      <c r="I18" s="28" t="s">
        <v>23</v>
      </c>
      <c r="J18" s="29" t="s">
        <v>357</v>
      </c>
      <c r="K18" s="28" t="s">
        <v>24</v>
      </c>
      <c r="L18" s="2" t="str">
        <f>CONCATENATE("insert into CHB_DATACHECK_RULE (CHECKRULEID,DATATYPE,CHECKCLASS,CHECKMETHOD,SRCPROPERTY,COMPARETO,OBJVALUE,REMARK,STATUS,NULLABLE) values ('",B18,"','",C18,"','",D18,"','",E18,"','",F18,"','",G18,"','",H18,"','",J18,"','",K18,"','",I18,"');")</f>
        <v>insert into CHB_DATACHECK_RULE (CHECKRULEID,DATATYPE,CHECKCLASS,CHECKMETHOD,SRCPROPERTY,COMPARETO,OBJVALUE,REMARK,STATUS,NULLABLE) values ('ys8E4A49-6813-5A9E-E050-007F21706A74','CHB_PRD_ISSUE_SUB_TMP','com.joyintech.tams.common.svreport.datacheck.service.BaseCheckLib','isNotEmpty','RAISE_VDATE','','','募集起始日期要素不可为空。','E','N');</v>
      </c>
      <c r="M18" s="78" t="s">
        <v>208</v>
      </c>
      <c r="N18" s="40">
        <v>15</v>
      </c>
      <c r="O18" s="18" t="s">
        <v>179</v>
      </c>
      <c r="P18" s="41" t="s">
        <v>180</v>
      </c>
      <c r="Q18" s="41" t="s">
        <v>209</v>
      </c>
    </row>
    <row r="19" spans="1:18" s="31" customFormat="1" ht="36" outlineLevel="1" x14ac:dyDescent="0.15">
      <c r="A19" s="18">
        <v>16</v>
      </c>
      <c r="B19" s="28" t="s">
        <v>57</v>
      </c>
      <c r="C19" s="28" t="s">
        <v>28</v>
      </c>
      <c r="D19" s="28" t="s">
        <v>21</v>
      </c>
      <c r="E19" s="29" t="s">
        <v>313</v>
      </c>
      <c r="F19" s="28" t="s">
        <v>50</v>
      </c>
      <c r="G19" s="28"/>
      <c r="H19" s="30" t="s">
        <v>98</v>
      </c>
      <c r="I19" s="52" t="s">
        <v>309</v>
      </c>
      <c r="J19" s="29" t="s">
        <v>315</v>
      </c>
      <c r="K19" s="28" t="s">
        <v>24</v>
      </c>
      <c r="L19" s="2" t="str">
        <f>CONCATENATE("insert into CHB_DATACHECK_RULE (CHECKRULEID,DATATYPE,CHECKCLASS,CHECKMETHOD,SRCPROPERTY,COMPARETO,OBJVALUE,REMARK,STATUS,NULLABLE) values ('",B19,"','",C19,"','",D19,"','",E19,"','",F19,"','",G19,"','",H19,"','",J19,"','",K19,"','",I19,"');")</f>
        <v>insert into CHB_DATACHECK_RULE (CHECKRULEID,DATATYPE,CHECKCLASS,CHECKMETHOD,SRCPROPERTY,COMPARETO,OBJVALUE,REMARK,STATUS,NULLABLE) values ('ys154A49-6813-5A9E-E050-007F22006A65','CHB_PRD_ISSUE_SUB_TMP','com.joyintech.tams.common.svreport.datacheck.service.BaseCheckLib','isValidDate','RAISE_VDATE','','yyyy-MM-dd','募集起始日期必须为日期格式（YYYY-MM-DD）且是正确的日期。','E','Y');</v>
      </c>
      <c r="M19" s="78"/>
      <c r="N19" s="40">
        <v>16</v>
      </c>
      <c r="O19" s="18" t="s">
        <v>179</v>
      </c>
      <c r="P19" s="41" t="s">
        <v>210</v>
      </c>
      <c r="Q19" s="41" t="s">
        <v>311</v>
      </c>
    </row>
    <row r="20" spans="1:18" s="31" customFormat="1" ht="12" customHeight="1" outlineLevel="1" x14ac:dyDescent="0.15">
      <c r="A20" s="18">
        <v>17</v>
      </c>
      <c r="B20" s="49"/>
      <c r="C20" s="49"/>
      <c r="D20" s="49"/>
      <c r="E20" s="50"/>
      <c r="F20" s="49"/>
      <c r="G20" s="49"/>
      <c r="H20" s="51"/>
      <c r="I20" s="49"/>
      <c r="J20" s="50"/>
      <c r="K20" s="49"/>
      <c r="L20" s="2"/>
      <c r="M20" s="78"/>
      <c r="N20" s="43">
        <v>17</v>
      </c>
      <c r="O20" s="44" t="s">
        <v>179</v>
      </c>
      <c r="P20" s="45" t="s">
        <v>210</v>
      </c>
      <c r="Q20" s="45" t="s">
        <v>312</v>
      </c>
      <c r="R20" s="31" t="s">
        <v>314</v>
      </c>
    </row>
    <row r="21" spans="1:18" s="31" customFormat="1" ht="12" customHeight="1" outlineLevel="1" x14ac:dyDescent="0.15">
      <c r="A21" s="18">
        <v>18</v>
      </c>
      <c r="B21" s="49"/>
      <c r="C21" s="49"/>
      <c r="D21" s="49"/>
      <c r="E21" s="50"/>
      <c r="F21" s="49"/>
      <c r="G21" s="49"/>
      <c r="H21" s="51"/>
      <c r="I21" s="49"/>
      <c r="J21" s="50"/>
      <c r="K21" s="49"/>
      <c r="L21" s="2"/>
      <c r="M21" s="78"/>
      <c r="N21" s="43">
        <v>18</v>
      </c>
      <c r="O21" s="44" t="s">
        <v>186</v>
      </c>
      <c r="P21" s="46" t="s">
        <v>211</v>
      </c>
      <c r="Q21" s="46" t="s">
        <v>212</v>
      </c>
      <c r="R21" s="53" t="s">
        <v>310</v>
      </c>
    </row>
    <row r="22" spans="1:18" s="2" customFormat="1" ht="12" customHeight="1" outlineLevel="1" x14ac:dyDescent="0.15">
      <c r="A22" s="18">
        <v>19</v>
      </c>
      <c r="B22" s="28" t="s">
        <v>83</v>
      </c>
      <c r="C22" s="28" t="s">
        <v>28</v>
      </c>
      <c r="D22" s="28" t="s">
        <v>21</v>
      </c>
      <c r="E22" s="29" t="s">
        <v>128</v>
      </c>
      <c r="F22" s="28" t="s">
        <v>53</v>
      </c>
      <c r="G22" s="28"/>
      <c r="H22" s="30"/>
      <c r="I22" s="28" t="s">
        <v>23</v>
      </c>
      <c r="J22" s="29" t="s">
        <v>317</v>
      </c>
      <c r="K22" s="28" t="s">
        <v>24</v>
      </c>
      <c r="L22" s="2" t="str">
        <f>CONCATENATE("insert into CHB_DATACHECK_RULE (CHECKRULEID,DATATYPE,CHECKCLASS,CHECKMETHOD,SRCPROPERTY,COMPARETO,OBJVALUE,REMARK,STATUS,NULLABLE) values ('",B22,"','",C22,"','",D22,"','",E22,"','",F22,"','",G22,"','",H22,"','",J22,"','",K22,"','",I22,"');")</f>
        <v>insert into CHB_DATACHECK_RULE (CHECKRULEID,DATATYPE,CHECKCLASS,CHECKMETHOD,SRCPROPERTY,COMPARETO,OBJVALUE,REMARK,STATUS,NULLABLE) values ('ys8E4A49-6813-5A9E-E050-007F21706A67','CHB_PRD_ISSUE_SUB_TMP','com.joyintech.tams.common.svreport.datacheck.service.BaseCheckLib','isNotEmpty','RAISE_ENDDATE','','','募集结束日期要素不可为空。','E','N');</v>
      </c>
      <c r="M22" s="78" t="s">
        <v>213</v>
      </c>
      <c r="N22" s="40">
        <v>19</v>
      </c>
      <c r="O22" s="18" t="s">
        <v>179</v>
      </c>
      <c r="P22" s="41" t="s">
        <v>180</v>
      </c>
      <c r="Q22" s="41" t="s">
        <v>316</v>
      </c>
    </row>
    <row r="23" spans="1:18" s="31" customFormat="1" ht="12" customHeight="1" outlineLevel="1" x14ac:dyDescent="0.15">
      <c r="A23" s="18">
        <v>20</v>
      </c>
      <c r="B23" s="28" t="s">
        <v>141</v>
      </c>
      <c r="C23" s="28" t="s">
        <v>28</v>
      </c>
      <c r="D23" s="28" t="s">
        <v>21</v>
      </c>
      <c r="E23" s="29" t="s">
        <v>313</v>
      </c>
      <c r="F23" s="28" t="s">
        <v>53</v>
      </c>
      <c r="G23" s="28"/>
      <c r="H23" s="30" t="s">
        <v>149</v>
      </c>
      <c r="I23" s="52" t="s">
        <v>309</v>
      </c>
      <c r="J23" s="29" t="s">
        <v>319</v>
      </c>
      <c r="K23" s="28" t="s">
        <v>24</v>
      </c>
      <c r="L23" s="2" t="str">
        <f t="shared" ref="L23:L25" si="1">CONCATENATE("insert into CHB_DATACHECK_RULE (CHECKRULEID,DATATYPE,CHECKCLASS,CHECKMETHOD,SRCPROPERTY,COMPARETO,OBJVALUE,REMARK,STATUS,NULLABLE) values ('",B23,"','",C23,"','",D23,"','",E23,"','",F23,"','",G23,"','",H23,"','",J23,"','",K23,"','",I23,"');")</f>
        <v>insert into CHB_DATACHECK_RULE (CHECKRULEID,DATATYPE,CHECKCLASS,CHECKMETHOD,SRCPROPERTY,COMPARETO,OBJVALUE,REMARK,STATUS,NULLABLE) values ('ys8E4A49-6813-5A9E-E050-007F21706A75','CHB_PRD_ISSUE_SUB_TMP','com.joyintech.tams.common.svreport.datacheck.service.BaseCheckLib','isValidDate','RAISE_ENDDATE','','yyyy-MM-dd','募集结束日期必须为日期格式（YYYY-MM-DD）且是正确的日期。','E','Y');</v>
      </c>
      <c r="M23" s="78"/>
      <c r="N23" s="40">
        <v>20</v>
      </c>
      <c r="O23" s="18" t="s">
        <v>179</v>
      </c>
      <c r="P23" s="41" t="s">
        <v>210</v>
      </c>
      <c r="Q23" s="41" t="s">
        <v>318</v>
      </c>
    </row>
    <row r="24" spans="1:18" s="31" customFormat="1" ht="12" customHeight="1" outlineLevel="1" x14ac:dyDescent="0.15">
      <c r="A24" s="18">
        <v>21</v>
      </c>
      <c r="B24" s="49"/>
      <c r="C24" s="49"/>
      <c r="D24" s="49"/>
      <c r="E24" s="50"/>
      <c r="F24" s="49"/>
      <c r="G24" s="49"/>
      <c r="H24" s="49"/>
      <c r="I24" s="49"/>
      <c r="J24" s="50"/>
      <c r="K24" s="49"/>
      <c r="L24" s="2"/>
      <c r="M24" s="78"/>
      <c r="N24" s="43">
        <v>21</v>
      </c>
      <c r="O24" s="44" t="s">
        <v>179</v>
      </c>
      <c r="P24" s="45" t="s">
        <v>210</v>
      </c>
      <c r="Q24" s="45" t="s">
        <v>214</v>
      </c>
      <c r="R24" s="31" t="s">
        <v>314</v>
      </c>
    </row>
    <row r="25" spans="1:18" s="31" customFormat="1" ht="12" customHeight="1" outlineLevel="1" x14ac:dyDescent="0.15">
      <c r="A25" s="18">
        <v>22</v>
      </c>
      <c r="B25" s="28" t="s">
        <v>142</v>
      </c>
      <c r="C25" s="28" t="s">
        <v>28</v>
      </c>
      <c r="D25" s="28" t="s">
        <v>21</v>
      </c>
      <c r="E25" s="29" t="s">
        <v>143</v>
      </c>
      <c r="F25" s="28" t="s">
        <v>53</v>
      </c>
      <c r="G25" s="28" t="s">
        <v>144</v>
      </c>
      <c r="H25" s="28" t="s">
        <v>50</v>
      </c>
      <c r="I25" s="52" t="s">
        <v>309</v>
      </c>
      <c r="J25" s="29" t="s">
        <v>145</v>
      </c>
      <c r="K25" s="28" t="s">
        <v>24</v>
      </c>
      <c r="L25" s="2" t="str">
        <f t="shared" si="1"/>
        <v>insert into CHB_DATACHECK_RULE (CHECKRULEID,DATATYPE,CHECKCLASS,CHECKMETHOD,SRCPROPERTY,COMPARETO,OBJVALUE,REMARK,STATUS,NULLABLE) values ('ys8E4A49-6813-5A9E-E050-007F21706A76','CHB_PRD_ISSUE_SUB_TMP','com.joyintech.tams.common.svreport.datacheck.service.BaseCheckLib','compareProperty','RAISE_ENDDATE','&gt;=','RAISE_VDATE','募集结束日期必须大于募集起始日期','E','Y');</v>
      </c>
      <c r="M25" s="78"/>
      <c r="N25" s="40">
        <v>22</v>
      </c>
      <c r="O25" s="18" t="s">
        <v>179</v>
      </c>
      <c r="P25" s="41" t="s">
        <v>215</v>
      </c>
      <c r="Q25" s="41" t="s">
        <v>216</v>
      </c>
    </row>
    <row r="26" spans="1:18" s="31" customFormat="1" ht="12" customHeight="1" outlineLevel="1" x14ac:dyDescent="0.15">
      <c r="A26" s="18">
        <v>23</v>
      </c>
      <c r="B26" s="28" t="s">
        <v>44</v>
      </c>
      <c r="C26" s="28" t="s">
        <v>28</v>
      </c>
      <c r="D26" s="28" t="s">
        <v>21</v>
      </c>
      <c r="E26" s="29" t="s">
        <v>22</v>
      </c>
      <c r="F26" s="28" t="s">
        <v>48</v>
      </c>
      <c r="G26" s="28"/>
      <c r="H26" s="30"/>
      <c r="I26" s="28" t="s">
        <v>23</v>
      </c>
      <c r="J26" s="29" t="s">
        <v>154</v>
      </c>
      <c r="K26" s="28" t="s">
        <v>24</v>
      </c>
      <c r="L26" s="2" t="str">
        <f>CONCATENATE("insert into CHB_DATACHECK_RULE (CHECKRULEID,DATATYPE,CHECKCLASS,CHECKMETHOD,SRCPROPERTY,COMPARETO,OBJVALUE,REMARK,STATUS,NULLABLE) values ('",B26,"','",C26,"','",D26,"','",E26,"','",F26,"','",G26,"','",H26,"','",J26,"','",K26,"','",I26,"');")</f>
        <v>insert into CHB_DATACHECK_RULE (CHECKRULEID,DATATYPE,CHECKCLASS,CHECKMETHOD,SRCPROPERTY,COMPARETO,OBJVALUE,REMARK,STATUS,NULLABLE) values ('873E4A49-6810-5A9E-E050-007F01006A26','CHB_PRD_ISSUE_SUB_TMP','com.joyintech.tams.common.svreport.datacheck.service.BaseCheckLib','isNotEmpty','PRD_VDATE','','','产品起始日期不能为空','E','N');</v>
      </c>
      <c r="M26" s="78" t="s">
        <v>217</v>
      </c>
      <c r="N26" s="40">
        <v>23</v>
      </c>
      <c r="O26" s="18" t="s">
        <v>179</v>
      </c>
      <c r="P26" s="41" t="s">
        <v>180</v>
      </c>
      <c r="Q26" s="41" t="s">
        <v>218</v>
      </c>
    </row>
    <row r="27" spans="1:18" s="31" customFormat="1" ht="12" customHeight="1" outlineLevel="1" x14ac:dyDescent="0.15">
      <c r="A27" s="18">
        <v>24</v>
      </c>
      <c r="B27" s="28" t="s">
        <v>146</v>
      </c>
      <c r="C27" s="28" t="s">
        <v>28</v>
      </c>
      <c r="D27" s="28" t="s">
        <v>21</v>
      </c>
      <c r="E27" s="29" t="s">
        <v>148</v>
      </c>
      <c r="F27" s="28" t="s">
        <v>48</v>
      </c>
      <c r="G27" s="28"/>
      <c r="H27" s="30" t="s">
        <v>98</v>
      </c>
      <c r="I27" s="52" t="s">
        <v>309</v>
      </c>
      <c r="J27" s="29" t="s">
        <v>320</v>
      </c>
      <c r="K27" s="28" t="s">
        <v>24</v>
      </c>
      <c r="L27" s="2" t="str">
        <f t="shared" ref="L27:L31" si="2">CONCATENATE("insert into CHB_DATACHECK_RULE (CHECKRULEID,DATATYPE,CHECKCLASS,CHECKMETHOD,SRCPROPERTY,COMPARETO,OBJVALUE,REMARK,STATUS,NULLABLE) values ('",B27,"','",C27,"','",D27,"','",E27,"','",F27,"','",G27,"','",H27,"','",J27,"','",K27,"','",I27,"');")</f>
        <v>insert into CHB_DATACHECK_RULE (CHECKRULEID,DATATYPE,CHECKCLASS,CHECKMETHOD,SRCPROPERTY,COMPARETO,OBJVALUE,REMARK,STATUS,NULLABLE) values ('ys8E4A49-6813-5A9E-E050-007F21706A77','CHB_PRD_ISSUE_SUB_TMP','com.joyintech.tams.common.svreport.datacheck.service.BaseCheckLib','isValidDate','PRD_VDATE','','yyyy-MM-dd','产品起始日期必须为日期格式（YYYY-MM-DD）且是正确的日期。','E','Y');</v>
      </c>
      <c r="M27" s="78"/>
      <c r="N27" s="40">
        <v>24</v>
      </c>
      <c r="O27" s="18" t="s">
        <v>179</v>
      </c>
      <c r="P27" s="41" t="s">
        <v>210</v>
      </c>
      <c r="Q27" s="41" t="s">
        <v>219</v>
      </c>
    </row>
    <row r="28" spans="1:18" s="31" customFormat="1" ht="12" customHeight="1" outlineLevel="1" x14ac:dyDescent="0.15">
      <c r="A28" s="18">
        <v>25</v>
      </c>
      <c r="B28" s="49"/>
      <c r="C28" s="49"/>
      <c r="D28" s="49"/>
      <c r="E28" s="50"/>
      <c r="F28" s="49"/>
      <c r="G28" s="49"/>
      <c r="H28" s="49"/>
      <c r="I28" s="49"/>
      <c r="J28" s="50"/>
      <c r="K28" s="49"/>
      <c r="L28" s="2"/>
      <c r="M28" s="78"/>
      <c r="N28" s="43">
        <v>25</v>
      </c>
      <c r="O28" s="44" t="s">
        <v>179</v>
      </c>
      <c r="P28" s="45" t="s">
        <v>210</v>
      </c>
      <c r="Q28" s="45" t="s">
        <v>220</v>
      </c>
      <c r="R28" s="31" t="s">
        <v>314</v>
      </c>
    </row>
    <row r="29" spans="1:18" s="31" customFormat="1" ht="12" customHeight="1" outlineLevel="1" x14ac:dyDescent="0.15">
      <c r="A29" s="18">
        <v>26</v>
      </c>
      <c r="B29" s="28" t="s">
        <v>150</v>
      </c>
      <c r="C29" s="28" t="s">
        <v>28</v>
      </c>
      <c r="D29" s="28" t="s">
        <v>21</v>
      </c>
      <c r="E29" s="29" t="s">
        <v>143</v>
      </c>
      <c r="F29" s="28" t="s">
        <v>48</v>
      </c>
      <c r="G29" s="28" t="s">
        <v>144</v>
      </c>
      <c r="H29" s="28" t="s">
        <v>53</v>
      </c>
      <c r="I29" s="52" t="s">
        <v>309</v>
      </c>
      <c r="J29" s="29" t="s">
        <v>152</v>
      </c>
      <c r="K29" s="28" t="s">
        <v>24</v>
      </c>
      <c r="L29" s="2" t="str">
        <f>CONCATENATE("insert into CHB_DATACHECK_RULE (CHECKRULEID,DATATYPE,CHECKCLASS,CHECKMETHOD,SRCPROPERTY,COMPARETO,OBJVALUE,REMARK,STATUS,NULLABLE) values ('",B29,"','",C29,"','",D29,"','",E29,"','",F29,"','",G29,"','",H29,"','",J29,"','",K29,"','",I29,"');")</f>
        <v>insert into CHB_DATACHECK_RULE (CHECKRULEID,DATATYPE,CHECKCLASS,CHECKMETHOD,SRCPROPERTY,COMPARETO,OBJVALUE,REMARK,STATUS,NULLABLE) values ('ys8E4A49-6813-5A9E-E050-007F21706A79','CHB_PRD_ISSUE_SUB_TMP','com.joyintech.tams.common.svreport.datacheck.service.BaseCheckLib','compareProperty','PRD_VDATE','&gt;=','RAISE_ENDDATE','产品起始日期必须大于等于募集结束日期。','E','Y');</v>
      </c>
      <c r="M29" s="78"/>
      <c r="N29" s="40">
        <v>26</v>
      </c>
      <c r="O29" s="18" t="s">
        <v>179</v>
      </c>
      <c r="P29" s="41" t="s">
        <v>221</v>
      </c>
      <c r="Q29" s="41" t="s">
        <v>152</v>
      </c>
    </row>
    <row r="30" spans="1:18" s="31" customFormat="1" outlineLevel="1" x14ac:dyDescent="0.15">
      <c r="A30" s="18">
        <v>27</v>
      </c>
      <c r="B30" s="28" t="s">
        <v>46</v>
      </c>
      <c r="C30" s="28" t="s">
        <v>28</v>
      </c>
      <c r="D30" s="28" t="s">
        <v>21</v>
      </c>
      <c r="E30" s="29" t="s">
        <v>22</v>
      </c>
      <c r="F30" s="28" t="s">
        <v>54</v>
      </c>
      <c r="G30" s="28"/>
      <c r="H30" s="30"/>
      <c r="I30" s="28" t="s">
        <v>23</v>
      </c>
      <c r="J30" s="29" t="s">
        <v>155</v>
      </c>
      <c r="K30" s="28" t="s">
        <v>24</v>
      </c>
      <c r="L30" s="2" t="str">
        <f t="shared" ref="L30" si="3">CONCATENATE("insert into CHB_DATACHECK_RULE (CHECKRULEID,DATATYPE,CHECKCLASS,CHECKMETHOD,SRCPROPERTY,COMPARETO,OBJVALUE,REMARK,STATUS,NULLABLE) values ('",B30,"','",C30,"','",D30,"','",E30,"','",F30,"','",G30,"','",H30,"','",J30,"','",K30,"','",I30,"');")</f>
        <v>insert into CHB_DATACHECK_RULE (CHECKRULEID,DATATYPE,CHECKCLASS,CHECKMETHOD,SRCPROPERTY,COMPARETO,OBJVALUE,REMARK,STATUS,NULLABLE) values ('873E4A49-6810-5A9E-E050-007F01006A27','CHB_PRD_ISSUE_SUB_TMP','com.joyintech.tams.common.svreport.datacheck.service.BaseCheckLib','isNotEmpty','PRD_MDATE','','','产品终止日期不能为空','E','N');</v>
      </c>
      <c r="M30" s="78" t="s">
        <v>222</v>
      </c>
      <c r="N30" s="40">
        <v>27</v>
      </c>
      <c r="O30" s="18" t="s">
        <v>179</v>
      </c>
      <c r="P30" s="41" t="s">
        <v>180</v>
      </c>
      <c r="Q30" s="41" t="s">
        <v>223</v>
      </c>
    </row>
    <row r="31" spans="1:18" s="31" customFormat="1" ht="12" customHeight="1" outlineLevel="1" x14ac:dyDescent="0.15">
      <c r="A31" s="18">
        <v>28</v>
      </c>
      <c r="B31" s="28" t="s">
        <v>147</v>
      </c>
      <c r="C31" s="28" t="s">
        <v>28</v>
      </c>
      <c r="D31" s="28" t="s">
        <v>21</v>
      </c>
      <c r="E31" s="29" t="s">
        <v>148</v>
      </c>
      <c r="F31" s="28" t="s">
        <v>54</v>
      </c>
      <c r="G31" s="28"/>
      <c r="H31" s="30" t="s">
        <v>98</v>
      </c>
      <c r="I31" s="52" t="s">
        <v>309</v>
      </c>
      <c r="J31" s="29" t="s">
        <v>335</v>
      </c>
      <c r="K31" s="28" t="s">
        <v>24</v>
      </c>
      <c r="L31" s="2" t="str">
        <f t="shared" si="2"/>
        <v>insert into CHB_DATACHECK_RULE (CHECKRULEID,DATATYPE,CHECKCLASS,CHECKMETHOD,SRCPROPERTY,COMPARETO,OBJVALUE,REMARK,STATUS,NULLABLE) values ('ys8E4A49-6813-5A9E-E050-007F21706A78','CHB_PRD_ISSUE_SUB_TMP','com.joyintech.tams.common.svreport.datacheck.service.BaseCheckLib','isValidDate','PRD_MDATE','','yyyy-MM-dd','产品终止日期必须为日期格式（YYYY-MM-DD）且是正确的日期。','E','Y');</v>
      </c>
      <c r="M31" s="78"/>
      <c r="N31" s="40">
        <v>28</v>
      </c>
      <c r="O31" s="18" t="s">
        <v>179</v>
      </c>
      <c r="P31" s="41" t="s">
        <v>210</v>
      </c>
      <c r="Q31" s="41" t="s">
        <v>224</v>
      </c>
    </row>
    <row r="32" spans="1:18" s="31" customFormat="1" outlineLevel="1" x14ac:dyDescent="0.15">
      <c r="A32" s="18">
        <v>29</v>
      </c>
      <c r="B32" s="49"/>
      <c r="C32" s="49"/>
      <c r="D32" s="49"/>
      <c r="E32" s="49"/>
      <c r="F32" s="49"/>
      <c r="G32" s="49"/>
      <c r="H32" s="49"/>
      <c r="I32" s="49"/>
      <c r="J32" s="50"/>
      <c r="K32" s="49"/>
      <c r="M32" s="78"/>
      <c r="N32" s="43">
        <v>29</v>
      </c>
      <c r="O32" s="44" t="s">
        <v>179</v>
      </c>
      <c r="P32" s="45" t="s">
        <v>210</v>
      </c>
      <c r="Q32" s="45" t="s">
        <v>225</v>
      </c>
      <c r="R32" s="31" t="s">
        <v>314</v>
      </c>
    </row>
    <row r="33" spans="1:18" s="31" customFormat="1" ht="24" outlineLevel="1" x14ac:dyDescent="0.15">
      <c r="A33" s="18">
        <v>30</v>
      </c>
      <c r="B33" s="28" t="s">
        <v>151</v>
      </c>
      <c r="C33" s="28" t="s">
        <v>28</v>
      </c>
      <c r="D33" s="28" t="s">
        <v>21</v>
      </c>
      <c r="E33" s="29" t="s">
        <v>143</v>
      </c>
      <c r="F33" s="28" t="s">
        <v>54</v>
      </c>
      <c r="G33" s="28" t="s">
        <v>144</v>
      </c>
      <c r="H33" s="28" t="s">
        <v>48</v>
      </c>
      <c r="I33" s="52" t="s">
        <v>309</v>
      </c>
      <c r="J33" s="32" t="s">
        <v>153</v>
      </c>
      <c r="K33" s="28" t="s">
        <v>24</v>
      </c>
      <c r="L33" s="2" t="str">
        <f>CONCATENATE("insert into CHB_DATACHECK_RULE (CHECKRULEID,DATATYPE,CHECKCLASS,CHECKMETHOD,SRCPROPERTY,COMPARETO,OBJVALUE,REMARK,STATUS,NULLABLE) values ('",B33,"','",C33,"','",D33,"','",E33,"','",F33,"','",G33,"','",H33,"','",J33,"','",K33,"','",I33,"');")</f>
        <v>insert into CHB_DATACHECK_RULE (CHECKRULEID,DATATYPE,CHECKCLASS,CHECKMETHOD,SRCPROPERTY,COMPARETO,OBJVALUE,REMARK,STATUS,NULLABLE) values ('ys8E4A49-6813-5A9E-E050-007F21706A80','CHB_PRD_ISSUE_SUB_TMP','com.joyintech.tams.common.svreport.datacheck.service.BaseCheckLib','compareProperty','PRD_MDATE','&gt;=','PRD_VDATE','产品终止日期必须大于产品起始日期。','E','Y');</v>
      </c>
      <c r="M33" s="78"/>
      <c r="N33" s="40">
        <v>30</v>
      </c>
      <c r="O33" s="18" t="s">
        <v>179</v>
      </c>
      <c r="P33" s="41" t="s">
        <v>226</v>
      </c>
      <c r="Q33" s="41" t="s">
        <v>153</v>
      </c>
    </row>
    <row r="34" spans="1:18" s="31" customFormat="1" ht="24" outlineLevel="1" x14ac:dyDescent="0.15">
      <c r="A34" s="18">
        <v>31</v>
      </c>
      <c r="B34" s="28" t="s">
        <v>71</v>
      </c>
      <c r="C34" s="28" t="s">
        <v>28</v>
      </c>
      <c r="D34" s="28" t="s">
        <v>21</v>
      </c>
      <c r="E34" s="29" t="s">
        <v>22</v>
      </c>
      <c r="F34" s="28" t="s">
        <v>92</v>
      </c>
      <c r="G34" s="28"/>
      <c r="H34" s="30"/>
      <c r="I34" s="28" t="s">
        <v>23</v>
      </c>
      <c r="J34" s="29" t="s">
        <v>117</v>
      </c>
      <c r="K34" s="28" t="s">
        <v>24</v>
      </c>
      <c r="L34" s="2" t="str">
        <f>CONCATENATE("insert into CHB_DATACHECK_RULE (CHECKRULEID,DATATYPE,CHECKCLASS,CHECKMETHOD,SRCPROPERTY,COMPARETO,OBJVALUE,REMARK,STATUS,NULLABLE) values ('",B34,"','",C34,"','",D34,"','",E34,"','",F34,"','",G34,"','",H34,"','",J34,"','",K34,"','",I34,"');")</f>
        <v>insert into CHB_DATACHECK_RULE (CHECKRULEID,DATATYPE,CHECKCLASS,CHECKMETHOD,SRCPROPERTY,COMPARETO,OBJVALUE,REMARK,STATUS,NULLABLE) values ('ys214A49-6813-5A9E-E050-007F22700024','CHB_PRD_ISSUE_SUB_TMP','com.joyintech.tams.common.svreport.datacheck.service.BaseCheckLib','isNotEmpty','MANAGE_TYPE','','','管理方式不能为空','E','N');</v>
      </c>
      <c r="M34" s="74" t="s">
        <v>227</v>
      </c>
      <c r="N34" s="40">
        <v>31</v>
      </c>
      <c r="O34" s="18" t="s">
        <v>179</v>
      </c>
      <c r="P34" s="41" t="s">
        <v>180</v>
      </c>
      <c r="Q34" s="41" t="s">
        <v>228</v>
      </c>
    </row>
    <row r="35" spans="1:18" s="31" customFormat="1" ht="24" outlineLevel="1" x14ac:dyDescent="0.15">
      <c r="A35" s="18">
        <v>32</v>
      </c>
      <c r="B35" s="28" t="s">
        <v>72</v>
      </c>
      <c r="C35" s="28" t="s">
        <v>28</v>
      </c>
      <c r="D35" s="28" t="s">
        <v>21</v>
      </c>
      <c r="E35" s="29" t="s">
        <v>84</v>
      </c>
      <c r="F35" s="28" t="s">
        <v>92</v>
      </c>
      <c r="G35" s="28" t="s">
        <v>25</v>
      </c>
      <c r="H35" s="30" t="s">
        <v>106</v>
      </c>
      <c r="I35" s="28" t="s">
        <v>26</v>
      </c>
      <c r="J35" s="29" t="s">
        <v>118</v>
      </c>
      <c r="K35" s="28" t="s">
        <v>24</v>
      </c>
      <c r="L35" s="23" t="str">
        <f>CONCATENATE("insert into CHB_DATACHECK_RULE (CHECKRULEID,DATATYPE,CHECKCLASS,CHECKMETHOD,SRCPROPERTY,COMPARETO,OBJVALUE,REMARK,STATUS,NULLABLE) values ('",B35,"','",C35,"','",D35,"','",E35,"','",F35,"','",G35,"','",H35,"','",J35,"','",K35,"','",I35,"');")</f>
        <v>insert into CHB_DATACHECK_RULE (CHECKRULEID,DATATYPE,CHECKCLASS,CHECKMETHOD,SRCPROPERTY,COMPARETO,OBJVALUE,REMARK,STATUS,NULLABLE) values ('ys214A49-6813-5A9E-E050-007F22700025','CHB_PRD_ISSUE_SUB_TMP','com.joyintech.tams.common.svreport.datacheck.service.BaseCheckLib','inDatadict','MANAGE_TYPE','==','SVR_PRO_STYLE','管理方式不在值域范围内','E','Y');</v>
      </c>
      <c r="M35" s="74"/>
      <c r="N35" s="40">
        <v>32</v>
      </c>
      <c r="O35" s="18" t="s">
        <v>179</v>
      </c>
      <c r="P35" s="41" t="s">
        <v>229</v>
      </c>
      <c r="Q35" s="41" t="s">
        <v>230</v>
      </c>
    </row>
    <row r="36" spans="1:18" s="31" customFormat="1" ht="12" customHeight="1" outlineLevel="1" x14ac:dyDescent="0.15">
      <c r="A36" s="18">
        <v>33</v>
      </c>
      <c r="B36" s="28" t="s">
        <v>82</v>
      </c>
      <c r="C36" s="28" t="s">
        <v>28</v>
      </c>
      <c r="D36" s="28" t="s">
        <v>21</v>
      </c>
      <c r="E36" s="29" t="s">
        <v>22</v>
      </c>
      <c r="F36" s="28" t="s">
        <v>41</v>
      </c>
      <c r="G36" s="28"/>
      <c r="H36" s="30"/>
      <c r="I36" s="28" t="s">
        <v>23</v>
      </c>
      <c r="J36" s="29" t="s">
        <v>322</v>
      </c>
      <c r="K36" s="28" t="s">
        <v>24</v>
      </c>
      <c r="L36" s="2" t="str">
        <f>CONCATENATE("insert into CHB_DATACHECK_RULE (CHECKRULEID,DATATYPE,CHECKCLASS,CHECKMETHOD,SRCPROPERTY,COMPARETO,OBJVALUE,REMARK,STATUS,NULLABLE) values ('",B36,"','",C36,"','",D36,"','",E36,"','",F36,"','",G36,"','",H36,"','",J36,"','",K36,"','",I36,"');")</f>
        <v>insert into CHB_DATACHECK_RULE (CHECKRULEID,DATATYPE,CHECKCLASS,CHECKMETHOD,SRCPROPERTY,COMPARETO,OBJVALUE,REMARK,STATUS,NULLABLE) values ('ys3E4A49-6813-5A9E-E050-007F01006A66','CHB_PRD_ISSUE_SUB_TMP','com.joyintech.tams.common.svreport.datacheck.service.BaseCheckLib','isNotEmpty','IS_CONSTRACTE','','','是否为结构化（分级）产品要素不可为空。','E','N');</v>
      </c>
      <c r="M36" s="78" t="s">
        <v>231</v>
      </c>
      <c r="N36" s="40">
        <v>33</v>
      </c>
      <c r="O36" s="18" t="s">
        <v>179</v>
      </c>
      <c r="P36" s="41" t="s">
        <v>180</v>
      </c>
      <c r="Q36" s="41" t="s">
        <v>322</v>
      </c>
    </row>
    <row r="37" spans="1:18" s="31" customFormat="1" ht="12" customHeight="1" outlineLevel="1" x14ac:dyDescent="0.15">
      <c r="A37" s="18">
        <v>34</v>
      </c>
      <c r="B37" s="28" t="s">
        <v>321</v>
      </c>
      <c r="C37" s="28" t="s">
        <v>28</v>
      </c>
      <c r="D37" s="28" t="s">
        <v>21</v>
      </c>
      <c r="E37" s="29" t="s">
        <v>84</v>
      </c>
      <c r="F37" s="28" t="s">
        <v>41</v>
      </c>
      <c r="G37" s="28" t="s">
        <v>25</v>
      </c>
      <c r="H37" s="30" t="s">
        <v>103</v>
      </c>
      <c r="I37" s="52" t="s">
        <v>309</v>
      </c>
      <c r="J37" s="29" t="s">
        <v>323</v>
      </c>
      <c r="K37" s="28" t="s">
        <v>24</v>
      </c>
      <c r="L37" s="2" t="str">
        <f>CONCATENATE("insert into CHB_DATACHECK_RULE (CHECKRULEID,DATATYPE,CHECKCLASS,CHECKMETHOD,SRCPROPERTY,COMPARETO,OBJVALUE,REMARK,STATUS,NULLABLE) values ('",B37,"','",C37,"','",D37,"','",E37,"','",F37,"','",G37,"','",H37,"','",J37,"','",K37,"','",I37,"');")</f>
        <v>insert into CHB_DATACHECK_RULE (CHECKRULEID,DATATYPE,CHECKCLASS,CHECKMETHOD,SRCPROPERTY,COMPARETO,OBJVALUE,REMARK,STATUS,NULLABLE) values ('ya3E4A49-6813-5A9E-E050-007F01006A66','CHB_PRD_ISSUE_SUB_TMP','com.joyintech.tams.common.svreport.datacheck.service.BaseCheckLib','inDatadict','IS_CONSTRACTE','==','SVR_YES_OR_NO','是否结构化分级产品不在值域范围内。','E','Y');</v>
      </c>
      <c r="M37" s="78"/>
      <c r="N37" s="40">
        <v>34</v>
      </c>
      <c r="O37" s="18" t="s">
        <v>179</v>
      </c>
      <c r="P37" s="41" t="s">
        <v>229</v>
      </c>
      <c r="Q37" s="41" t="s">
        <v>232</v>
      </c>
    </row>
    <row r="38" spans="1:18" s="31" customFormat="1" ht="12" customHeight="1" outlineLevel="1" x14ac:dyDescent="0.15">
      <c r="A38" s="18">
        <v>35</v>
      </c>
      <c r="B38" s="49"/>
      <c r="C38" s="49"/>
      <c r="D38" s="49"/>
      <c r="E38" s="49"/>
      <c r="F38" s="49"/>
      <c r="G38" s="49"/>
      <c r="H38" s="49"/>
      <c r="I38" s="49"/>
      <c r="J38" s="50"/>
      <c r="K38" s="49"/>
      <c r="L38" s="2"/>
      <c r="M38" s="75" t="s">
        <v>233</v>
      </c>
      <c r="N38" s="43">
        <v>35</v>
      </c>
      <c r="O38" s="44" t="s">
        <v>179</v>
      </c>
      <c r="P38" s="45" t="s">
        <v>234</v>
      </c>
      <c r="Q38" s="45" t="s">
        <v>235</v>
      </c>
      <c r="R38" s="31" t="s">
        <v>324</v>
      </c>
    </row>
    <row r="39" spans="1:18" s="31" customFormat="1" ht="12" customHeight="1" outlineLevel="1" x14ac:dyDescent="0.15">
      <c r="A39" s="18">
        <v>36</v>
      </c>
      <c r="B39" s="28" t="s">
        <v>74</v>
      </c>
      <c r="C39" s="28" t="s">
        <v>28</v>
      </c>
      <c r="D39" s="28" t="s">
        <v>21</v>
      </c>
      <c r="E39" s="29" t="s">
        <v>86</v>
      </c>
      <c r="F39" s="28" t="s">
        <v>94</v>
      </c>
      <c r="G39" s="28"/>
      <c r="H39" s="30" t="s">
        <v>107</v>
      </c>
      <c r="I39" s="28" t="s">
        <v>26</v>
      </c>
      <c r="J39" s="29" t="s">
        <v>328</v>
      </c>
      <c r="K39" s="28" t="s">
        <v>24</v>
      </c>
      <c r="L39" s="2" t="str">
        <f>CONCATENATE("insert into CHB_DATACHECK_RULE (CHECKRULEID,DATATYPE,CHECKCLASS,CHECKMETHOD,SRCPROPERTY,COMPARETO,OBJVALUE,REMARK,STATUS,NULLABLE) values ('",B39,"','",C39,"','",D39,"','",E39,"','",F39,"','",G39,"','",H39,"','",J39,"','",K39,"','",I39,"');")</f>
        <v>insert into CHB_DATACHECK_RULE (CHECKRULEID,DATATYPE,CHECKCLASS,CHECKMETHOD,SRCPROPERTY,COMPARETO,OBJVALUE,REMARK,STATUS,NULLABLE) values ('ys214A49-6813-5A9E-E050-007F22700029','CHB_PRD_ISSUE_SUB_TMP','com.joyintech.tams.common.svreport.datacheck.service.BaseCheckLib','isNumber2','YIELD_HIGH','','8,5','业绩比较基准上限以百分数形式表示时必须为n（8,5）格式。','E','Y');</v>
      </c>
      <c r="M39" s="77"/>
      <c r="N39" s="40">
        <v>36</v>
      </c>
      <c r="O39" s="18" t="s">
        <v>179</v>
      </c>
      <c r="P39" s="41" t="s">
        <v>236</v>
      </c>
      <c r="Q39" s="41" t="s">
        <v>327</v>
      </c>
    </row>
    <row r="40" spans="1:18" s="31" customFormat="1" ht="12" customHeight="1" outlineLevel="1" x14ac:dyDescent="0.15">
      <c r="A40" s="18">
        <v>37</v>
      </c>
      <c r="B40" s="49"/>
      <c r="C40" s="49"/>
      <c r="D40" s="49"/>
      <c r="E40" s="49"/>
      <c r="F40" s="49"/>
      <c r="G40" s="49"/>
      <c r="H40" s="49"/>
      <c r="I40" s="49"/>
      <c r="J40" s="50"/>
      <c r="K40" s="49"/>
      <c r="M40" s="75" t="s">
        <v>237</v>
      </c>
      <c r="N40" s="43">
        <v>37</v>
      </c>
      <c r="O40" s="44" t="s">
        <v>179</v>
      </c>
      <c r="P40" s="45" t="s">
        <v>234</v>
      </c>
      <c r="Q40" s="45" t="s">
        <v>235</v>
      </c>
      <c r="R40" s="31" t="s">
        <v>324</v>
      </c>
    </row>
    <row r="41" spans="1:18" s="31" customFormat="1" ht="12" customHeight="1" outlineLevel="1" x14ac:dyDescent="0.15">
      <c r="A41" s="18">
        <v>38</v>
      </c>
      <c r="B41" s="28" t="s">
        <v>73</v>
      </c>
      <c r="C41" s="28" t="s">
        <v>28</v>
      </c>
      <c r="D41" s="28" t="s">
        <v>21</v>
      </c>
      <c r="E41" s="29" t="s">
        <v>86</v>
      </c>
      <c r="F41" s="28" t="s">
        <v>93</v>
      </c>
      <c r="G41" s="28"/>
      <c r="H41" s="30" t="s">
        <v>107</v>
      </c>
      <c r="I41" s="28" t="s">
        <v>26</v>
      </c>
      <c r="J41" s="29" t="s">
        <v>326</v>
      </c>
      <c r="K41" s="28" t="s">
        <v>24</v>
      </c>
      <c r="L41" s="2" t="str">
        <f>CONCATENATE("insert into CHB_DATACHECK_RULE (CHECKRULEID,DATATYPE,CHECKCLASS,CHECKMETHOD,SRCPROPERTY,COMPARETO,OBJVALUE,REMARK,STATUS,NULLABLE) values ('",B41,"','",C41,"','",D41,"','",E41,"','",F41,"','",G41,"','",H41,"','",J41,"','",K41,"','",I41,"');")</f>
        <v>insert into CHB_DATACHECK_RULE (CHECKRULEID,DATATYPE,CHECKCLASS,CHECKMETHOD,SRCPROPERTY,COMPARETO,OBJVALUE,REMARK,STATUS,NULLABLE) values ('ys214A49-6813-5A9E-E050-007F22700028','CHB_PRD_ISSUE_SUB_TMP','com.joyintech.tams.common.svreport.datacheck.service.BaseCheckLib','isNumber2','YIELD_LOW','','8,5','业绩比较基准下限以百分数形式表示时必须为n（8,5）格式。','E','Y');</v>
      </c>
      <c r="M41" s="76"/>
      <c r="N41" s="40">
        <v>38</v>
      </c>
      <c r="O41" s="18" t="s">
        <v>179</v>
      </c>
      <c r="P41" s="41" t="s">
        <v>236</v>
      </c>
      <c r="Q41" s="41" t="s">
        <v>325</v>
      </c>
    </row>
    <row r="42" spans="1:18" s="31" customFormat="1" ht="12" customHeight="1" outlineLevel="1" x14ac:dyDescent="0.15">
      <c r="A42" s="18">
        <v>39</v>
      </c>
      <c r="B42" s="28" t="s">
        <v>75</v>
      </c>
      <c r="C42" s="28" t="s">
        <v>28</v>
      </c>
      <c r="D42" s="28" t="s">
        <v>21</v>
      </c>
      <c r="E42" s="29" t="s">
        <v>87</v>
      </c>
      <c r="F42" s="28" t="s">
        <v>94</v>
      </c>
      <c r="G42" s="28" t="s">
        <v>97</v>
      </c>
      <c r="H42" s="30" t="s">
        <v>93</v>
      </c>
      <c r="I42" s="28" t="s">
        <v>26</v>
      </c>
      <c r="J42" s="29" t="s">
        <v>329</v>
      </c>
      <c r="K42" s="28" t="s">
        <v>24</v>
      </c>
      <c r="L42" s="2" t="str">
        <f>CONCATENATE("insert into CHB_DATACHECK_RULE (CHECKRULEID,DATATYPE,CHECKCLASS,CHECKMETHOD,SRCPROPERTY,COMPARETO,OBJVALUE,REMARK,STATUS,NULLABLE) values ('",B42,"','",C42,"','",D42,"','",E42,"','",F42,"','",G42,"','",H42,"','",J42,"','",K42,"','",I42,"');")</f>
        <v>insert into CHB_DATACHECK_RULE (CHECKRULEID,DATATYPE,CHECKCLASS,CHECKMETHOD,SRCPROPERTY,COMPARETO,OBJVALUE,REMARK,STATUS,NULLABLE) values ('ys214A49-6813-5A9E-E050-007F22700030','CHB_PRD_ISSUE_SUB_TMP','com.joyintech.tams.common.svreport.datacheck.service.BaseCheckLib','compareProperty','YIELD_HIGH','&gt;=','YIELD_LOW','业绩比较基准上限必须大于等于业绩比较基准下限。','E','Y');</v>
      </c>
      <c r="M42" s="77"/>
      <c r="N42" s="40">
        <v>39</v>
      </c>
      <c r="O42" s="18" t="s">
        <v>179</v>
      </c>
      <c r="P42" s="41" t="s">
        <v>238</v>
      </c>
      <c r="Q42" s="41" t="s">
        <v>329</v>
      </c>
    </row>
    <row r="43" spans="1:18" s="31" customFormat="1" ht="12" customHeight="1" outlineLevel="1" x14ac:dyDescent="0.15">
      <c r="A43" s="18">
        <v>40</v>
      </c>
      <c r="B43" s="49"/>
      <c r="C43" s="49"/>
      <c r="D43" s="49"/>
      <c r="E43" s="49"/>
      <c r="F43" s="49"/>
      <c r="G43" s="49"/>
      <c r="H43" s="49"/>
      <c r="I43" s="49"/>
      <c r="J43" s="50"/>
      <c r="K43" s="49"/>
      <c r="M43" s="75" t="s">
        <v>239</v>
      </c>
      <c r="N43" s="43">
        <v>40</v>
      </c>
      <c r="O43" s="44" t="s">
        <v>179</v>
      </c>
      <c r="P43" s="45" t="s">
        <v>234</v>
      </c>
      <c r="Q43" s="45" t="s">
        <v>235</v>
      </c>
    </row>
    <row r="44" spans="1:18" s="31" customFormat="1" ht="12" customHeight="1" outlineLevel="1" x14ac:dyDescent="0.15">
      <c r="A44" s="18">
        <v>41</v>
      </c>
      <c r="B44" s="28" t="s">
        <v>76</v>
      </c>
      <c r="C44" s="28" t="s">
        <v>28</v>
      </c>
      <c r="D44" s="28" t="s">
        <v>21</v>
      </c>
      <c r="E44" s="29" t="s">
        <v>358</v>
      </c>
      <c r="F44" s="28" t="s">
        <v>95</v>
      </c>
      <c r="G44" s="28"/>
      <c r="H44" s="30" t="s">
        <v>56</v>
      </c>
      <c r="I44" s="28" t="s">
        <v>26</v>
      </c>
      <c r="J44" s="29" t="s">
        <v>119</v>
      </c>
      <c r="K44" s="28" t="s">
        <v>24</v>
      </c>
      <c r="L44" s="2" t="str">
        <f>CONCATENATE("insert into CHB_DATACHECK_RULE (CHECKRULEID,DATATYPE,CHECKCLASS,CHECKMETHOD,SRCPROPERTY,COMPARETO,OBJVALUE,REMARK,STATUS,NULLABLE) values ('",B44,"','",C44,"','",D44,"','",E44,"','",F44,"','",G44,"','",H44,"','",J44,"','",K44,"','",I44,"');")</f>
        <v>insert into CHB_DATACHECK_RULE (CHECKRULEID,DATATYPE,CHECKCLASS,CHECKMETHOD,SRCPROPERTY,COMPARETO,OBJVALUE,REMARK,STATUS,NULLABLE) values ('ys214A49-6813-5A9E-E050-007F22700031','CHB_PRD_ISSUE_SUB_TMP','com.joyintech.tams.common.svreport.datacheck.service.BaseCheckLib','lessThanCharLength','YIELD_REMARK','','401','业绩比较基准说明不能超过400字符','E','Y');</v>
      </c>
      <c r="M44" s="76"/>
      <c r="N44" s="40">
        <v>41</v>
      </c>
      <c r="O44" s="18" t="s">
        <v>179</v>
      </c>
      <c r="P44" s="41" t="s">
        <v>240</v>
      </c>
      <c r="Q44" s="41" t="s">
        <v>241</v>
      </c>
    </row>
    <row r="45" spans="1:18" s="31" customFormat="1" ht="12" customHeight="1" outlineLevel="1" x14ac:dyDescent="0.15">
      <c r="A45" s="18">
        <v>42</v>
      </c>
      <c r="B45" s="28" t="s">
        <v>77</v>
      </c>
      <c r="C45" s="28" t="s">
        <v>28</v>
      </c>
      <c r="D45" s="28" t="s">
        <v>21</v>
      </c>
      <c r="E45" s="29" t="s">
        <v>125</v>
      </c>
      <c r="F45" s="28" t="s">
        <v>95</v>
      </c>
      <c r="G45" s="28"/>
      <c r="H45" s="30" t="s">
        <v>402</v>
      </c>
      <c r="I45" s="28" t="s">
        <v>26</v>
      </c>
      <c r="J45" s="29" t="s">
        <v>120</v>
      </c>
      <c r="K45" s="28" t="s">
        <v>24</v>
      </c>
      <c r="L45" s="2" t="str">
        <f>CONCATENATE("insert into CHB_DATACHECK_RULE (CHECKRULEID,DATATYPE,CHECKCLASS,CHECKMETHOD,SRCPROPERTY,COMPARETO,OBJVALUE,REMARK,STATUS,NULLABLE) values ('",B45,"','",C45,"','",D45,"','",E45,"','",F45,"','",G45,"','",H45,"','",J45,"','",K45,"','",I45,"');")</f>
        <v>insert into CHB_DATACHECK_RULE (CHECKRULEID,DATATYPE,CHECKCLASS,CHECKMETHOD,SRCPROPERTY,COMPARETO,OBJVALUE,REMARK,STATUS,NULLABLE) values ('ys214A49-6813-5A9E-E050-007F22700032','CHB_PRD_ISSUE_SUB_TMP','com.joyintech.tams.common.svreport.datacheck.service.BaseCheckLib','isCustomizedStringForWhitelist','YIELD_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业绩比较基准说明必须填写白名单中的文字。','E','Y');</v>
      </c>
      <c r="M45" s="77"/>
      <c r="N45" s="40">
        <v>42</v>
      </c>
      <c r="O45" s="18" t="s">
        <v>179</v>
      </c>
      <c r="P45" s="41" t="s">
        <v>203</v>
      </c>
      <c r="Q45" s="41" t="s">
        <v>120</v>
      </c>
    </row>
    <row r="46" spans="1:18" s="31" customFormat="1" ht="96" outlineLevel="1" x14ac:dyDescent="0.15">
      <c r="A46" s="18">
        <v>43</v>
      </c>
      <c r="B46" s="49"/>
      <c r="C46" s="49"/>
      <c r="D46" s="49"/>
      <c r="E46" s="50"/>
      <c r="F46" s="49"/>
      <c r="G46" s="49"/>
      <c r="H46" s="51"/>
      <c r="I46" s="49"/>
      <c r="J46" s="50"/>
      <c r="K46" s="49"/>
      <c r="L46" s="2"/>
      <c r="M46" s="74" t="s">
        <v>242</v>
      </c>
      <c r="N46" s="43">
        <v>43</v>
      </c>
      <c r="O46" s="44" t="s">
        <v>186</v>
      </c>
      <c r="P46" s="46" t="s">
        <v>243</v>
      </c>
      <c r="Q46" s="46" t="s">
        <v>244</v>
      </c>
      <c r="R46" s="53" t="s">
        <v>310</v>
      </c>
    </row>
    <row r="47" spans="1:18" s="31" customFormat="1" ht="12" customHeight="1" outlineLevel="1" x14ac:dyDescent="0.15">
      <c r="A47" s="18">
        <v>44</v>
      </c>
      <c r="B47" s="28" t="s">
        <v>58</v>
      </c>
      <c r="C47" s="28" t="s">
        <v>28</v>
      </c>
      <c r="D47" s="28" t="s">
        <v>21</v>
      </c>
      <c r="E47" s="29" t="s">
        <v>84</v>
      </c>
      <c r="F47" s="28" t="s">
        <v>308</v>
      </c>
      <c r="G47" s="28" t="s">
        <v>25</v>
      </c>
      <c r="H47" s="30" t="s">
        <v>99</v>
      </c>
      <c r="I47" s="28" t="s">
        <v>26</v>
      </c>
      <c r="J47" s="29" t="s">
        <v>111</v>
      </c>
      <c r="K47" s="28" t="s">
        <v>24</v>
      </c>
      <c r="L47" s="2" t="str">
        <f>CONCATENATE("insert into CHB_DATACHECK_RULE (CHECKRULEID,DATATYPE,CHECKCLASS,CHECKMETHOD,SRCPROPERTY,COMPARETO,OBJVALUE,REMARK,STATUS,NULLABLE) values ('",B47,"','",C47,"','",D47,"','",E47,"','",F47,"','",G47,"','",H47,"','",J47,"','",K47,"','",I47,"');")</f>
        <v>insert into CHB_DATACHECK_RULE (CHECKRULEID,DATATYPE,CHECKCLASS,CHECKMETHOD,SRCPROPERTY,COMPARETO,OBJVALUE,REMARK,STATUS,NULLABLE) values ('ys214A49-6813-5A9E-E050-007F22700001','CHB_PRD_ISSUE_SUB_TMP','com.joyintech.tams.common.svreport.datacheck.service.BaseCheckLib','inDatadict','OPEN_MODE','==','SVR_OPEN_MODE','开放模式不在值域范围内','E','Y');</v>
      </c>
      <c r="M47" s="74"/>
      <c r="N47" s="40">
        <v>44</v>
      </c>
      <c r="O47" s="18" t="s">
        <v>179</v>
      </c>
      <c r="P47" s="41" t="s">
        <v>229</v>
      </c>
      <c r="Q47" s="41" t="s">
        <v>245</v>
      </c>
    </row>
    <row r="48" spans="1:18" s="31" customFormat="1" ht="24" outlineLevel="1" x14ac:dyDescent="0.15">
      <c r="A48" s="18">
        <v>45</v>
      </c>
      <c r="B48" s="28" t="s">
        <v>330</v>
      </c>
      <c r="C48" s="28" t="s">
        <v>28</v>
      </c>
      <c r="D48" s="28" t="s">
        <v>21</v>
      </c>
      <c r="E48" s="29" t="s">
        <v>22</v>
      </c>
      <c r="F48" s="28" t="s">
        <v>43</v>
      </c>
      <c r="G48" s="28"/>
      <c r="H48" s="30"/>
      <c r="I48" s="28" t="s">
        <v>23</v>
      </c>
      <c r="J48" s="29" t="s">
        <v>343</v>
      </c>
      <c r="K48" s="28" t="s">
        <v>24</v>
      </c>
      <c r="L48" s="2" t="str">
        <f>CONCATENATE("insert into CHB_DATACHECK_RULE (CHECKRULEID,DATATYPE,CHECKCLASS,CHECKMETHOD,SRCPROPERTY,COMPARETO,OBJVALUE,REMARK,STATUS,NULLABLE) values ('",B48,"','",C48,"','",D48,"','",E48,"','",F48,"','",G48,"','",H48,"','",J48,"','",K48,"','",I48,"');")</f>
        <v>insert into CHB_DATACHECK_RULE (CHECKRULEID,DATATYPE,CHECKCLASS,CHECKMETHOD,SRCPROPERTY,COMPARETO,OBJVALUE,REMARK,STATUS,NULLABLE) values ('ys214A49-6813-5A9E-E050-007F22700002','CHB_PRD_ISSUE_SUB_TMP','com.joyintech.tams.common.svreport.datacheck.service.BaseCheckLib','isNotEmpty','OPEN_CIRCLE','','','规律开放周期不能为空','E','N');</v>
      </c>
      <c r="M48" s="78" t="s">
        <v>246</v>
      </c>
      <c r="N48" s="40">
        <v>45</v>
      </c>
      <c r="O48" s="18" t="s">
        <v>179</v>
      </c>
      <c r="P48" s="41" t="s">
        <v>247</v>
      </c>
      <c r="Q48" s="41" t="s">
        <v>248</v>
      </c>
    </row>
    <row r="49" spans="1:18" s="31" customFormat="1" ht="12" customHeight="1" outlineLevel="1" x14ac:dyDescent="0.15">
      <c r="A49" s="18">
        <v>46</v>
      </c>
      <c r="B49" s="28" t="s">
        <v>59</v>
      </c>
      <c r="C49" s="28" t="s">
        <v>28</v>
      </c>
      <c r="D49" s="28" t="s">
        <v>21</v>
      </c>
      <c r="E49" s="29" t="s">
        <v>358</v>
      </c>
      <c r="F49" s="28" t="s">
        <v>393</v>
      </c>
      <c r="G49" s="28" t="s">
        <v>25</v>
      </c>
      <c r="H49" s="30" t="s">
        <v>100</v>
      </c>
      <c r="I49" s="28" t="s">
        <v>26</v>
      </c>
      <c r="J49" s="29" t="s">
        <v>344</v>
      </c>
      <c r="K49" s="28" t="s">
        <v>24</v>
      </c>
      <c r="L49" s="2" t="str">
        <f>CONCATENATE("insert into CHB_DATACHECK_RULE (CHECKRULEID,DATATYPE,CHECKCLASS,CHECKMETHOD,SRCPROPERTY,COMPARETO,OBJVALUE,REMARK,STATUS,NULLABLE) values ('",B49,"','",C49,"','",D49,"','",E49,"','",F49,"','",G49,"','",H49,"','",J49,"','",K49,"','",I49,"');")</f>
        <v>insert into CHB_DATACHECK_RULE (CHECKRULEID,DATATYPE,CHECKCLASS,CHECKMETHOD,SRCPROPERTY,COMPARETO,OBJVALUE,REMARK,STATUS,NULLABLE) values ('ys214A49-6813-5A9E-E050-007F22700003','CHB_PRD_ISSUE_SUB_TMP','com.joyintech.tams.common.svreport.datacheck.service.BaseCheckLib','lessThanCharLength','OPEN_CIRCLE','==','0','规律开放周期必须为空','E','Y');</v>
      </c>
      <c r="M49" s="78"/>
      <c r="N49" s="40">
        <v>46</v>
      </c>
      <c r="O49" s="18" t="s">
        <v>179</v>
      </c>
      <c r="P49" s="41" t="s">
        <v>249</v>
      </c>
      <c r="Q49" s="41" t="s">
        <v>250</v>
      </c>
    </row>
    <row r="50" spans="1:18" s="31" customFormat="1" ht="12" customHeight="1" outlineLevel="1" x14ac:dyDescent="0.15">
      <c r="A50" s="18">
        <v>47</v>
      </c>
      <c r="B50" s="28" t="s">
        <v>60</v>
      </c>
      <c r="C50" s="28" t="s">
        <v>28</v>
      </c>
      <c r="D50" s="28" t="s">
        <v>21</v>
      </c>
      <c r="E50" s="29" t="s">
        <v>84</v>
      </c>
      <c r="F50" s="28" t="s">
        <v>43</v>
      </c>
      <c r="G50" s="28" t="s">
        <v>25</v>
      </c>
      <c r="H50" s="30" t="s">
        <v>101</v>
      </c>
      <c r="I50" s="28" t="s">
        <v>26</v>
      </c>
      <c r="J50" s="29" t="s">
        <v>112</v>
      </c>
      <c r="K50" s="28" t="s">
        <v>24</v>
      </c>
      <c r="L50" s="2" t="str">
        <f>CONCATENATE("insert into CHB_DATACHECK_RULE (CHECKRULEID,DATATYPE,CHECKCLASS,CHECKMETHOD,SRCPROPERTY,COMPARETO,OBJVALUE,REMARK,STATUS,NULLABLE) values ('",B50,"','",C50,"','",D50,"','",E50,"','",F50,"','",G50,"','",H50,"','",J50,"','",K50,"','",I50,"');")</f>
        <v>insert into CHB_DATACHECK_RULE (CHECKRULEID,DATATYPE,CHECKCLASS,CHECKMETHOD,SRCPROPERTY,COMPARETO,OBJVALUE,REMARK,STATUS,NULLABLE) values ('ys214A49-6813-5A9E-E050-007F22700004','CHB_PRD_ISSUE_SUB_TMP','com.joyintech.tams.common.svreport.datacheck.service.BaseCheckLib','inDatadict','OPEN_CIRCLE','==','SVR_REGULAR_OPEN_CYCLE','规律开放周期不在值域范围内','E','Y');</v>
      </c>
      <c r="M50" s="78"/>
      <c r="N50" s="40">
        <v>47</v>
      </c>
      <c r="O50" s="18" t="s">
        <v>179</v>
      </c>
      <c r="P50" s="41" t="s">
        <v>229</v>
      </c>
      <c r="Q50" s="41" t="s">
        <v>251</v>
      </c>
    </row>
    <row r="51" spans="1:18" s="31" customFormat="1" ht="48" outlineLevel="1" x14ac:dyDescent="0.15">
      <c r="A51" s="18">
        <v>48</v>
      </c>
      <c r="B51" s="49"/>
      <c r="C51" s="49"/>
      <c r="D51" s="49"/>
      <c r="E51" s="50"/>
      <c r="F51" s="49"/>
      <c r="G51" s="49"/>
      <c r="H51" s="51"/>
      <c r="I51" s="49"/>
      <c r="J51" s="50"/>
      <c r="K51" s="49"/>
      <c r="L51" s="2"/>
      <c r="M51" s="78"/>
      <c r="N51" s="43">
        <v>48</v>
      </c>
      <c r="O51" s="44" t="s">
        <v>186</v>
      </c>
      <c r="P51" s="46" t="s">
        <v>252</v>
      </c>
      <c r="Q51" s="46" t="s">
        <v>253</v>
      </c>
      <c r="R51" s="53" t="s">
        <v>310</v>
      </c>
    </row>
    <row r="52" spans="1:18" s="31" customFormat="1" ht="54" customHeight="1" outlineLevel="1" x14ac:dyDescent="0.15">
      <c r="A52" s="18">
        <v>49</v>
      </c>
      <c r="B52" s="28" t="s">
        <v>332</v>
      </c>
      <c r="C52" s="28" t="s">
        <v>28</v>
      </c>
      <c r="D52" s="28" t="s">
        <v>21</v>
      </c>
      <c r="E52" s="29" t="s">
        <v>22</v>
      </c>
      <c r="F52" s="28" t="s">
        <v>47</v>
      </c>
      <c r="G52" s="28"/>
      <c r="H52" s="30"/>
      <c r="I52" s="28" t="s">
        <v>23</v>
      </c>
      <c r="J52" s="29" t="s">
        <v>345</v>
      </c>
      <c r="K52" s="28" t="s">
        <v>24</v>
      </c>
      <c r="L52" s="2" t="str">
        <f>CONCATENATE("insert into CHB_DATACHECK_RULE (CHECKRULEID,DATATYPE,CHECKCLASS,CHECKMETHOD,SRCPROPERTY,COMPARETO,OBJVALUE,REMARK,STATUS,NULLABLE) values ('",B52,"','",C52,"','",D52,"','",E52,"','",F52,"','",G52,"','",H52,"','",J52,"','",K52,"','",I52,"');")</f>
        <v>insert into CHB_DATACHECK_RULE (CHECKRULEID,DATATYPE,CHECKCLASS,CHECKMETHOD,SRCPROPERTY,COMPARETO,OBJVALUE,REMARK,STATUS,NULLABLE) values ('ys214A49-6813-5A9E-E050-007F22700005','CHB_PRD_ISSUE_SUB_TMP','com.joyintech.tams.common.svreport.datacheck.service.BaseCheckLib','isNotEmpty','OPEN_CIRCLE_DAYS','','','其他规律开放周期(天)要素不可为空。','E','N');</v>
      </c>
      <c r="M52" s="78" t="s">
        <v>254</v>
      </c>
      <c r="N52" s="40">
        <v>49</v>
      </c>
      <c r="O52" s="18" t="s">
        <v>179</v>
      </c>
      <c r="P52" s="41" t="s">
        <v>255</v>
      </c>
      <c r="Q52" s="41" t="s">
        <v>390</v>
      </c>
    </row>
    <row r="53" spans="1:18" s="31" customFormat="1" ht="36" outlineLevel="1" x14ac:dyDescent="0.15">
      <c r="A53" s="18">
        <v>50</v>
      </c>
      <c r="B53" s="28" t="s">
        <v>333</v>
      </c>
      <c r="C53" s="28" t="s">
        <v>28</v>
      </c>
      <c r="D53" s="28" t="s">
        <v>21</v>
      </c>
      <c r="E53" s="29" t="s">
        <v>358</v>
      </c>
      <c r="F53" s="28" t="s">
        <v>47</v>
      </c>
      <c r="G53" s="28" t="s">
        <v>25</v>
      </c>
      <c r="H53" s="30" t="s">
        <v>100</v>
      </c>
      <c r="I53" s="28" t="s">
        <v>26</v>
      </c>
      <c r="J53" s="29" t="s">
        <v>346</v>
      </c>
      <c r="K53" s="28" t="s">
        <v>24</v>
      </c>
      <c r="L53" s="2" t="str">
        <f>CONCATENATE("insert into CHB_DATACHECK_RULE (CHECKRULEID,DATATYPE,CHECKCLASS,CHECKMETHOD,SRCPROPERTY,COMPARETO,OBJVALUE,REMARK,STATUS,NULLABLE) values ('",B53,"','",C53,"','",D53,"','",E53,"','",F53,"','",G53,"','",H53,"','",J53,"','",K53,"','",I53,"');")</f>
        <v>insert into CHB_DATACHECK_RULE (CHECKRULEID,DATATYPE,CHECKCLASS,CHECKMETHOD,SRCPROPERTY,COMPARETO,OBJVALUE,REMARK,STATUS,NULLABLE) values ('ys214A49-6813-5A9E-E050-007F22700006','CHB_PRD_ISSUE_SUB_TMP','com.joyintech.tams.common.svreport.datacheck.service.BaseCheckLib','lessThanCharLength','OPEN_CIRCLE_DAYS','==','0','其他规律开放周期(天)要素必须为空。','E','Y');</v>
      </c>
      <c r="M53" s="78"/>
      <c r="N53" s="40">
        <v>50</v>
      </c>
      <c r="O53" s="18" t="s">
        <v>179</v>
      </c>
      <c r="P53" s="41" t="s">
        <v>249</v>
      </c>
      <c r="Q53" s="41" t="s">
        <v>256</v>
      </c>
    </row>
    <row r="54" spans="1:18" s="31" customFormat="1" ht="60" outlineLevel="1" x14ac:dyDescent="0.15">
      <c r="A54" s="18">
        <v>51</v>
      </c>
      <c r="B54" s="28" t="s">
        <v>383</v>
      </c>
      <c r="C54" s="28" t="s">
        <v>28</v>
      </c>
      <c r="D54" s="28" t="s">
        <v>21</v>
      </c>
      <c r="E54" s="29" t="s">
        <v>358</v>
      </c>
      <c r="F54" s="55" t="s">
        <v>156</v>
      </c>
      <c r="G54" s="28" t="s">
        <v>25</v>
      </c>
      <c r="H54" s="30" t="s">
        <v>100</v>
      </c>
      <c r="I54" s="55" t="s">
        <v>26</v>
      </c>
      <c r="J54" s="54" t="s">
        <v>400</v>
      </c>
      <c r="K54" s="28" t="s">
        <v>24</v>
      </c>
      <c r="L54" s="2" t="str">
        <f>CONCATENATE("insert into CHB_DATACHECK_RULE (CHECKRULEID,DATATYPE,CHECKCLASS,CHECKMETHOD,SRCPROPERTY,COMPARETO,OBJVALUE,REMARK,STATUS,NULLABLE) values ('",B54,"','",C54,"','",D54,"','",E54,"','",F54,"','",G54,"','",H54,"','",J54,"','",K54,"','",I54,"');")</f>
        <v>insert into CHB_DATACHECK_RULE (CHECKRULEID,DATATYPE,CHECKCLASS,CHECKMETHOD,SRCPROPERTY,COMPARETO,OBJVALUE,REMARK,STATUS,NULLABLE) values ('873E4A49-6810-5A9E-E050-007F01006A37','CHB_PRD_ISSUE_SUB_TMP','com.joyintech.tams.common.svreport.datacheck.service.BaseCheckLib','lessThanCharLength','OPEN_CIRCLE_DAYS','==','0','其他规律开放周期(天)要素必须为空。','E','Y');</v>
      </c>
      <c r="M54" s="78"/>
      <c r="N54" s="40">
        <v>51</v>
      </c>
      <c r="O54" s="18" t="s">
        <v>179</v>
      </c>
      <c r="P54" s="41" t="s">
        <v>257</v>
      </c>
      <c r="Q54" s="41" t="s">
        <v>258</v>
      </c>
    </row>
    <row r="55" spans="1:18" s="31" customFormat="1" ht="48" outlineLevel="1" x14ac:dyDescent="0.15">
      <c r="A55" s="18">
        <v>52</v>
      </c>
      <c r="B55" s="49"/>
      <c r="C55" s="49"/>
      <c r="D55" s="49"/>
      <c r="E55" s="50"/>
      <c r="F55" s="49"/>
      <c r="G55" s="49"/>
      <c r="H55" s="51"/>
      <c r="I55" s="49"/>
      <c r="J55" s="50"/>
      <c r="K55" s="49"/>
      <c r="L55" s="2"/>
      <c r="M55" s="78"/>
      <c r="N55" s="43">
        <v>52</v>
      </c>
      <c r="O55" s="44" t="s">
        <v>186</v>
      </c>
      <c r="P55" s="46" t="s">
        <v>252</v>
      </c>
      <c r="Q55" s="46" t="s">
        <v>259</v>
      </c>
      <c r="R55" s="53" t="s">
        <v>310</v>
      </c>
    </row>
    <row r="56" spans="1:18" s="31" customFormat="1" ht="24" outlineLevel="1" x14ac:dyDescent="0.15">
      <c r="A56" s="18">
        <v>53</v>
      </c>
      <c r="B56" s="28" t="s">
        <v>157</v>
      </c>
      <c r="C56" s="28" t="s">
        <v>28</v>
      </c>
      <c r="D56" s="28" t="s">
        <v>21</v>
      </c>
      <c r="E56" s="29" t="s">
        <v>159</v>
      </c>
      <c r="F56" s="28" t="s">
        <v>156</v>
      </c>
      <c r="G56" s="28"/>
      <c r="H56" s="30" t="s">
        <v>160</v>
      </c>
      <c r="I56" s="55" t="s">
        <v>26</v>
      </c>
      <c r="J56" s="29" t="s">
        <v>331</v>
      </c>
      <c r="K56" s="28" t="s">
        <v>24</v>
      </c>
      <c r="L56" s="2" t="str">
        <f>CONCATENATE("insert into CHB_DATACHECK_RULE (CHECKRULEID,DATATYPE,CHECKCLASS,CHECKMETHOD,SRCPROPERTY,COMPARETO,OBJVALUE,REMARK,STATUS,NULLABLE) values ('",B56,"','",C56,"','",D56,"','",E56,"','",F56,"','",G56,"','",H56,"','",J56,"','",K56,"','",I56,"');")</f>
        <v>insert into CHB_DATACHECK_RULE (CHECKRULEID,DATATYPE,CHECKCLASS,CHECKMETHOD,SRCPROPERTY,COMPARETO,OBJVALUE,REMARK,STATUS,NULLABLE) values ('ys8E4A49-6813-5A9E-E050-007F21706A81','CHB_PRD_ISSUE_SUB_TMP','com.joyintech.tams.common.svreport.datacheck.service.BaseCheckLib','isNumber','OPEN_CIRCLE_DAYS','','4,0','其他规律开放周期(天)必须为n..4格式。','E','Y');</v>
      </c>
      <c r="M56" s="78"/>
      <c r="N56" s="40">
        <v>53</v>
      </c>
      <c r="O56" s="18" t="s">
        <v>179</v>
      </c>
      <c r="P56" s="41" t="s">
        <v>260</v>
      </c>
      <c r="Q56" s="41" t="s">
        <v>331</v>
      </c>
    </row>
    <row r="57" spans="1:18" s="31" customFormat="1" ht="24" outlineLevel="1" x14ac:dyDescent="0.15">
      <c r="A57" s="18">
        <v>54</v>
      </c>
      <c r="B57" s="28" t="s">
        <v>158</v>
      </c>
      <c r="C57" s="28" t="s">
        <v>28</v>
      </c>
      <c r="D57" s="28" t="s">
        <v>21</v>
      </c>
      <c r="E57" s="29" t="s">
        <v>161</v>
      </c>
      <c r="F57" s="28" t="s">
        <v>156</v>
      </c>
      <c r="G57" s="28" t="s">
        <v>396</v>
      </c>
      <c r="H57" s="30" t="s">
        <v>162</v>
      </c>
      <c r="I57" s="55" t="s">
        <v>26</v>
      </c>
      <c r="J57" s="29" t="s">
        <v>397</v>
      </c>
      <c r="K57" s="28" t="s">
        <v>24</v>
      </c>
      <c r="L57" s="2" t="str">
        <f>CONCATENATE("insert into CHB_DATACHECK_RULE (CHECKRULEID,DATATYPE,CHECKCLASS,CHECKMETHOD,SRCPROPERTY,COMPARETO,OBJVALUE,REMARK,STATUS,NULLABLE) values ('",B57,"','",C57,"','",D57,"','",E57,"','",F57,"','",G57,"','",H57,"','",J57,"','",K57,"','",I57,"');")</f>
        <v>insert into CHB_DATACHECK_RULE (CHECKRULEID,DATATYPE,CHECKCLASS,CHECKMETHOD,SRCPROPERTY,COMPARETO,OBJVALUE,REMARK,STATUS,NULLABLE) values ('ys8E4A49-6813-5A9E-E050-007F21706A82','CHB_PRD_ISSUE_SUB_TMP','com.joyintech.tams.common.svreport.datacheck.service.BaseCheckLib','compareValueAsNumber','OPEN_CIRCLE_DAYS','&gt;','0','其他规律开放周期(天)必须大于0。','E','Y');</v>
      </c>
      <c r="M57" s="78"/>
      <c r="N57" s="40">
        <v>54</v>
      </c>
      <c r="O57" s="18" t="s">
        <v>179</v>
      </c>
      <c r="P57" s="41" t="s">
        <v>261</v>
      </c>
      <c r="Q57" s="41" t="s">
        <v>262</v>
      </c>
    </row>
    <row r="58" spans="1:18" s="31" customFormat="1" ht="12" customHeight="1" outlineLevel="1" x14ac:dyDescent="0.15">
      <c r="A58" s="18">
        <v>55</v>
      </c>
      <c r="B58" s="28" t="s">
        <v>334</v>
      </c>
      <c r="C58" s="28" t="s">
        <v>28</v>
      </c>
      <c r="D58" s="28" t="s">
        <v>21</v>
      </c>
      <c r="E58" s="29" t="s">
        <v>22</v>
      </c>
      <c r="F58" s="28" t="s">
        <v>52</v>
      </c>
      <c r="G58" s="28"/>
      <c r="H58" s="30"/>
      <c r="I58" s="28" t="s">
        <v>23</v>
      </c>
      <c r="J58" s="29" t="s">
        <v>163</v>
      </c>
      <c r="K58" s="28" t="s">
        <v>24</v>
      </c>
      <c r="L58" s="2" t="str">
        <f t="shared" ref="L58:L83" si="4">CONCATENATE("insert into CHB_DATACHECK_RULE (CHECKRULEID,DATATYPE,CHECKCLASS,CHECKMETHOD,SRCPROPERTY,COMPARETO,OBJVALUE,REMARK,STATUS,NULLABLE) values ('",B58,"','",C58,"','",D58,"','",E58,"','",F58,"','",G58,"','",H58,"','",J58,"','",K58,"','",I58,"');")</f>
        <v>insert into CHB_DATACHECK_RULE (CHECKRULEID,DATATYPE,CHECKCLASS,CHECKMETHOD,SRCPROPERTY,COMPARETO,OBJVALUE,REMARK,STATUS,NULLABLE) values ('873E4A49-6810-5A9E-E050-007F01006A38','CHB_PRD_ISSUE_SUB_TMP','com.joyintech.tams.common.svreport.datacheck.service.BaseCheckLib','isNotEmpty','RULE_COMMENT','','','无规律开放说明不可为空','E','N');</v>
      </c>
      <c r="M58" s="78" t="s">
        <v>263</v>
      </c>
      <c r="N58" s="40">
        <v>55</v>
      </c>
      <c r="O58" s="18" t="s">
        <v>179</v>
      </c>
      <c r="P58" s="41" t="s">
        <v>264</v>
      </c>
      <c r="Q58" s="41" t="s">
        <v>387</v>
      </c>
    </row>
    <row r="59" spans="1:18" s="31" customFormat="1" ht="36" outlineLevel="1" x14ac:dyDescent="0.15">
      <c r="A59" s="18">
        <v>56</v>
      </c>
      <c r="B59" s="28" t="s">
        <v>63</v>
      </c>
      <c r="C59" s="28" t="s">
        <v>28</v>
      </c>
      <c r="D59" s="28" t="s">
        <v>21</v>
      </c>
      <c r="E59" s="29" t="s">
        <v>358</v>
      </c>
      <c r="F59" s="28" t="s">
        <v>52</v>
      </c>
      <c r="G59" s="28" t="s">
        <v>25</v>
      </c>
      <c r="H59" s="30" t="s">
        <v>162</v>
      </c>
      <c r="I59" s="55" t="s">
        <v>26</v>
      </c>
      <c r="J59" s="29" t="s">
        <v>385</v>
      </c>
      <c r="K59" s="28" t="s">
        <v>24</v>
      </c>
      <c r="L59" s="2" t="str">
        <f>CONCATENATE("insert into CHB_DATACHECK_RULE (CHECKRULEID,DATATYPE,CHECKCLASS,CHECKMETHOD,SRCPROPERTY,COMPARETO,OBJVALUE,REMARK,STATUS,NULLABLE) values ('",B59,"','",C59,"','",D59,"','",E59,"','",F59,"','",G59,"','",H59,"','",J59,"','",K59,"','",I59,"');")</f>
        <v>insert into CHB_DATACHECK_RULE (CHECKRULEID,DATATYPE,CHECKCLASS,CHECKMETHOD,SRCPROPERTY,COMPARETO,OBJVALUE,REMARK,STATUS,NULLABLE) values ('ys214A49-6813-5A9E-E050-007F22700007','CHB_PRD_ISSUE_SUB_TMP','com.joyintech.tams.common.svreport.datacheck.service.BaseCheckLib','lessThanCharLength','RULE_COMMENT','==','0','无规律开放说明必须为空','E','Y');</v>
      </c>
      <c r="M59" s="78"/>
      <c r="N59" s="40">
        <v>56</v>
      </c>
      <c r="O59" s="18" t="s">
        <v>179</v>
      </c>
      <c r="P59" s="41" t="s">
        <v>265</v>
      </c>
      <c r="Q59" s="41" t="s">
        <v>266</v>
      </c>
    </row>
    <row r="60" spans="1:18" s="36" customFormat="1" ht="48" outlineLevel="1" x14ac:dyDescent="0.15">
      <c r="A60" s="18">
        <v>57</v>
      </c>
      <c r="B60" s="67"/>
      <c r="C60" s="67"/>
      <c r="D60" s="67"/>
      <c r="E60" s="67"/>
      <c r="F60" s="67"/>
      <c r="G60" s="67"/>
      <c r="H60" s="67"/>
      <c r="I60" s="67"/>
      <c r="J60" s="69"/>
      <c r="K60" s="67"/>
      <c r="M60" s="78"/>
      <c r="N60" s="43">
        <v>57</v>
      </c>
      <c r="O60" s="44" t="s">
        <v>186</v>
      </c>
      <c r="P60" s="46" t="s">
        <v>252</v>
      </c>
      <c r="Q60" s="46" t="s">
        <v>267</v>
      </c>
      <c r="R60" s="53" t="s">
        <v>310</v>
      </c>
    </row>
    <row r="61" spans="1:18" s="36" customFormat="1" ht="24" outlineLevel="1" x14ac:dyDescent="0.15">
      <c r="A61" s="18">
        <v>58</v>
      </c>
      <c r="B61" s="28" t="s">
        <v>165</v>
      </c>
      <c r="C61" s="28" t="s">
        <v>28</v>
      </c>
      <c r="D61" s="28" t="s">
        <v>21</v>
      </c>
      <c r="E61" s="29" t="s">
        <v>125</v>
      </c>
      <c r="F61" s="28" t="s">
        <v>52</v>
      </c>
      <c r="G61" s="28"/>
      <c r="H61" s="30" t="s">
        <v>402</v>
      </c>
      <c r="I61" s="28" t="s">
        <v>26</v>
      </c>
      <c r="J61" s="29" t="s">
        <v>398</v>
      </c>
      <c r="K61" s="28" t="s">
        <v>24</v>
      </c>
      <c r="L61" s="2" t="str">
        <f>CONCATENATE("insert into CHB_DATACHECK_RULE (CHECKRULEID,DATATYPE,CHECKCLASS,CHECKMETHOD,SRCPROPERTY,COMPARETO,OBJVALUE,REMARK,STATUS,NULLABLE) values ('",B61,"','",C61,"','",D61,"','",E61,"','",F61,"','",G61,"','",H61,"','",J61,"','",K61,"','",I61,"');")</f>
        <v>insert into CHB_DATACHECK_RULE (CHECKRULEID,DATATYPE,CHECKCLASS,CHECKMETHOD,SRCPROPERTY,COMPARETO,OBJVALUE,REMARK,STATUS,NULLABLE) values ('ys8E4A49-6813-5A9E-E050-007F21706A83','CHB_PRD_ISSUE_SUB_TMP','com.joyintech.tams.common.svreport.datacheck.service.BaseCheckLib','isCustomizedStringForWhitelist','RULE_COMMEN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无规律开放说明必须填写白名单中的文字。','E','Y');</v>
      </c>
      <c r="M61" s="78"/>
      <c r="N61" s="40">
        <v>58</v>
      </c>
      <c r="O61" s="18" t="s">
        <v>179</v>
      </c>
      <c r="P61" s="41" t="s">
        <v>203</v>
      </c>
      <c r="Q61" s="41" t="s">
        <v>268</v>
      </c>
    </row>
    <row r="62" spans="1:18" s="36" customFormat="1" outlineLevel="1" x14ac:dyDescent="0.15">
      <c r="A62" s="18">
        <v>59</v>
      </c>
      <c r="B62" s="28" t="s">
        <v>164</v>
      </c>
      <c r="C62" s="28" t="s">
        <v>28</v>
      </c>
      <c r="D62" s="28" t="s">
        <v>21</v>
      </c>
      <c r="E62" s="29" t="s">
        <v>358</v>
      </c>
      <c r="F62" s="28" t="s">
        <v>52</v>
      </c>
      <c r="G62" s="28"/>
      <c r="H62" s="30" t="s">
        <v>102</v>
      </c>
      <c r="I62" s="28" t="s">
        <v>26</v>
      </c>
      <c r="J62" s="41" t="s">
        <v>399</v>
      </c>
      <c r="K62" s="28" t="s">
        <v>24</v>
      </c>
      <c r="L62" s="2" t="str">
        <f>CONCATENATE("insert into CHB_DATACHECK_RULE (CHECKRULEID,DATATYPE,CHECKCLASS,CHECKMETHOD,SRCPROPERTY,COMPARETO,OBJVALUE,REMARK,STATUS,NULLABLE) values ('",B62,"','",C62,"','",D62,"','",E62,"','",F62,"','",G62,"','",H62,"','",J62,"','",K62,"','",I62,"');")</f>
        <v>insert into CHB_DATACHECK_RULE (CHECKRULEID,DATATYPE,CHECKCLASS,CHECKMETHOD,SRCPROPERTY,COMPARETO,OBJVALUE,REMARK,STATUS,NULLABLE) values ('ys214A49-6813-5A9E-E050-007F22700008','CHB_PRD_ISSUE_SUB_TMP','com.joyintech.tams.common.svreport.datacheck.service.BaseCheckLib','lessThanCharLength','RULE_COMMENT','','257','无规律开放说明过长。','E','Y');</v>
      </c>
      <c r="M62" s="78"/>
      <c r="N62" s="40">
        <v>59</v>
      </c>
      <c r="O62" s="18" t="s">
        <v>179</v>
      </c>
      <c r="P62" s="41" t="s">
        <v>269</v>
      </c>
      <c r="Q62" s="41" t="s">
        <v>270</v>
      </c>
    </row>
    <row r="63" spans="1:18" s="36" customFormat="1" ht="96" outlineLevel="1" x14ac:dyDescent="0.15">
      <c r="A63" s="18">
        <v>60</v>
      </c>
      <c r="B63" s="67"/>
      <c r="C63" s="67"/>
      <c r="D63" s="67"/>
      <c r="E63" s="67"/>
      <c r="F63" s="67"/>
      <c r="G63" s="67"/>
      <c r="H63" s="67"/>
      <c r="I63" s="67"/>
      <c r="J63" s="69"/>
      <c r="K63" s="67"/>
      <c r="L63" s="2"/>
      <c r="M63" s="74" t="s">
        <v>271</v>
      </c>
      <c r="N63" s="40">
        <v>60</v>
      </c>
      <c r="O63" s="44" t="s">
        <v>186</v>
      </c>
      <c r="P63" s="46" t="s">
        <v>272</v>
      </c>
      <c r="Q63" s="46" t="s">
        <v>273</v>
      </c>
      <c r="R63" s="53" t="s">
        <v>310</v>
      </c>
    </row>
    <row r="64" spans="1:18" s="31" customFormat="1" ht="48" outlineLevel="1" x14ac:dyDescent="0.15">
      <c r="A64" s="18">
        <v>61</v>
      </c>
      <c r="B64" s="28" t="s">
        <v>65</v>
      </c>
      <c r="C64" s="28" t="s">
        <v>28</v>
      </c>
      <c r="D64" s="28" t="s">
        <v>21</v>
      </c>
      <c r="E64" s="29" t="s">
        <v>85</v>
      </c>
      <c r="F64" s="28" t="s">
        <v>90</v>
      </c>
      <c r="G64" s="28"/>
      <c r="H64" s="30" t="s">
        <v>98</v>
      </c>
      <c r="I64" s="28" t="s">
        <v>26</v>
      </c>
      <c r="J64" s="29" t="s">
        <v>337</v>
      </c>
      <c r="K64" s="28" t="s">
        <v>24</v>
      </c>
      <c r="L64" s="2" t="str">
        <f>CONCATENATE("insert into CHB_DATACHECK_RULE (CHECKRULEID,DATATYPE,CHECKCLASS,CHECKMETHOD,SRCPROPERTY,COMPARETO,OBJVALUE,REMARK,STATUS,NULLABLE) values ('",B64,"','",C64,"','",D64,"','",E64,"','",F64,"','",G64,"','",H64,"','",J64,"','",K64,"','",I64,"');")</f>
        <v>insert into CHB_DATACHECK_RULE (CHECKRULEID,DATATYPE,CHECKCLASS,CHECKMETHOD,SRCPROPERTY,COMPARETO,OBJVALUE,REMARK,STATUS,NULLABLE) values ('ys214A49-6813-5A9E-E050-007F22700009','CHB_PRD_ISSUE_SUB_TMP','com.joyintech.tams.common.svreport.datacheck.service.BaseCheckLib','isValidDate','FIRST_OPEN_DAY','','yyyy-MM-dd','首次开放周期起始日必须为日期格式（YYYY-MM-DD）且是正确的日期。','E','Y');</v>
      </c>
      <c r="M64" s="74"/>
      <c r="N64" s="40">
        <v>61</v>
      </c>
      <c r="O64" s="18" t="s">
        <v>179</v>
      </c>
      <c r="P64" s="41" t="s">
        <v>210</v>
      </c>
      <c r="Q64" s="41" t="s">
        <v>336</v>
      </c>
    </row>
    <row r="65" spans="1:18" s="31" customFormat="1" ht="24" outlineLevel="1" x14ac:dyDescent="0.15">
      <c r="A65" s="18">
        <v>62</v>
      </c>
      <c r="B65" s="67"/>
      <c r="C65" s="67"/>
      <c r="D65" s="67"/>
      <c r="E65" s="67"/>
      <c r="F65" s="67"/>
      <c r="G65" s="67"/>
      <c r="H65" s="67"/>
      <c r="I65" s="67"/>
      <c r="J65" s="69"/>
      <c r="K65" s="67"/>
      <c r="M65" s="74"/>
      <c r="N65" s="40">
        <v>62</v>
      </c>
      <c r="O65" s="44" t="s">
        <v>179</v>
      </c>
      <c r="P65" s="45" t="s">
        <v>210</v>
      </c>
      <c r="Q65" s="45" t="s">
        <v>274</v>
      </c>
      <c r="R65" s="31" t="s">
        <v>314</v>
      </c>
    </row>
    <row r="66" spans="1:18" s="31" customFormat="1" ht="96" outlineLevel="1" x14ac:dyDescent="0.15">
      <c r="A66" s="18">
        <v>63</v>
      </c>
      <c r="B66" s="67"/>
      <c r="C66" s="67"/>
      <c r="D66" s="67"/>
      <c r="E66" s="67"/>
      <c r="F66" s="67"/>
      <c r="G66" s="67"/>
      <c r="H66" s="67"/>
      <c r="I66" s="67"/>
      <c r="J66" s="69"/>
      <c r="K66" s="67"/>
      <c r="L66" s="2"/>
      <c r="M66" s="74" t="s">
        <v>275</v>
      </c>
      <c r="N66" s="40">
        <v>63</v>
      </c>
      <c r="O66" s="44" t="s">
        <v>186</v>
      </c>
      <c r="P66" s="46" t="s">
        <v>272</v>
      </c>
      <c r="Q66" s="46" t="s">
        <v>276</v>
      </c>
      <c r="R66" s="53" t="s">
        <v>310</v>
      </c>
    </row>
    <row r="67" spans="1:18" s="31" customFormat="1" ht="24" outlineLevel="1" x14ac:dyDescent="0.15">
      <c r="A67" s="18">
        <v>64</v>
      </c>
      <c r="B67" s="28" t="s">
        <v>66</v>
      </c>
      <c r="C67" s="28" t="s">
        <v>28</v>
      </c>
      <c r="D67" s="28" t="s">
        <v>21</v>
      </c>
      <c r="E67" s="29" t="s">
        <v>84</v>
      </c>
      <c r="F67" s="28" t="s">
        <v>91</v>
      </c>
      <c r="G67" s="28" t="s">
        <v>25</v>
      </c>
      <c r="H67" s="30" t="s">
        <v>103</v>
      </c>
      <c r="I67" s="28" t="s">
        <v>26</v>
      </c>
      <c r="J67" s="29" t="s">
        <v>113</v>
      </c>
      <c r="K67" s="28" t="s">
        <v>24</v>
      </c>
      <c r="L67" s="2" t="str">
        <f>CONCATENATE("insert into CHB_DATACHECK_RULE (CHECKRULEID,DATATYPE,CHECKCLASS,CHECKMETHOD,SRCPROPERTY,COMPARETO,OBJVALUE,REMARK,STATUS,NULLABLE) values ('",B67,"','",C67,"','",D67,"','",E67,"','",F67,"','",G67,"','",H67,"','",J67,"','",K67,"','",I67,"');")</f>
        <v>insert into CHB_DATACHECK_RULE (CHECKRULEID,DATATYPE,CHECKCLASS,CHECKMETHOD,SRCPROPERTY,COMPARETO,OBJVALUE,REMARK,STATUS,NULLABLE) values ('ys214A49-6813-5A9E-E050-007F22700011','CHB_PRD_ISSUE_SUB_TMP','com.joyintech.tams.common.svreport.datacheck.service.BaseCheckLib','inDatadict','HOLIDAY_ON_FLAG','==','SVR_YES_OR_NO','节假日是否开放不在值域范围内','E','Y');</v>
      </c>
      <c r="M67" s="74"/>
      <c r="N67" s="40">
        <v>64</v>
      </c>
      <c r="O67" s="18" t="s">
        <v>179</v>
      </c>
      <c r="P67" s="41" t="s">
        <v>229</v>
      </c>
      <c r="Q67" s="41" t="s">
        <v>277</v>
      </c>
    </row>
    <row r="68" spans="1:18" s="31" customFormat="1" ht="96" outlineLevel="1" x14ac:dyDescent="0.15">
      <c r="A68" s="18">
        <v>65</v>
      </c>
      <c r="B68" s="28"/>
      <c r="C68" s="28"/>
      <c r="D68" s="28"/>
      <c r="E68" s="29"/>
      <c r="F68" s="28"/>
      <c r="G68" s="28"/>
      <c r="H68" s="30"/>
      <c r="I68" s="28"/>
      <c r="J68" s="29"/>
      <c r="K68" s="28"/>
      <c r="L68" s="2"/>
      <c r="M68" s="74" t="s">
        <v>278</v>
      </c>
      <c r="N68" s="40">
        <v>65</v>
      </c>
      <c r="O68" s="44" t="s">
        <v>186</v>
      </c>
      <c r="P68" s="46" t="s">
        <v>272</v>
      </c>
      <c r="Q68" s="46" t="s">
        <v>279</v>
      </c>
      <c r="R68" s="53" t="s">
        <v>310</v>
      </c>
    </row>
    <row r="69" spans="1:18" ht="24" outlineLevel="1" x14ac:dyDescent="0.15">
      <c r="A69" s="18">
        <v>66</v>
      </c>
      <c r="B69" s="28" t="s">
        <v>67</v>
      </c>
      <c r="C69" s="28" t="s">
        <v>28</v>
      </c>
      <c r="D69" s="28" t="s">
        <v>21</v>
      </c>
      <c r="E69" s="29" t="s">
        <v>86</v>
      </c>
      <c r="F69" s="28" t="s">
        <v>166</v>
      </c>
      <c r="G69" s="28"/>
      <c r="H69" s="30" t="s">
        <v>104</v>
      </c>
      <c r="I69" s="28" t="s">
        <v>26</v>
      </c>
      <c r="J69" s="29" t="s">
        <v>338</v>
      </c>
      <c r="K69" s="28" t="s">
        <v>24</v>
      </c>
      <c r="L69" s="2" t="str">
        <f>CONCATENATE("insert into CHB_DATACHECK_RULE (CHECKRULEID,DATATYPE,CHECKCLASS,CHECKMETHOD,SRCPROPERTY,COMPARETO,OBJVALUE,REMARK,STATUS,NULLABLE) values ('",B69,"','",C69,"','",D69,"','",E69,"','",F69,"','",G69,"','",H69,"','",J69,"','",K69,"','",I69,"');")</f>
        <v>insert into CHB_DATACHECK_RULE (CHECKRULEID,DATATYPE,CHECKCLASS,CHECKMETHOD,SRCPROPERTY,COMPARETO,OBJVALUE,REMARK,STATUS,NULLABLE) values ('ys214A49-6813-5A9E-E050-007F22700013','CHB_PRD_ISSUE_SUB_TMP','com.joyintech.tams.common.svreport.datacheck.service.BaseCheckLib','isNumber2','AVG_OPEN_COUNT','','5,2','平均开放次数（年化）必须为n（5,2）格式。','E','Y');</v>
      </c>
      <c r="M69" s="74"/>
      <c r="N69" s="40">
        <v>66</v>
      </c>
      <c r="O69" s="18" t="s">
        <v>179</v>
      </c>
      <c r="P69" s="41" t="s">
        <v>280</v>
      </c>
      <c r="Q69" s="41" t="s">
        <v>338</v>
      </c>
    </row>
    <row r="70" spans="1:18" s="31" customFormat="1" ht="24" outlineLevel="1" x14ac:dyDescent="0.15">
      <c r="A70" s="79">
        <v>67</v>
      </c>
      <c r="B70" s="33" t="s">
        <v>347</v>
      </c>
      <c r="C70" s="33" t="s">
        <v>169</v>
      </c>
      <c r="D70" s="33" t="s">
        <v>21</v>
      </c>
      <c r="E70" s="54" t="s">
        <v>351</v>
      </c>
      <c r="F70" s="33" t="s">
        <v>166</v>
      </c>
      <c r="G70" s="55" t="s">
        <v>352</v>
      </c>
      <c r="H70" s="56" t="s">
        <v>162</v>
      </c>
      <c r="I70" s="33" t="s">
        <v>26</v>
      </c>
      <c r="J70" s="34" t="s">
        <v>350</v>
      </c>
      <c r="K70" s="33" t="s">
        <v>24</v>
      </c>
      <c r="L70" s="23" t="str">
        <f t="shared" ref="L70:L71" si="5">CONCATENATE("insert into CHB_DATACHECK_RULE (CHECKRULEID,DATATYPE,CHECKCLASS,CHECKMETHOD,SRCPROPERTY,COMPARETO,OBJVALUE,REMARK,STATUS,NULLABLE) values ('",B70,"','",C70,"','",D70,"','",E70,"','",F70,"','",G70,"','",H70,"','",J70,"','",K70,"','",I70,"');")</f>
        <v>insert into CHB_DATACHECK_RULE (CHECKRULEID,DATATYPE,CHECKCLASS,CHECKMETHOD,SRCPROPERTY,COMPARETO,OBJVALUE,REMARK,STATUS,NULLABLE) values ('ya214A49-6813-5A9E-E050-007F22700013','CHB_PRD_ISSUE_SUB_TMP','com.joyintech.tams.common.svreport.datacheck.service.BaseCheckLib','compareValueAsNumber','AVG_OPEN_COUNT','&gt;','0','平均开放次数（年化）必须大于0.','E','Y');</v>
      </c>
      <c r="M70" s="74"/>
      <c r="N70" s="40">
        <v>67</v>
      </c>
      <c r="O70" s="18" t="s">
        <v>179</v>
      </c>
      <c r="P70" s="41" t="s">
        <v>281</v>
      </c>
      <c r="Q70" s="41" t="s">
        <v>282</v>
      </c>
    </row>
    <row r="71" spans="1:18" s="31" customFormat="1" ht="24" outlineLevel="1" x14ac:dyDescent="0.15">
      <c r="A71" s="80"/>
      <c r="B71" s="33" t="s">
        <v>348</v>
      </c>
      <c r="C71" s="33" t="s">
        <v>169</v>
      </c>
      <c r="D71" s="33" t="s">
        <v>21</v>
      </c>
      <c r="E71" s="54" t="s">
        <v>351</v>
      </c>
      <c r="F71" s="33" t="s">
        <v>166</v>
      </c>
      <c r="G71" s="33" t="s">
        <v>354</v>
      </c>
      <c r="H71" s="35" t="s">
        <v>353</v>
      </c>
      <c r="I71" s="33" t="s">
        <v>26</v>
      </c>
      <c r="J71" s="34" t="s">
        <v>349</v>
      </c>
      <c r="K71" s="33" t="s">
        <v>24</v>
      </c>
      <c r="L71" s="23" t="str">
        <f t="shared" si="5"/>
        <v>insert into CHB_DATACHECK_RULE (CHECKRULEID,DATATYPE,CHECKCLASS,CHECKMETHOD,SRCPROPERTY,COMPARETO,OBJVALUE,REMARK,STATUS,NULLABLE) values ('yb214A49-6813-5A9E-E050-007F22700013','CHB_PRD_ISSUE_SUB_TMP','com.joyintech.tams.common.svreport.datacheck.service.BaseCheckLib','compareValueAsNumber','AVG_OPEN_COUNT','&lt;=','366','平均开放次数（年化）不能超过366。','E','Y');</v>
      </c>
      <c r="M71" s="40"/>
      <c r="N71" s="40"/>
      <c r="O71" s="18"/>
      <c r="P71" s="41"/>
      <c r="Q71" s="41"/>
    </row>
    <row r="72" spans="1:18" s="31" customFormat="1" ht="96" outlineLevel="1" x14ac:dyDescent="0.15">
      <c r="A72" s="18">
        <v>68</v>
      </c>
      <c r="B72" s="28"/>
      <c r="C72" s="28"/>
      <c r="D72" s="28"/>
      <c r="E72" s="29"/>
      <c r="F72" s="28"/>
      <c r="G72" s="28"/>
      <c r="H72" s="30"/>
      <c r="I72" s="28"/>
      <c r="J72" s="29"/>
      <c r="K72" s="28"/>
      <c r="L72" s="2"/>
      <c r="M72" s="74" t="s">
        <v>283</v>
      </c>
      <c r="N72" s="40">
        <v>68</v>
      </c>
      <c r="O72" s="44" t="s">
        <v>186</v>
      </c>
      <c r="P72" s="46" t="s">
        <v>272</v>
      </c>
      <c r="Q72" s="46" t="s">
        <v>284</v>
      </c>
      <c r="R72" s="53" t="s">
        <v>310</v>
      </c>
    </row>
    <row r="73" spans="1:18" s="31" customFormat="1" ht="24" outlineLevel="1" x14ac:dyDescent="0.15">
      <c r="A73" s="18">
        <v>69</v>
      </c>
      <c r="B73" s="28" t="s">
        <v>68</v>
      </c>
      <c r="C73" s="28" t="s">
        <v>28</v>
      </c>
      <c r="D73" s="28" t="s">
        <v>21</v>
      </c>
      <c r="E73" s="29" t="s">
        <v>84</v>
      </c>
      <c r="F73" s="28" t="s">
        <v>42</v>
      </c>
      <c r="G73" s="28" t="s">
        <v>25</v>
      </c>
      <c r="H73" s="30" t="s">
        <v>105</v>
      </c>
      <c r="I73" s="28" t="s">
        <v>26</v>
      </c>
      <c r="J73" s="29" t="s">
        <v>114</v>
      </c>
      <c r="K73" s="28" t="s">
        <v>24</v>
      </c>
      <c r="L73" s="2" t="str">
        <f>CONCATENATE("insert into CHB_DATACHECK_RULE (CHECKRULEID,DATATYPE,CHECKCLASS,CHECKMETHOD,SRCPROPERTY,COMPARETO,OBJVALUE,REMARK,STATUS,NULLABLE) values ('",B73,"','",C73,"','",D73,"','",E73,"','",F73,"','",G73,"','",H73,"','",J73,"','",K73,"','",I73,"');")</f>
        <v>insert into CHB_DATACHECK_RULE (CHECKRULEID,DATATYPE,CHECKCLASS,CHECKMETHOD,SRCPROPERTY,COMPARETO,OBJVALUE,REMARK,STATUS,NULLABLE) values ('ys214A49-6813-5A9E-E050-007F22700015','CHB_PRD_ISSUE_SUB_TMP','com.joyintech.tams.common.svreport.datacheck.service.BaseCheckLib','inDatadict','OPEN_BUSS','==','SVR_OPEN_BUSS','开放期业务不在值域范围内','E','Y');</v>
      </c>
      <c r="M73" s="74"/>
      <c r="N73" s="40">
        <v>69</v>
      </c>
      <c r="O73" s="18" t="s">
        <v>179</v>
      </c>
      <c r="P73" s="41" t="s">
        <v>229</v>
      </c>
      <c r="Q73" s="41" t="s">
        <v>285</v>
      </c>
    </row>
    <row r="74" spans="1:18" s="31" customFormat="1" ht="12" customHeight="1" outlineLevel="1" x14ac:dyDescent="0.15">
      <c r="A74" s="18">
        <v>70</v>
      </c>
      <c r="B74" s="28" t="s">
        <v>339</v>
      </c>
      <c r="C74" s="28" t="s">
        <v>28</v>
      </c>
      <c r="D74" s="28" t="s">
        <v>21</v>
      </c>
      <c r="E74" s="29" t="s">
        <v>22</v>
      </c>
      <c r="F74" s="28" t="s">
        <v>49</v>
      </c>
      <c r="G74" s="28"/>
      <c r="H74" s="30"/>
      <c r="I74" s="28" t="s">
        <v>23</v>
      </c>
      <c r="J74" s="29" t="s">
        <v>115</v>
      </c>
      <c r="K74" s="28" t="s">
        <v>24</v>
      </c>
      <c r="L74" s="2" t="str">
        <f>CONCATENATE("insert into CHB_DATACHECK_RULE (CHECKRULEID,DATATYPE,CHECKCLASS,CHECKMETHOD,SRCPROPERTY,COMPARETO,OBJVALUE,REMARK,STATUS,NULLABLE) values ('",B74,"','",C74,"','",D74,"','",E74,"','",F74,"','",G74,"','",H74,"','",J74,"','",K74,"','",I74,"');")</f>
        <v>insert into CHB_DATACHECK_RULE (CHECKRULEID,DATATYPE,CHECKCLASS,CHECKMETHOD,SRCPROPERTY,COMPARETO,OBJVALUE,REMARK,STATUS,NULLABLE) values ('ys214A49-6813-5A9E-E050-007F22700016','CHB_PRD_ISSUE_SUB_TMP','com.joyintech.tams.common.svreport.datacheck.service.BaseCheckLib','isNotEmpty','OPEN_BUSS_REMARK','','','开放期业务说明不能为空','E','N');</v>
      </c>
      <c r="M74" s="75" t="s">
        <v>286</v>
      </c>
      <c r="N74" s="40">
        <v>70</v>
      </c>
      <c r="O74" s="18" t="s">
        <v>179</v>
      </c>
      <c r="P74" s="41" t="s">
        <v>287</v>
      </c>
      <c r="Q74" s="41" t="s">
        <v>288</v>
      </c>
    </row>
    <row r="75" spans="1:18" s="31" customFormat="1" ht="24" outlineLevel="1" x14ac:dyDescent="0.15">
      <c r="A75" s="18">
        <v>71</v>
      </c>
      <c r="B75" s="28" t="s">
        <v>39</v>
      </c>
      <c r="C75" s="28" t="s">
        <v>28</v>
      </c>
      <c r="D75" s="28" t="s">
        <v>21</v>
      </c>
      <c r="E75" s="29" t="s">
        <v>125</v>
      </c>
      <c r="F75" s="28" t="s">
        <v>49</v>
      </c>
      <c r="G75" s="28"/>
      <c r="H75" s="30" t="s">
        <v>402</v>
      </c>
      <c r="I75" s="52" t="s">
        <v>26</v>
      </c>
      <c r="J75" s="29" t="s">
        <v>168</v>
      </c>
      <c r="K75" s="28" t="s">
        <v>24</v>
      </c>
      <c r="L75" s="2" t="str">
        <f>CONCATENATE("insert into CHB_DATACHECK_RULE (CHECKRULEID,DATATYPE,CHECKCLASS,CHECKMETHOD,SRCPROPERTY,COMPARETO,OBJVALUE,REMARK,STATUS,NULLABLE) values ('",B75,"','",C75,"','",D75,"','",E75,"','",F75,"','",G75,"','",H75,"','",J75,"','",K75,"','",I75,"');")</f>
        <v>insert into CHB_DATACHECK_RULE (CHECKRULEID,DATATYPE,CHECKCLASS,CHECKMETHOD,SRCPROPERTY,COMPARETO,OBJVALUE,REMARK,STATUS,NULLABLE) values ('873E4A49-6810-5A9E-E050-007F01006A47','CHB_PRD_ISSUE_SUB_TMP','com.joyintech.tams.common.svreport.datacheck.service.BaseCheckLib','isCustomizedStringForWhitelist','OPEN_BUSS_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开放期业务说明必须在白名单范围内','E','Y');</v>
      </c>
      <c r="M75" s="76"/>
      <c r="N75" s="40">
        <v>71</v>
      </c>
      <c r="O75" s="18" t="s">
        <v>179</v>
      </c>
      <c r="P75" s="41" t="s">
        <v>203</v>
      </c>
      <c r="Q75" s="41" t="s">
        <v>289</v>
      </c>
    </row>
    <row r="76" spans="1:18" s="31" customFormat="1" ht="24" outlineLevel="1" x14ac:dyDescent="0.15">
      <c r="A76" s="18">
        <v>72</v>
      </c>
      <c r="B76" s="28" t="s">
        <v>70</v>
      </c>
      <c r="C76" s="28" t="s">
        <v>28</v>
      </c>
      <c r="D76" s="28" t="s">
        <v>21</v>
      </c>
      <c r="E76" s="29" t="s">
        <v>358</v>
      </c>
      <c r="F76" s="28" t="s">
        <v>167</v>
      </c>
      <c r="G76" s="28"/>
      <c r="H76" s="30" t="s">
        <v>102</v>
      </c>
      <c r="I76" s="28" t="s">
        <v>26</v>
      </c>
      <c r="J76" s="29" t="s">
        <v>116</v>
      </c>
      <c r="K76" s="28" t="s">
        <v>24</v>
      </c>
      <c r="L76" s="2" t="str">
        <f>CONCATENATE("insert into CHB_DATACHECK_RULE (CHECKRULEID,DATATYPE,CHECKCLASS,CHECKMETHOD,SRCPROPERTY,COMPARETO,OBJVALUE,REMARK,STATUS,NULLABLE) values ('",B76,"','",C76,"','",D76,"','",E76,"','",F76,"','",G76,"','",H76,"','",J76,"','",K76,"','",I76,"');")</f>
        <v>insert into CHB_DATACHECK_RULE (CHECKRULEID,DATATYPE,CHECKCLASS,CHECKMETHOD,SRCPROPERTY,COMPARETO,OBJVALUE,REMARK,STATUS,NULLABLE) values ('ys214A49-6813-5A9E-E050-007F22700017','CHB_PRD_ISSUE_SUB_TMP','com.joyintech.tams.common.svreport.datacheck.service.BaseCheckLib','lessThanCharLength','OPEN_BUSS_REMARK','','257','开放期业务说明不能超过256字符','E','Y');</v>
      </c>
      <c r="M76" s="76"/>
      <c r="N76" s="40">
        <v>72</v>
      </c>
      <c r="O76" s="18" t="s">
        <v>179</v>
      </c>
      <c r="P76" s="41" t="s">
        <v>269</v>
      </c>
      <c r="Q76" s="41" t="s">
        <v>290</v>
      </c>
    </row>
    <row r="77" spans="1:18" s="31" customFormat="1" ht="48" outlineLevel="1" x14ac:dyDescent="0.15">
      <c r="A77" s="18">
        <v>73</v>
      </c>
      <c r="B77" s="67"/>
      <c r="C77" s="67"/>
      <c r="D77" s="67"/>
      <c r="E77" s="67"/>
      <c r="F77" s="67"/>
      <c r="G77" s="67"/>
      <c r="H77" s="67"/>
      <c r="I77" s="67"/>
      <c r="J77" s="69"/>
      <c r="K77" s="67"/>
      <c r="M77" s="77"/>
      <c r="N77" s="40">
        <v>73</v>
      </c>
      <c r="O77" s="44" t="s">
        <v>186</v>
      </c>
      <c r="P77" s="46" t="s">
        <v>252</v>
      </c>
      <c r="Q77" s="68" t="s">
        <v>291</v>
      </c>
      <c r="R77" s="53" t="s">
        <v>310</v>
      </c>
    </row>
    <row r="78" spans="1:18" s="31" customFormat="1" ht="12" customHeight="1" outlineLevel="1" x14ac:dyDescent="0.15">
      <c r="A78" s="18">
        <v>74</v>
      </c>
      <c r="B78" s="28" t="s">
        <v>340</v>
      </c>
      <c r="C78" s="28" t="s">
        <v>28</v>
      </c>
      <c r="D78" s="28" t="s">
        <v>21</v>
      </c>
      <c r="E78" s="29" t="s">
        <v>22</v>
      </c>
      <c r="F78" s="28" t="s">
        <v>96</v>
      </c>
      <c r="G78" s="28"/>
      <c r="H78" s="30"/>
      <c r="I78" s="28" t="s">
        <v>23</v>
      </c>
      <c r="J78" s="41" t="s">
        <v>293</v>
      </c>
      <c r="K78" s="28" t="s">
        <v>24</v>
      </c>
      <c r="L78" s="2" t="str">
        <f>CONCATENATE("insert into CHB_DATACHECK_RULE (CHECKRULEID,DATATYPE,CHECKCLASS,CHECKMETHOD,SRCPROPERTY,COMPARETO,OBJVALUE,REMARK,STATUS,NULLABLE) values ('",B78,"','",C78,"','",D78,"','",E78,"','",F78,"','",G78,"','",H78,"','",J78,"','",K78,"','",I78,"');")</f>
        <v>insert into CHB_DATACHECK_RULE (CHECKRULEID,DATATYPE,CHECKCLASS,CHECKMETHOD,SRCPROPERTY,COMPARETO,OBJVALUE,REMARK,STATUS,NULLABLE) values ('ya214A49-6813-5A9E-E050-007F22700035','CHB_PRD_ISSUE_SUB_TMP','com.joyintech.tams.common.svreport.datacheck.service.BaseCheckLib','isNotEmpty','BUSI_ACCT_NO','','','资金托管账号要素不可为空。','E','N');</v>
      </c>
      <c r="M78" s="78" t="s">
        <v>292</v>
      </c>
      <c r="N78" s="40">
        <v>74</v>
      </c>
      <c r="O78" s="18" t="s">
        <v>179</v>
      </c>
      <c r="P78" s="41" t="s">
        <v>180</v>
      </c>
      <c r="Q78" s="41" t="s">
        <v>293</v>
      </c>
    </row>
    <row r="79" spans="1:18" s="31" customFormat="1" ht="24" outlineLevel="1" x14ac:dyDescent="0.15">
      <c r="A79" s="18">
        <v>75</v>
      </c>
      <c r="B79" s="28" t="s">
        <v>80</v>
      </c>
      <c r="C79" s="28" t="s">
        <v>28</v>
      </c>
      <c r="D79" s="28" t="s">
        <v>21</v>
      </c>
      <c r="E79" s="29" t="s">
        <v>358</v>
      </c>
      <c r="F79" s="28" t="s">
        <v>96</v>
      </c>
      <c r="G79" s="28"/>
      <c r="H79" s="30" t="s">
        <v>109</v>
      </c>
      <c r="I79" s="28" t="s">
        <v>26</v>
      </c>
      <c r="J79" s="29" t="s">
        <v>123</v>
      </c>
      <c r="K79" s="28" t="s">
        <v>24</v>
      </c>
      <c r="L79" s="2" t="str">
        <f>CONCATENATE("insert into CHB_DATACHECK_RULE (CHECKRULEID,DATATYPE,CHECKCLASS,CHECKMETHOD,SRCPROPERTY,COMPARETO,OBJVALUE,REMARK,STATUS,NULLABLE) values ('",B79,"','",C79,"','",D79,"','",E79,"','",F79,"','",G79,"','",H79,"','",J79,"','",K79,"','",I79,"');")</f>
        <v>insert into CHB_DATACHECK_RULE (CHECKRULEID,DATATYPE,CHECKCLASS,CHECKMETHOD,SRCPROPERTY,COMPARETO,OBJVALUE,REMARK,STATUS,NULLABLE) values ('ys214A49-6813-5A9E-E050-007F22700035','CHB_PRD_ISSUE_SUB_TMP','com.joyintech.tams.common.svreport.datacheck.service.BaseCheckLib','lessThanCharLength','BUSI_ACCT_NO','','61','资金托管账号不能超过60字符','E','Y');</v>
      </c>
      <c r="M79" s="78"/>
      <c r="N79" s="40">
        <v>75</v>
      </c>
      <c r="O79" s="18" t="s">
        <v>179</v>
      </c>
      <c r="P79" s="41" t="s">
        <v>294</v>
      </c>
      <c r="Q79" s="41" t="s">
        <v>295</v>
      </c>
    </row>
    <row r="80" spans="1:18" s="31" customFormat="1" ht="48" outlineLevel="1" x14ac:dyDescent="0.15">
      <c r="A80" s="18">
        <v>76</v>
      </c>
      <c r="B80" s="28" t="s">
        <v>81</v>
      </c>
      <c r="C80" s="28" t="s">
        <v>28</v>
      </c>
      <c r="D80" s="28" t="s">
        <v>21</v>
      </c>
      <c r="E80" s="29" t="s">
        <v>88</v>
      </c>
      <c r="F80" s="28" t="s">
        <v>96</v>
      </c>
      <c r="G80" s="28"/>
      <c r="H80" s="30" t="s">
        <v>110</v>
      </c>
      <c r="I80" s="52" t="s">
        <v>26</v>
      </c>
      <c r="J80" s="29" t="s">
        <v>341</v>
      </c>
      <c r="K80" s="28" t="s">
        <v>24</v>
      </c>
      <c r="L80" s="2" t="str">
        <f>CONCATENATE("insert into CHB_DATACHECK_RULE (CHECKRULEID,DATATYPE,CHECKCLASS,CHECKMETHOD,SRCPROPERTY,COMPARETO,OBJVALUE,REMARK,STATUS,NULLABLE) values ('",B80,"','",C80,"','",D80,"','",E80,"','",F80,"','",G80,"','",H80,"','",J80,"','",K80,"','",I80,"');")</f>
        <v>insert into CHB_DATACHECK_RULE (CHECKRULEID,DATATYPE,CHECKCLASS,CHECKMETHOD,SRCPROPERTY,COMPARETO,OBJVALUE,REMARK,STATUS,NULLABLE) values ('ys214A49-6813-5A9E-E050-007F22700036','CHB_PRD_ISSUE_SUB_TMP','com.joyintech.tams.common.svreport.datacheck.service.BaseCheckLib','isCustomizedString','BUSI_ACCT_NO','','^[A-Za-z0-9-]+$','资金托管账号要素格式不对。正确的格式：大小写字母或数字、以及“-”。','E','Y');</v>
      </c>
      <c r="M80" s="78"/>
      <c r="N80" s="40">
        <v>76</v>
      </c>
      <c r="O80" s="18" t="s">
        <v>179</v>
      </c>
      <c r="P80" s="41" t="s">
        <v>296</v>
      </c>
      <c r="Q80" s="41" t="s">
        <v>341</v>
      </c>
    </row>
    <row r="81" spans="1:17" s="31" customFormat="1" ht="12" customHeight="1" outlineLevel="1" x14ac:dyDescent="0.15">
      <c r="A81" s="18">
        <v>77</v>
      </c>
      <c r="B81" s="28" t="s">
        <v>342</v>
      </c>
      <c r="C81" s="28" t="s">
        <v>28</v>
      </c>
      <c r="D81" s="28" t="s">
        <v>21</v>
      </c>
      <c r="E81" s="29" t="s">
        <v>22</v>
      </c>
      <c r="F81" s="28" t="s">
        <v>89</v>
      </c>
      <c r="G81" s="28"/>
      <c r="H81" s="30"/>
      <c r="I81" s="28" t="s">
        <v>23</v>
      </c>
      <c r="J81" s="41" t="s">
        <v>298</v>
      </c>
      <c r="K81" s="28" t="s">
        <v>24</v>
      </c>
      <c r="L81" s="2" t="str">
        <f t="shared" si="4"/>
        <v>insert into CHB_DATACHECK_RULE (CHECKRULEID,DATATYPE,CHECKCLASS,CHECKMETHOD,SRCPROPERTY,COMPARETO,OBJVALUE,REMARK,STATUS,NULLABLE) values ('ya214A49-6813-5A9E-E050-007F22700033','CHB_PRD_ISSUE_SUB_TMP','com.joyintech.tams.common.svreport.datacheck.service.BaseCheckLib','isNotEmpty','ACCT_NAME','','','资金托管账户要素不可为空。','E','N');</v>
      </c>
      <c r="M81" s="78" t="s">
        <v>297</v>
      </c>
      <c r="N81" s="40">
        <v>77</v>
      </c>
      <c r="O81" s="18" t="s">
        <v>179</v>
      </c>
      <c r="P81" s="41" t="s">
        <v>180</v>
      </c>
      <c r="Q81" s="41" t="s">
        <v>298</v>
      </c>
    </row>
    <row r="82" spans="1:17" s="31" customFormat="1" ht="12" customHeight="1" outlineLevel="1" x14ac:dyDescent="0.15">
      <c r="A82" s="18">
        <v>78</v>
      </c>
      <c r="B82" s="28" t="s">
        <v>78</v>
      </c>
      <c r="C82" s="28" t="s">
        <v>28</v>
      </c>
      <c r="D82" s="28" t="s">
        <v>21</v>
      </c>
      <c r="E82" s="29" t="s">
        <v>358</v>
      </c>
      <c r="F82" s="28" t="s">
        <v>89</v>
      </c>
      <c r="G82" s="28"/>
      <c r="H82" s="30" t="s">
        <v>108</v>
      </c>
      <c r="I82" s="28" t="s">
        <v>26</v>
      </c>
      <c r="J82" s="29" t="s">
        <v>121</v>
      </c>
      <c r="K82" s="28" t="s">
        <v>24</v>
      </c>
      <c r="L82" s="2" t="str">
        <f t="shared" si="4"/>
        <v>insert into CHB_DATACHECK_RULE (CHECKRULEID,DATATYPE,CHECKCLASS,CHECKMETHOD,SRCPROPERTY,COMPARETO,OBJVALUE,REMARK,STATUS,NULLABLE) values ('ys214A49-6813-5A9E-E050-007F22700033','CHB_PRD_ISSUE_SUB_TMP','com.joyintech.tams.common.svreport.datacheck.service.BaseCheckLib','lessThanCharLength','ACCT_NAME','','201','资金托管账户不能超过200字符','E','Y');</v>
      </c>
      <c r="M82" s="78"/>
      <c r="N82" s="40">
        <v>78</v>
      </c>
      <c r="O82" s="18" t="s">
        <v>179</v>
      </c>
      <c r="P82" s="41" t="s">
        <v>299</v>
      </c>
      <c r="Q82" s="41" t="s">
        <v>300</v>
      </c>
    </row>
    <row r="83" spans="1:17" ht="24" outlineLevel="1" x14ac:dyDescent="0.15">
      <c r="A83" s="18">
        <v>79</v>
      </c>
      <c r="B83" s="28" t="s">
        <v>79</v>
      </c>
      <c r="C83" s="28" t="s">
        <v>28</v>
      </c>
      <c r="D83" s="28" t="s">
        <v>21</v>
      </c>
      <c r="E83" s="29" t="s">
        <v>125</v>
      </c>
      <c r="F83" s="28" t="s">
        <v>89</v>
      </c>
      <c r="G83" s="28"/>
      <c r="H83" s="30" t="s">
        <v>402</v>
      </c>
      <c r="I83" s="28" t="s">
        <v>26</v>
      </c>
      <c r="J83" s="29" t="s">
        <v>122</v>
      </c>
      <c r="K83" s="28" t="s">
        <v>24</v>
      </c>
      <c r="L83" s="2" t="str">
        <f t="shared" si="4"/>
        <v>insert into CHB_DATACHECK_RULE (CHECKRULEID,DATATYPE,CHECKCLASS,CHECKMETHOD,SRCPROPERTY,COMPARETO,OBJVALUE,REMARK,STATUS,NULLABLE) values ('ys214A49-6813-5A9E-E050-007F22700034','CHB_PRD_ISSUE_SUB_TMP','com.joyintech.tams.common.svreport.datacheck.service.BaseCheckLib','isCustomizedStringForWhitelist','ACCT_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资金托管账户必须填写白名单中的文字。','E','Y');</v>
      </c>
      <c r="M83" s="75"/>
      <c r="N83" s="40">
        <v>79</v>
      </c>
      <c r="O83" s="18" t="s">
        <v>179</v>
      </c>
      <c r="P83" s="41" t="s">
        <v>203</v>
      </c>
      <c r="Q83" s="41" t="s">
        <v>122</v>
      </c>
    </row>
    <row r="84" spans="1:17" outlineLevel="1" x14ac:dyDescent="0.15">
      <c r="A84" s="18"/>
      <c r="B84" s="33"/>
      <c r="C84" s="33"/>
      <c r="D84" s="33"/>
      <c r="E84" s="34"/>
      <c r="F84" s="33"/>
      <c r="G84" s="33"/>
      <c r="H84" s="35"/>
      <c r="I84" s="33"/>
      <c r="J84" s="34"/>
      <c r="K84" s="33"/>
      <c r="L84" s="23"/>
      <c r="M84" s="78" t="s">
        <v>301</v>
      </c>
      <c r="N84" s="40">
        <v>80</v>
      </c>
      <c r="O84" s="42" t="s">
        <v>179</v>
      </c>
      <c r="P84" s="41" t="s">
        <v>180</v>
      </c>
      <c r="Q84" s="41" t="s">
        <v>302</v>
      </c>
    </row>
    <row r="85" spans="1:17" s="14" customFormat="1" outlineLevel="1" x14ac:dyDescent="0.15">
      <c r="A85" s="22"/>
      <c r="B85" s="19"/>
      <c r="C85" s="19"/>
      <c r="D85" s="19"/>
      <c r="E85" s="20"/>
      <c r="F85" s="19"/>
      <c r="G85" s="19"/>
      <c r="H85" s="21"/>
      <c r="I85" s="19"/>
      <c r="J85" s="20"/>
      <c r="K85" s="19"/>
      <c r="L85" s="2"/>
      <c r="M85" s="78"/>
      <c r="N85" s="40">
        <v>81</v>
      </c>
      <c r="O85" s="42" t="s">
        <v>179</v>
      </c>
      <c r="P85" s="41" t="s">
        <v>303</v>
      </c>
      <c r="Q85" s="41" t="s">
        <v>304</v>
      </c>
    </row>
    <row r="86" spans="1:17" outlineLevel="1" x14ac:dyDescent="0.15">
      <c r="A86" s="18"/>
      <c r="B86" s="19"/>
      <c r="C86" s="19"/>
      <c r="D86" s="19"/>
      <c r="E86" s="20"/>
      <c r="F86" s="19"/>
      <c r="G86" s="19"/>
      <c r="H86" s="21"/>
      <c r="I86" s="19"/>
      <c r="J86" s="20"/>
      <c r="K86" s="19"/>
      <c r="L86" s="2"/>
      <c r="M86" s="78"/>
      <c r="N86" s="40">
        <v>82</v>
      </c>
      <c r="O86" s="42" t="s">
        <v>179</v>
      </c>
      <c r="P86" s="41" t="s">
        <v>184</v>
      </c>
      <c r="Q86" s="41" t="s">
        <v>305</v>
      </c>
    </row>
    <row r="87" spans="1:17" s="14" customFormat="1" ht="36" outlineLevel="1" x14ac:dyDescent="0.15">
      <c r="A87" s="22"/>
      <c r="B87" s="19"/>
      <c r="C87" s="19"/>
      <c r="D87" s="19"/>
      <c r="E87" s="20"/>
      <c r="F87" s="19"/>
      <c r="G87" s="19"/>
      <c r="H87" s="21"/>
      <c r="I87" s="19"/>
      <c r="J87" s="20"/>
      <c r="K87" s="19"/>
      <c r="L87" s="23"/>
      <c r="M87" s="78"/>
      <c r="N87" s="40">
        <v>83</v>
      </c>
      <c r="O87" s="42" t="s">
        <v>179</v>
      </c>
      <c r="P87" s="41" t="s">
        <v>306</v>
      </c>
      <c r="Q87" s="41" t="s">
        <v>307</v>
      </c>
    </row>
    <row r="88" spans="1:17" outlineLevel="1" x14ac:dyDescent="0.15">
      <c r="A88" s="18"/>
      <c r="B88" s="19"/>
      <c r="C88" s="19"/>
      <c r="D88" s="19"/>
      <c r="E88" s="20"/>
      <c r="F88" s="19"/>
      <c r="G88" s="19"/>
      <c r="H88" s="21"/>
      <c r="I88" s="19"/>
      <c r="J88" s="20"/>
      <c r="K88" s="19"/>
      <c r="L88" s="2"/>
    </row>
    <row r="89" spans="1:17" outlineLevel="1" x14ac:dyDescent="0.15">
      <c r="A89" s="22"/>
      <c r="B89" s="19"/>
      <c r="C89" s="19"/>
      <c r="D89" s="19"/>
      <c r="E89" s="20"/>
      <c r="F89" s="19"/>
      <c r="G89" s="19"/>
      <c r="H89" s="21"/>
      <c r="I89" s="19"/>
      <c r="J89" s="20"/>
      <c r="K89" s="19"/>
      <c r="L89" s="23"/>
    </row>
    <row r="90" spans="1:17" outlineLevel="1" x14ac:dyDescent="0.15">
      <c r="A90" s="18"/>
      <c r="B90" s="19"/>
      <c r="C90" s="19"/>
      <c r="D90" s="19"/>
      <c r="E90" s="20"/>
      <c r="F90" s="19"/>
      <c r="G90" s="19"/>
      <c r="H90" s="21"/>
      <c r="I90" s="19"/>
      <c r="J90" s="20"/>
      <c r="K90" s="19"/>
      <c r="L90" s="2"/>
    </row>
    <row r="91" spans="1:17" outlineLevel="1" x14ac:dyDescent="0.15">
      <c r="A91" s="22"/>
      <c r="B91" s="19"/>
      <c r="C91" s="19"/>
      <c r="D91" s="19"/>
      <c r="E91" s="20"/>
      <c r="F91" s="19"/>
      <c r="G91" s="19"/>
      <c r="H91" s="21"/>
      <c r="I91" s="19"/>
      <c r="J91" s="20"/>
      <c r="K91" s="19"/>
      <c r="L91" s="2"/>
    </row>
    <row r="92" spans="1:17" outlineLevel="1" x14ac:dyDescent="0.15">
      <c r="A92" s="18"/>
      <c r="B92" s="19"/>
      <c r="C92" s="19"/>
      <c r="D92" s="19"/>
      <c r="E92" s="20"/>
      <c r="F92" s="19"/>
      <c r="G92" s="19"/>
      <c r="H92" s="21"/>
      <c r="I92" s="19"/>
      <c r="J92" s="20"/>
      <c r="K92" s="19"/>
      <c r="L92" s="2"/>
    </row>
    <row r="93" spans="1:17" outlineLevel="1" x14ac:dyDescent="0.15">
      <c r="A93" s="22"/>
      <c r="B93" s="19"/>
      <c r="C93" s="19"/>
      <c r="D93" s="19"/>
      <c r="E93" s="20"/>
      <c r="F93" s="19"/>
      <c r="G93" s="19"/>
      <c r="H93" s="21"/>
      <c r="I93" s="19"/>
      <c r="J93" s="20"/>
      <c r="K93" s="19"/>
      <c r="L93" s="2"/>
    </row>
    <row r="94" spans="1:17" outlineLevel="1" x14ac:dyDescent="0.15">
      <c r="A94" s="18"/>
      <c r="B94" s="19"/>
      <c r="C94" s="19"/>
      <c r="D94" s="19"/>
      <c r="E94" s="20"/>
      <c r="F94" s="19"/>
      <c r="G94" s="19"/>
      <c r="H94" s="21"/>
      <c r="I94" s="19"/>
      <c r="J94" s="20"/>
      <c r="K94" s="19"/>
      <c r="L94" s="2"/>
    </row>
    <row r="95" spans="1:17" outlineLevel="1" x14ac:dyDescent="0.15">
      <c r="A95" s="22"/>
      <c r="B95" s="19"/>
      <c r="C95" s="19"/>
      <c r="D95" s="19"/>
      <c r="E95" s="20"/>
      <c r="F95" s="19"/>
      <c r="G95" s="19"/>
      <c r="H95" s="21"/>
      <c r="I95" s="19"/>
      <c r="J95" s="20"/>
      <c r="K95" s="19"/>
      <c r="L95" s="2"/>
    </row>
    <row r="96" spans="1:17" outlineLevel="1" x14ac:dyDescent="0.15">
      <c r="A96" s="18"/>
      <c r="B96" s="19"/>
      <c r="C96" s="19"/>
      <c r="D96" s="19"/>
      <c r="E96" s="20"/>
      <c r="F96" s="19"/>
      <c r="G96" s="19"/>
      <c r="H96" s="21"/>
      <c r="I96" s="19"/>
      <c r="J96" s="20"/>
      <c r="K96" s="19"/>
      <c r="L96" s="2"/>
    </row>
    <row r="97" spans="1:12" outlineLevel="1" x14ac:dyDescent="0.15">
      <c r="A97" s="22"/>
      <c r="B97" s="19"/>
      <c r="C97" s="19"/>
      <c r="D97" s="19"/>
      <c r="E97" s="20"/>
      <c r="F97" s="19"/>
      <c r="G97" s="19"/>
      <c r="H97" s="21"/>
      <c r="I97" s="19"/>
      <c r="J97" s="20"/>
      <c r="K97" s="19"/>
      <c r="L97" s="2"/>
    </row>
    <row r="98" spans="1:12" outlineLevel="1" x14ac:dyDescent="0.15">
      <c r="A98" s="18"/>
      <c r="B98" s="19"/>
      <c r="C98" s="19"/>
      <c r="D98" s="19"/>
      <c r="E98" s="20"/>
      <c r="F98" s="19"/>
      <c r="G98" s="19"/>
      <c r="H98" s="21"/>
      <c r="I98" s="19"/>
      <c r="J98" s="20"/>
      <c r="K98" s="19"/>
      <c r="L98" s="2"/>
    </row>
    <row r="99" spans="1:12" outlineLevel="1" x14ac:dyDescent="0.15">
      <c r="A99" s="22"/>
      <c r="B99" s="19"/>
      <c r="C99" s="19"/>
      <c r="D99" s="19"/>
      <c r="E99" s="20"/>
      <c r="F99" s="19"/>
      <c r="G99" s="19"/>
      <c r="H99" s="21"/>
      <c r="I99" s="19"/>
      <c r="J99" s="20"/>
      <c r="K99" s="19"/>
      <c r="L99" s="2"/>
    </row>
    <row r="100" spans="1:12" outlineLevel="1" x14ac:dyDescent="0.15">
      <c r="A100" s="18"/>
      <c r="B100" s="19"/>
      <c r="C100" s="19"/>
      <c r="D100" s="19"/>
      <c r="E100" s="20"/>
      <c r="F100" s="19"/>
      <c r="G100" s="19"/>
      <c r="H100" s="21"/>
      <c r="I100" s="19"/>
      <c r="J100" s="20"/>
      <c r="K100" s="19"/>
      <c r="L100" s="2"/>
    </row>
    <row r="101" spans="1:12" outlineLevel="1" x14ac:dyDescent="0.15">
      <c r="A101" s="22"/>
      <c r="B101" s="19"/>
      <c r="C101" s="19"/>
      <c r="D101" s="19"/>
      <c r="E101" s="20"/>
      <c r="F101" s="19"/>
      <c r="G101" s="19"/>
      <c r="H101" s="21"/>
      <c r="I101" s="19"/>
      <c r="J101" s="20"/>
      <c r="K101" s="19"/>
      <c r="L101" s="2"/>
    </row>
    <row r="102" spans="1:12" outlineLevel="1" x14ac:dyDescent="0.15">
      <c r="A102" s="18"/>
      <c r="B102" s="19"/>
      <c r="C102" s="19"/>
      <c r="D102" s="19"/>
      <c r="E102" s="20"/>
      <c r="F102" s="19"/>
      <c r="G102" s="19"/>
      <c r="H102" s="21"/>
      <c r="I102" s="19"/>
      <c r="J102" s="20"/>
      <c r="K102" s="19"/>
      <c r="L102" s="2"/>
    </row>
    <row r="103" spans="1:12" outlineLevel="1" x14ac:dyDescent="0.15">
      <c r="A103" s="22"/>
      <c r="B103" s="19"/>
      <c r="C103" s="19"/>
      <c r="D103" s="19"/>
      <c r="E103" s="20"/>
      <c r="F103" s="19"/>
      <c r="G103" s="19"/>
      <c r="H103" s="21"/>
      <c r="I103" s="19"/>
      <c r="J103" s="20"/>
      <c r="K103" s="19"/>
      <c r="L103" s="2"/>
    </row>
    <row r="104" spans="1:12" outlineLevel="1" x14ac:dyDescent="0.15">
      <c r="A104" s="18"/>
      <c r="B104" s="19"/>
      <c r="C104" s="19"/>
      <c r="D104" s="19"/>
      <c r="E104" s="20"/>
      <c r="F104" s="19"/>
      <c r="G104" s="19"/>
      <c r="H104" s="21"/>
      <c r="I104" s="19"/>
      <c r="J104" s="20"/>
      <c r="K104" s="19"/>
      <c r="L104" s="2"/>
    </row>
    <row r="105" spans="1:12" outlineLevel="1" x14ac:dyDescent="0.15">
      <c r="A105" s="22"/>
      <c r="B105" s="19"/>
      <c r="C105" s="19"/>
      <c r="D105" s="19"/>
      <c r="E105" s="20"/>
      <c r="F105" s="19"/>
      <c r="G105" s="19"/>
      <c r="H105" s="21"/>
      <c r="I105" s="19"/>
      <c r="J105" s="20"/>
      <c r="K105" s="19"/>
      <c r="L105" s="2"/>
    </row>
    <row r="106" spans="1:12" outlineLevel="1" x14ac:dyDescent="0.15">
      <c r="A106" s="18"/>
      <c r="B106" s="19"/>
      <c r="C106" s="19"/>
      <c r="D106" s="19"/>
      <c r="E106" s="20"/>
      <c r="F106" s="19"/>
      <c r="G106" s="19"/>
      <c r="H106" s="21"/>
      <c r="I106" s="19"/>
      <c r="J106" s="20"/>
      <c r="K106" s="19"/>
      <c r="L106" s="2"/>
    </row>
    <row r="107" spans="1:12" outlineLevel="1" x14ac:dyDescent="0.15">
      <c r="A107" s="22"/>
      <c r="B107" s="19"/>
      <c r="C107" s="19"/>
      <c r="D107" s="19"/>
      <c r="E107" s="20"/>
      <c r="F107" s="19"/>
      <c r="G107" s="19"/>
      <c r="H107" s="21"/>
      <c r="I107" s="19"/>
      <c r="J107" s="20"/>
      <c r="K107" s="19"/>
      <c r="L107" s="2"/>
    </row>
    <row r="108" spans="1:12" outlineLevel="1" x14ac:dyDescent="0.15">
      <c r="A108" s="18"/>
      <c r="B108" s="19"/>
      <c r="C108" s="19"/>
      <c r="D108" s="19"/>
      <c r="E108" s="20"/>
      <c r="F108" s="19"/>
      <c r="G108" s="19"/>
      <c r="H108" s="21"/>
      <c r="I108" s="19"/>
      <c r="J108" s="20"/>
      <c r="K108" s="19"/>
      <c r="L108" s="2"/>
    </row>
    <row r="109" spans="1:12" outlineLevel="1" x14ac:dyDescent="0.15">
      <c r="A109" s="22"/>
      <c r="B109" s="19"/>
      <c r="C109" s="19"/>
      <c r="D109" s="19"/>
      <c r="E109" s="20"/>
      <c r="F109" s="19"/>
      <c r="G109" s="19"/>
      <c r="H109" s="21"/>
      <c r="I109" s="19"/>
      <c r="J109" s="20"/>
      <c r="K109" s="19"/>
      <c r="L109" s="2"/>
    </row>
    <row r="110" spans="1:12" outlineLevel="1" x14ac:dyDescent="0.15">
      <c r="A110" s="18"/>
      <c r="B110" s="19"/>
      <c r="C110" s="19"/>
      <c r="D110" s="19"/>
      <c r="E110" s="20"/>
      <c r="F110" s="19"/>
      <c r="G110" s="19"/>
      <c r="H110" s="21"/>
      <c r="I110" s="19"/>
      <c r="J110" s="20"/>
      <c r="K110" s="19"/>
      <c r="L110" s="2"/>
    </row>
    <row r="111" spans="1:12" outlineLevel="1" x14ac:dyDescent="0.15">
      <c r="A111" s="22"/>
      <c r="B111" s="19"/>
      <c r="C111" s="19"/>
      <c r="D111" s="19"/>
      <c r="E111" s="20"/>
      <c r="F111" s="19"/>
      <c r="G111" s="19"/>
      <c r="H111" s="21"/>
      <c r="I111" s="19"/>
      <c r="J111" s="20"/>
      <c r="K111" s="19"/>
      <c r="L111" s="2"/>
    </row>
    <row r="112" spans="1:12" outlineLevel="1" x14ac:dyDescent="0.15">
      <c r="A112" s="18"/>
      <c r="B112" s="19"/>
      <c r="C112" s="19"/>
      <c r="D112" s="19"/>
      <c r="E112" s="20"/>
      <c r="F112" s="19"/>
      <c r="G112" s="19"/>
      <c r="H112" s="21"/>
      <c r="I112" s="19"/>
      <c r="J112" s="20"/>
      <c r="K112" s="19"/>
      <c r="L112" s="2"/>
    </row>
    <row r="113" spans="1:16" outlineLevel="1" x14ac:dyDescent="0.15">
      <c r="A113" s="22"/>
      <c r="B113" s="19"/>
      <c r="C113" s="19"/>
      <c r="D113" s="19"/>
      <c r="E113" s="20"/>
      <c r="F113" s="19"/>
      <c r="G113" s="19"/>
      <c r="H113" s="21"/>
      <c r="I113" s="19"/>
      <c r="J113" s="20"/>
      <c r="K113" s="19"/>
      <c r="L113" s="2"/>
    </row>
    <row r="114" spans="1:16" outlineLevel="1" x14ac:dyDescent="0.15">
      <c r="A114" s="18"/>
      <c r="B114" s="19"/>
      <c r="C114" s="19"/>
      <c r="D114" s="19"/>
      <c r="E114" s="20"/>
      <c r="F114" s="19"/>
      <c r="G114" s="19"/>
      <c r="H114" s="21"/>
      <c r="I114" s="19"/>
      <c r="J114" s="20"/>
      <c r="K114" s="19"/>
      <c r="L114" s="2"/>
    </row>
    <row r="115" spans="1:16" outlineLevel="1" x14ac:dyDescent="0.15">
      <c r="A115" s="22"/>
      <c r="B115" s="19"/>
      <c r="C115" s="19"/>
      <c r="D115" s="19"/>
      <c r="E115" s="20"/>
      <c r="F115" s="19"/>
      <c r="G115" s="19"/>
      <c r="H115" s="21"/>
      <c r="I115" s="19"/>
      <c r="J115" s="20"/>
      <c r="K115" s="19"/>
      <c r="L115" s="2"/>
    </row>
    <row r="116" spans="1:16" outlineLevel="1" x14ac:dyDescent="0.15">
      <c r="A116" s="18"/>
      <c r="B116" s="19"/>
      <c r="C116" s="19"/>
      <c r="D116" s="19"/>
      <c r="E116" s="20"/>
      <c r="F116" s="19"/>
      <c r="G116" s="19"/>
      <c r="H116" s="21"/>
      <c r="I116" s="19"/>
      <c r="J116" s="20"/>
      <c r="K116" s="19"/>
      <c r="L116" s="2"/>
    </row>
    <row r="117" spans="1:16" outlineLevel="1" x14ac:dyDescent="0.15">
      <c r="A117" s="22"/>
      <c r="B117" s="19"/>
      <c r="C117" s="19"/>
      <c r="D117" s="19"/>
      <c r="E117" s="20"/>
      <c r="F117" s="19"/>
      <c r="G117" s="19"/>
      <c r="H117" s="21"/>
      <c r="I117" s="19"/>
      <c r="J117" s="20"/>
      <c r="K117" s="19"/>
      <c r="L117" s="2"/>
    </row>
    <row r="118" spans="1:16" outlineLevel="1" x14ac:dyDescent="0.15">
      <c r="A118" s="18"/>
      <c r="B118" s="24"/>
      <c r="C118" s="24"/>
      <c r="D118" s="24"/>
      <c r="E118" s="24"/>
      <c r="F118" s="24"/>
      <c r="G118" s="25"/>
      <c r="H118" s="25"/>
      <c r="I118" s="24"/>
      <c r="J118" s="24"/>
      <c r="K118" s="25"/>
      <c r="L118" s="2"/>
    </row>
    <row r="119" spans="1:16" outlineLevel="1" x14ac:dyDescent="0.15">
      <c r="A119" s="22"/>
      <c r="B119" s="24"/>
      <c r="C119" s="24"/>
      <c r="D119" s="24"/>
      <c r="E119" s="24"/>
      <c r="F119" s="24"/>
      <c r="G119" s="25"/>
      <c r="H119" s="25"/>
      <c r="I119" s="24"/>
      <c r="J119" s="24"/>
      <c r="K119" s="25"/>
      <c r="L119" s="2"/>
    </row>
    <row r="120" spans="1:16" outlineLevel="1" x14ac:dyDescent="0.15">
      <c r="A120" s="22"/>
      <c r="B120" s="24"/>
      <c r="C120" s="24"/>
      <c r="D120" s="24"/>
      <c r="E120" s="24"/>
      <c r="F120" s="24"/>
      <c r="G120" s="25"/>
      <c r="H120" s="25"/>
      <c r="I120" s="24"/>
      <c r="J120" s="24"/>
      <c r="K120" s="25"/>
      <c r="L120" s="2"/>
    </row>
    <row r="121" spans="1:16" outlineLevel="1" x14ac:dyDescent="0.15">
      <c r="A121" s="22"/>
      <c r="B121" s="24"/>
      <c r="C121" s="24"/>
      <c r="D121" s="24"/>
      <c r="E121" s="24"/>
      <c r="F121" s="24"/>
      <c r="G121" s="25"/>
      <c r="H121" s="25"/>
      <c r="I121" s="24"/>
      <c r="J121" s="24"/>
      <c r="K121" s="25"/>
      <c r="L121" s="2"/>
    </row>
    <row r="122" spans="1:16" s="2" customFormat="1" ht="12" customHeight="1" x14ac:dyDescent="0.25">
      <c r="A122" s="22"/>
      <c r="B122" s="24"/>
      <c r="C122" s="24"/>
      <c r="D122" s="24"/>
      <c r="E122" s="24"/>
      <c r="F122" s="24"/>
      <c r="G122" s="25"/>
      <c r="H122" s="25"/>
      <c r="I122" s="24"/>
      <c r="J122" s="24"/>
      <c r="K122" s="25"/>
      <c r="P122" s="10"/>
    </row>
    <row r="123" spans="1:16" x14ac:dyDescent="0.15">
      <c r="A123" s="22"/>
      <c r="B123" s="24"/>
      <c r="C123" s="24"/>
      <c r="D123" s="24"/>
      <c r="E123" s="24"/>
      <c r="F123" s="24"/>
      <c r="G123" s="25"/>
      <c r="H123" s="25"/>
      <c r="I123" s="24"/>
      <c r="J123" s="24"/>
      <c r="K123" s="25"/>
      <c r="L123" s="2"/>
    </row>
  </sheetData>
  <autoFilter ref="A2:WVI87"/>
  <mergeCells count="26">
    <mergeCell ref="A70:A71"/>
    <mergeCell ref="M84:M87"/>
    <mergeCell ref="M4:M9"/>
    <mergeCell ref="M10:M12"/>
    <mergeCell ref="M13:M17"/>
    <mergeCell ref="M18:M21"/>
    <mergeCell ref="M22:M25"/>
    <mergeCell ref="M26:M29"/>
    <mergeCell ref="M30:M33"/>
    <mergeCell ref="M34:M35"/>
    <mergeCell ref="M36:M37"/>
    <mergeCell ref="M38:M39"/>
    <mergeCell ref="M40:M42"/>
    <mergeCell ref="M43:M45"/>
    <mergeCell ref="M46:M47"/>
    <mergeCell ref="M68:M70"/>
    <mergeCell ref="B3:K3"/>
    <mergeCell ref="M72:M73"/>
    <mergeCell ref="M74:M77"/>
    <mergeCell ref="M78:M80"/>
    <mergeCell ref="M81:M83"/>
    <mergeCell ref="M48:M51"/>
    <mergeCell ref="M52:M57"/>
    <mergeCell ref="M58:M62"/>
    <mergeCell ref="M63:M65"/>
    <mergeCell ref="M66:M67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3" workbookViewId="0">
      <selection activeCell="J4" sqref="J4:J13"/>
    </sheetView>
  </sheetViews>
  <sheetFormatPr defaultColWidth="7.19921875" defaultRowHeight="18.75" outlineLevelRow="1" x14ac:dyDescent="0.25"/>
  <cols>
    <col min="1" max="1" width="7.19921875" style="3"/>
    <col min="2" max="2" width="10.09765625" style="3" customWidth="1"/>
    <col min="3" max="3" width="26.5" style="3" customWidth="1"/>
    <col min="4" max="4" width="11.3984375" style="3" customWidth="1"/>
    <col min="5" max="5" width="9.5" style="3" customWidth="1"/>
    <col min="6" max="6" width="4.59765625" style="3" customWidth="1"/>
    <col min="7" max="7" width="7.19921875" style="4"/>
    <col min="8" max="8" width="33.8984375" style="4" customWidth="1"/>
    <col min="9" max="9" width="7.796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2" s="2" customFormat="1" ht="24" x14ac:dyDescent="0.25">
      <c r="B1" s="5" t="s">
        <v>29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2" s="2" customFormat="1" ht="72" x14ac:dyDescent="0.25">
      <c r="A2" s="8" t="s">
        <v>10</v>
      </c>
      <c r="B2" s="5" t="s">
        <v>30</v>
      </c>
      <c r="C2" s="5" t="s">
        <v>31</v>
      </c>
      <c r="D2" s="5" t="s">
        <v>14</v>
      </c>
      <c r="E2" s="6" t="s">
        <v>15</v>
      </c>
      <c r="F2" s="5" t="s">
        <v>16</v>
      </c>
      <c r="G2" s="7" t="s">
        <v>32</v>
      </c>
      <c r="H2" s="7" t="s">
        <v>19</v>
      </c>
      <c r="I2" s="5" t="s">
        <v>20</v>
      </c>
    </row>
    <row r="3" spans="1:12" s="2" customFormat="1" x14ac:dyDescent="0.25">
      <c r="A3" s="3"/>
      <c r="B3" s="73" t="s">
        <v>169</v>
      </c>
      <c r="C3" s="73"/>
      <c r="D3" s="73"/>
      <c r="E3" s="73"/>
      <c r="F3" s="73"/>
      <c r="G3" s="73"/>
      <c r="H3" s="73"/>
      <c r="I3" s="73"/>
      <c r="J3" s="2" t="s">
        <v>172</v>
      </c>
    </row>
    <row r="4" spans="1:12" s="59" customFormat="1" ht="24" customHeight="1" outlineLevel="1" x14ac:dyDescent="0.25">
      <c r="A4" s="44">
        <v>1</v>
      </c>
      <c r="B4" s="46" t="s">
        <v>37</v>
      </c>
      <c r="C4" s="46" t="s">
        <v>359</v>
      </c>
      <c r="D4" s="46" t="s">
        <v>27</v>
      </c>
      <c r="E4" s="55" t="s">
        <v>365</v>
      </c>
      <c r="F4" s="47" t="s">
        <v>25</v>
      </c>
      <c r="G4" s="57" t="s">
        <v>33</v>
      </c>
      <c r="H4" s="58" t="s">
        <v>380</v>
      </c>
      <c r="I4" s="46" t="s">
        <v>24</v>
      </c>
      <c r="J4" s="59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('873E4A49-6810-5A9E-E050-007F01006A19','873E4A49-6810-5A9E-E050-007F01006A37','compareValue','OPEN_MODE','==','01','当开放模式为有规律开放、','E');</v>
      </c>
      <c r="K4" s="59" t="s">
        <v>360</v>
      </c>
    </row>
    <row r="5" spans="1:12" s="60" customFormat="1" ht="24" customHeight="1" outlineLevel="1" x14ac:dyDescent="0.25">
      <c r="A5" s="44">
        <v>2</v>
      </c>
      <c r="B5" s="46" t="s">
        <v>38</v>
      </c>
      <c r="C5" s="46" t="s">
        <v>382</v>
      </c>
      <c r="D5" s="46" t="s">
        <v>27</v>
      </c>
      <c r="E5" s="47" t="s">
        <v>361</v>
      </c>
      <c r="F5" s="47" t="s">
        <v>362</v>
      </c>
      <c r="G5" s="57" t="s">
        <v>35</v>
      </c>
      <c r="H5" s="72" t="s">
        <v>381</v>
      </c>
      <c r="I5" s="46" t="s">
        <v>24</v>
      </c>
      <c r="J5" s="59" t="str">
        <f>CONCATENATE("insert into chb_datacheck_condition (CHECKCONDITIONID,CHECKRULEID,CHECKMETHOD,SRCPROPERTY,COMPARETO,OBJVALUE,REMARK,STATUS) values ('",B5,"','",C5,"','",D5,"','",E5,"','",F5,"','",G5,"','",H5,"','",I5,"');")</f>
        <v>insert into chb_datacheck_condition (CHECKCONDITIONID,CHECKRULEID,CHECKMETHOD,SRCPROPERTY,COMPARETO,OBJVALUE,REMARK,STATUS) values ('873E4A49-6810-5A9E-E050-007F01006A31','873E4A49-6810-5A9E-E050-007F01006A37','compareValue','OPEN_CIRCLE','!=','99','规律开放周期为每天开放时','E');</v>
      </c>
      <c r="K5" s="59" t="s">
        <v>363</v>
      </c>
      <c r="L5" s="59"/>
    </row>
    <row r="6" spans="1:12" s="66" customFormat="1" ht="24" customHeight="1" outlineLevel="1" x14ac:dyDescent="0.25">
      <c r="A6" s="44">
        <v>3</v>
      </c>
      <c r="B6" s="61" t="s">
        <v>36</v>
      </c>
      <c r="C6" s="61" t="s">
        <v>386</v>
      </c>
      <c r="D6" s="61" t="s">
        <v>27</v>
      </c>
      <c r="E6" s="62" t="s">
        <v>40</v>
      </c>
      <c r="F6" s="62" t="s">
        <v>25</v>
      </c>
      <c r="G6" s="63" t="s">
        <v>34</v>
      </c>
      <c r="H6" s="64" t="s">
        <v>388</v>
      </c>
      <c r="I6" s="61" t="s">
        <v>24</v>
      </c>
      <c r="J6" s="65" t="str">
        <f>CONCATENATE("insert into chb_datacheck_condition (CHECKCONDITIONID,CHECKRULEID,CHECKMETHOD,SRCPROPERTY,COMPARETO,OBJVALUE,REMARK,STATUS) values ('",B6,"','",C6,"','",D6,"','",E6,"','",F6,"','",G6,"','",H6,"','",I6,"');")</f>
        <v>insert into chb_datacheck_condition (CHECKCONDITIONID,CHECKRULEID,CHECKMETHOD,SRCPROPERTY,COMPARETO,OBJVALUE,REMARK,STATUS) values ('873E4A49-6810-5A9E-E050-007F01006A21','873E4A49-6810-5A9E-E050-007F01006A38','compareValue','OPEN_MODE','==','02','当开放模式为无规律开放时','E');</v>
      </c>
      <c r="K6" s="65"/>
    </row>
    <row r="7" spans="1:12" s="37" customFormat="1" ht="18.75" customHeight="1" outlineLevel="1" x14ac:dyDescent="0.25">
      <c r="A7" s="44">
        <v>4</v>
      </c>
      <c r="B7" s="24" t="s">
        <v>61</v>
      </c>
      <c r="C7" s="24" t="s">
        <v>364</v>
      </c>
      <c r="D7" s="24" t="s">
        <v>27</v>
      </c>
      <c r="E7" s="55" t="s">
        <v>365</v>
      </c>
      <c r="F7" s="25" t="s">
        <v>25</v>
      </c>
      <c r="G7" s="27" t="s">
        <v>33</v>
      </c>
      <c r="H7" s="26" t="s">
        <v>384</v>
      </c>
      <c r="I7" s="24" t="s">
        <v>24</v>
      </c>
      <c r="J7" s="2" t="str">
        <f t="shared" ref="J7:J13" si="0">CONCATENATE("insert into chb_datacheck_condition (CHECKCONDITIONID,CHECKRULEID,CHECKMETHOD,SRCPROPERTY,COMPARETO,OBJVALUE,REMARK,STATUS) values ('",B7,"','",C7,"','",D7,"','",E7,"','",F7,"','",G7,"','",H7,"','",I7,"');")</f>
        <v>insert into chb_datacheck_condition (CHECKCONDITIONID,CHECKRULEID,CHECKMETHOD,SRCPROPERTY,COMPARETO,OBJVALUE,REMARK,STATUS) values ('ys214A49-6813-5A9E-E050-007F22700005','ys214A49-6813-5A9E-E050-007F22700002','compareValue','OPEN_MODE','==','01','当开放模式为有规律开放时','E');</v>
      </c>
      <c r="K7" s="2" t="s">
        <v>367</v>
      </c>
      <c r="L7" s="2"/>
    </row>
    <row r="8" spans="1:12" s="37" customFormat="1" ht="18.75" customHeight="1" outlineLevel="1" x14ac:dyDescent="0.25">
      <c r="A8" s="44">
        <v>5</v>
      </c>
      <c r="B8" s="24" t="s">
        <v>62</v>
      </c>
      <c r="C8" s="24" t="s">
        <v>59</v>
      </c>
      <c r="D8" s="24" t="s">
        <v>27</v>
      </c>
      <c r="E8" s="25" t="s">
        <v>40</v>
      </c>
      <c r="F8" s="25" t="s">
        <v>25</v>
      </c>
      <c r="G8" s="27" t="s">
        <v>34</v>
      </c>
      <c r="H8" s="26" t="s">
        <v>368</v>
      </c>
      <c r="I8" s="24" t="s">
        <v>24</v>
      </c>
      <c r="J8" s="2" t="str">
        <f t="shared" si="0"/>
        <v>insert into chb_datacheck_condition (CHECKCONDITIONID,CHECKRULEID,CHECKMETHOD,SRCPROPERTY,COMPARETO,OBJVALUE,REMARK,STATUS) values ('ys214A49-6813-5A9E-E050-007F22700006','ys214A49-6813-5A9E-E050-007F22700003','compareValue','OPEN_MODE','==','02','当开放模式为无规律开放时','E');</v>
      </c>
      <c r="K8" s="2" t="s">
        <v>369</v>
      </c>
    </row>
    <row r="9" spans="1:12" s="60" customFormat="1" ht="48" outlineLevel="1" x14ac:dyDescent="0.25">
      <c r="A9" s="44">
        <v>6</v>
      </c>
      <c r="B9" s="46" t="s">
        <v>63</v>
      </c>
      <c r="C9" s="46" t="s">
        <v>389</v>
      </c>
      <c r="D9" s="46" t="s">
        <v>27</v>
      </c>
      <c r="E9" s="47" t="s">
        <v>40</v>
      </c>
      <c r="F9" s="47" t="s">
        <v>25</v>
      </c>
      <c r="G9" s="57" t="s">
        <v>392</v>
      </c>
      <c r="H9" s="58" t="s">
        <v>394</v>
      </c>
      <c r="I9" s="46" t="s">
        <v>24</v>
      </c>
      <c r="J9" s="59" t="str">
        <f t="shared" si="0"/>
        <v>insert into chb_datacheck_condition (CHECKCONDITIONID,CHECKRULEID,CHECKMETHOD,SRCPROPERTY,COMPARETO,OBJVALUE,REMARK,STATUS) values ('ys214A49-6813-5A9E-E050-007F22700007','ys214A49-6813-5A9E-E050-007F22700005','compareValue','OPEN_MODE','==','01','当开放模式为有规律开放、','E');</v>
      </c>
      <c r="K9" s="2" t="s">
        <v>370</v>
      </c>
    </row>
    <row r="10" spans="1:12" s="60" customFormat="1" ht="48" outlineLevel="1" x14ac:dyDescent="0.25">
      <c r="A10" s="44">
        <v>7</v>
      </c>
      <c r="B10" s="46" t="s">
        <v>391</v>
      </c>
      <c r="C10" s="46" t="s">
        <v>389</v>
      </c>
      <c r="D10" s="46" t="s">
        <v>27</v>
      </c>
      <c r="E10" s="47" t="s">
        <v>393</v>
      </c>
      <c r="F10" s="47" t="s">
        <v>25</v>
      </c>
      <c r="G10" s="57" t="s">
        <v>35</v>
      </c>
      <c r="H10" s="58" t="s">
        <v>395</v>
      </c>
      <c r="I10" s="46" t="s">
        <v>24</v>
      </c>
      <c r="J10" s="59" t="str">
        <f t="shared" ref="J10" si="1">CONCATENATE("insert into chb_datacheck_condition (CHECKCONDITIONID,CHECKRULEID,CHECKMETHOD,SRCPROPERTY,COMPARETO,OBJVALUE,REMARK,STATUS) values ('",B10,"','",C10,"','",D10,"','",E10,"','",F10,"','",G10,"','",H10,"','",I10,"');")</f>
        <v>insert into chb_datacheck_condition (CHECKCONDITIONID,CHECKRULEID,CHECKMETHOD,SRCPROPERTY,COMPARETO,OBJVALUE,REMARK,STATUS) values ('ys214A49-6813-5A9E-E050-107F22700007','ys214A49-6813-5A9E-E050-007F22700005','compareValue','OPEN_CIRCLE','==','99','规律开放周期为其他规律开放周期时','E');</v>
      </c>
      <c r="K10" s="2" t="s">
        <v>370</v>
      </c>
    </row>
    <row r="11" spans="1:12" s="60" customFormat="1" ht="18.75" customHeight="1" outlineLevel="1" x14ac:dyDescent="0.25">
      <c r="A11" s="44">
        <v>8</v>
      </c>
      <c r="B11" s="46" t="s">
        <v>64</v>
      </c>
      <c r="C11" s="46" t="s">
        <v>62</v>
      </c>
      <c r="D11" s="46" t="s">
        <v>27</v>
      </c>
      <c r="E11" s="47" t="s">
        <v>371</v>
      </c>
      <c r="F11" s="47" t="s">
        <v>124</v>
      </c>
      <c r="G11" s="57" t="s">
        <v>33</v>
      </c>
      <c r="H11" s="58" t="s">
        <v>372</v>
      </c>
      <c r="I11" s="46" t="s">
        <v>24</v>
      </c>
      <c r="J11" s="59" t="str">
        <f t="shared" si="0"/>
        <v>insert into chb_datacheck_condition (CHECKCONDITIONID,CHECKRULEID,CHECKMETHOD,SRCPROPERTY,COMPARETO,OBJVALUE,REMARK,STATUS) values ('ys214A49-6813-5A9E-E050-007F22700008','ys214A49-6813-5A9E-E050-007F22700006','compareValue','OPEN_MODE','!=','01','当开放模式为无规律开放时','E');</v>
      </c>
      <c r="K11" s="2" t="s">
        <v>373</v>
      </c>
    </row>
    <row r="12" spans="1:12" s="71" customFormat="1" ht="18.75" customHeight="1" outlineLevel="1" x14ac:dyDescent="0.25">
      <c r="A12" s="44">
        <v>9</v>
      </c>
      <c r="B12" s="54" t="s">
        <v>65</v>
      </c>
      <c r="C12" s="54" t="s">
        <v>374</v>
      </c>
      <c r="D12" s="54" t="s">
        <v>27</v>
      </c>
      <c r="E12" s="55" t="s">
        <v>365</v>
      </c>
      <c r="F12" s="55" t="s">
        <v>25</v>
      </c>
      <c r="G12" s="56" t="s">
        <v>375</v>
      </c>
      <c r="H12" s="70" t="s">
        <v>366</v>
      </c>
      <c r="I12" s="54" t="s">
        <v>24</v>
      </c>
      <c r="J12" s="23" t="str">
        <f t="shared" si="0"/>
        <v>insert into chb_datacheck_condition (CHECKCONDITIONID,CHECKRULEID,CHECKMETHOD,SRCPROPERTY,COMPARETO,OBJVALUE,REMARK,STATUS) values ('ys214A49-6813-5A9E-E050-007F22700009','ys214A49-6813-5A9E-E050-007F22700007','compareValue','OPEN_MODE','==','01','当开放模式为有规律开放时','E');</v>
      </c>
      <c r="K12" s="36" t="s">
        <v>376</v>
      </c>
    </row>
    <row r="13" spans="1:12" s="37" customFormat="1" ht="18.75" customHeight="1" outlineLevel="1" x14ac:dyDescent="0.25">
      <c r="A13" s="44">
        <v>10</v>
      </c>
      <c r="B13" s="24" t="s">
        <v>69</v>
      </c>
      <c r="C13" s="24" t="s">
        <v>69</v>
      </c>
      <c r="D13" s="24" t="s">
        <v>27</v>
      </c>
      <c r="E13" s="25" t="s">
        <v>377</v>
      </c>
      <c r="F13" s="25" t="s">
        <v>25</v>
      </c>
      <c r="G13" s="27" t="s">
        <v>35</v>
      </c>
      <c r="H13" s="26" t="s">
        <v>378</v>
      </c>
      <c r="I13" s="24" t="s">
        <v>24</v>
      </c>
      <c r="J13" s="2" t="str">
        <f t="shared" si="0"/>
        <v>insert into chb_datacheck_condition (CHECKCONDITIONID,CHECKRULEID,CHECKMETHOD,SRCPROPERTY,COMPARETO,OBJVALUE,REMARK,STATUS) values ('ys214A49-6813-5A9E-E050-007F22700016','ys214A49-6813-5A9E-E050-007F22700016','compareValue','OPEN_BUSS','==','99','当开放期业务为其他时','E');</v>
      </c>
      <c r="K13" s="31" t="s">
        <v>379</v>
      </c>
    </row>
    <row r="14" spans="1:12" x14ac:dyDescent="0.25">
      <c r="A14" s="9"/>
      <c r="B14" s="10"/>
      <c r="C14" s="10"/>
      <c r="D14" s="10"/>
      <c r="E14" s="2"/>
      <c r="F14" s="2"/>
      <c r="G14" s="11"/>
      <c r="H14" s="12"/>
      <c r="I14" s="10"/>
      <c r="J14" s="2"/>
    </row>
    <row r="15" spans="1:12" x14ac:dyDescent="0.25">
      <c r="A15" s="13"/>
      <c r="B15" s="10"/>
      <c r="C15" s="10"/>
      <c r="D15" s="10"/>
      <c r="E15" s="2"/>
      <c r="F15" s="2"/>
      <c r="G15" s="11"/>
      <c r="H15" s="12"/>
      <c r="I15" s="10"/>
      <c r="J15" s="2"/>
    </row>
    <row r="16" spans="1:12" x14ac:dyDescent="0.25">
      <c r="A16" s="9"/>
      <c r="B16" s="10"/>
      <c r="C16" s="10"/>
      <c r="D16" s="10"/>
      <c r="E16" s="2"/>
      <c r="F16" s="2"/>
      <c r="G16" s="11"/>
      <c r="H16" s="12"/>
      <c r="I16" s="10"/>
      <c r="J16" s="2"/>
    </row>
    <row r="17" spans="1:10" x14ac:dyDescent="0.25">
      <c r="A17" s="13"/>
      <c r="B17" s="10"/>
      <c r="C17" s="10"/>
      <c r="D17" s="10"/>
      <c r="E17" s="2"/>
      <c r="F17" s="2"/>
      <c r="G17" s="11"/>
      <c r="H17" s="12"/>
      <c r="I17" s="10"/>
      <c r="J17" s="2"/>
    </row>
    <row r="18" spans="1:10" x14ac:dyDescent="0.25">
      <c r="A18" s="9"/>
      <c r="B18" s="10"/>
      <c r="C18" s="10"/>
      <c r="D18" s="10"/>
      <c r="E18" s="2"/>
      <c r="F18" s="2"/>
      <c r="G18" s="11"/>
      <c r="H18" s="12"/>
      <c r="I18" s="10"/>
      <c r="J18" s="2"/>
    </row>
    <row r="19" spans="1:10" x14ac:dyDescent="0.25">
      <c r="A19" s="13"/>
      <c r="B19" s="10"/>
      <c r="C19" s="10"/>
      <c r="D19" s="10"/>
      <c r="E19" s="2"/>
      <c r="F19" s="2"/>
      <c r="G19" s="11"/>
      <c r="H19" s="12"/>
      <c r="I19" s="10"/>
      <c r="J19" s="2"/>
    </row>
    <row r="20" spans="1:10" x14ac:dyDescent="0.25">
      <c r="A20" s="9"/>
      <c r="B20" s="10"/>
      <c r="C20" s="10"/>
      <c r="D20" s="10"/>
      <c r="E20" s="2"/>
      <c r="F20" s="2"/>
      <c r="G20" s="11"/>
      <c r="H20" s="12"/>
      <c r="I20" s="10"/>
      <c r="J20" s="2"/>
    </row>
    <row r="21" spans="1:10" x14ac:dyDescent="0.25">
      <c r="A21" s="13"/>
      <c r="B21" s="10"/>
      <c r="C21" s="10"/>
      <c r="D21" s="10"/>
      <c r="E21" s="2"/>
      <c r="F21" s="2"/>
      <c r="G21" s="11"/>
      <c r="H21" s="12"/>
      <c r="I21" s="10"/>
      <c r="J21" s="2"/>
    </row>
    <row r="22" spans="1:10" x14ac:dyDescent="0.25">
      <c r="A22" s="9"/>
      <c r="B22" s="10"/>
      <c r="C22" s="10"/>
      <c r="D22" s="10"/>
      <c r="E22" s="2"/>
      <c r="F22" s="2"/>
      <c r="G22" s="11"/>
      <c r="H22" s="12"/>
      <c r="I22" s="10"/>
      <c r="J22" s="2"/>
    </row>
    <row r="23" spans="1:10" x14ac:dyDescent="0.25">
      <c r="A23" s="13"/>
      <c r="B23" s="10"/>
      <c r="C23" s="10"/>
      <c r="D23" s="10"/>
      <c r="E23" s="2"/>
      <c r="F23" s="2"/>
      <c r="G23" s="11"/>
      <c r="H23" s="12"/>
      <c r="I23" s="10"/>
      <c r="J23" s="2"/>
    </row>
    <row r="24" spans="1:10" x14ac:dyDescent="0.25">
      <c r="A24" s="9"/>
      <c r="B24" s="10"/>
      <c r="C24" s="10"/>
      <c r="D24" s="10"/>
      <c r="E24" s="2"/>
      <c r="F24" s="2"/>
      <c r="G24" s="11"/>
      <c r="H24" s="12"/>
      <c r="I24" s="10"/>
      <c r="J24" s="2"/>
    </row>
    <row r="25" spans="1:10" x14ac:dyDescent="0.25">
      <c r="A25" s="13"/>
      <c r="B25" s="10"/>
      <c r="C25" s="10"/>
      <c r="D25" s="10"/>
      <c r="E25" s="2"/>
      <c r="F25" s="2"/>
      <c r="G25" s="11"/>
      <c r="H25" s="12"/>
      <c r="I25" s="10"/>
      <c r="J25" s="2"/>
    </row>
    <row r="26" spans="1:10" x14ac:dyDescent="0.25">
      <c r="A26" s="9"/>
      <c r="B26" s="10"/>
      <c r="C26" s="10"/>
      <c r="D26" s="10"/>
      <c r="E26" s="2"/>
      <c r="F26" s="2"/>
      <c r="G26" s="11"/>
      <c r="H26" s="12"/>
      <c r="I26" s="10"/>
      <c r="J26" s="2"/>
    </row>
    <row r="27" spans="1:10" x14ac:dyDescent="0.25">
      <c r="A27" s="13"/>
      <c r="B27" s="10"/>
      <c r="C27" s="10"/>
      <c r="D27" s="10"/>
      <c r="E27" s="2"/>
      <c r="F27" s="2"/>
      <c r="G27" s="11"/>
      <c r="H27" s="12"/>
      <c r="I27" s="10"/>
      <c r="J27" s="2"/>
    </row>
    <row r="28" spans="1:10" x14ac:dyDescent="0.25">
      <c r="A28" s="9"/>
      <c r="B28" s="10"/>
      <c r="C28" s="10"/>
      <c r="D28" s="10"/>
      <c r="E28" s="2"/>
      <c r="F28" s="2"/>
      <c r="G28" s="11"/>
      <c r="H28" s="12"/>
      <c r="I28" s="10"/>
      <c r="J28" s="2"/>
    </row>
    <row r="29" spans="1:10" x14ac:dyDescent="0.25">
      <c r="A29" s="13"/>
      <c r="B29" s="10"/>
      <c r="C29" s="10"/>
      <c r="D29" s="10"/>
      <c r="E29" s="2"/>
      <c r="F29" s="2"/>
      <c r="G29" s="11"/>
      <c r="H29" s="12"/>
      <c r="I29" s="10"/>
      <c r="J29" s="2"/>
    </row>
    <row r="30" spans="1:10" x14ac:dyDescent="0.25">
      <c r="A30" s="9"/>
      <c r="B30" s="10"/>
      <c r="C30" s="10"/>
      <c r="D30" s="10"/>
      <c r="E30" s="2"/>
      <c r="F30" s="2"/>
      <c r="G30" s="11"/>
      <c r="H30" s="12"/>
      <c r="I30" s="10"/>
      <c r="J30" s="2"/>
    </row>
    <row r="31" spans="1:10" x14ac:dyDescent="0.25">
      <c r="A31" s="13"/>
      <c r="B31" s="10"/>
      <c r="C31" s="10"/>
      <c r="D31" s="10"/>
      <c r="E31" s="2"/>
      <c r="F31" s="2"/>
      <c r="G31" s="11"/>
      <c r="H31" s="12"/>
      <c r="I31" s="10"/>
      <c r="J31" s="2"/>
    </row>
    <row r="32" spans="1:10" x14ac:dyDescent="0.25">
      <c r="A32" s="9"/>
      <c r="B32" s="10"/>
      <c r="C32" s="10"/>
      <c r="D32" s="10"/>
      <c r="E32" s="2"/>
      <c r="F32" s="2"/>
      <c r="G32" s="11"/>
      <c r="H32" s="12"/>
      <c r="I32" s="10"/>
      <c r="J32" s="2"/>
    </row>
    <row r="33" spans="1:10" ht="41.1" customHeight="1" x14ac:dyDescent="0.25">
      <c r="A33" s="13"/>
      <c r="B33" s="10"/>
      <c r="C33" s="10"/>
      <c r="D33" s="10"/>
      <c r="E33" s="2"/>
      <c r="F33" s="2"/>
      <c r="G33" s="11"/>
      <c r="H33" s="12"/>
      <c r="I33" s="10"/>
      <c r="J33" s="2"/>
    </row>
    <row r="34" spans="1:10" x14ac:dyDescent="0.25">
      <c r="A34" s="9"/>
      <c r="B34" s="10"/>
      <c r="C34" s="10"/>
      <c r="D34" s="10"/>
      <c r="E34" s="2"/>
      <c r="F34" s="2"/>
      <c r="G34" s="11"/>
      <c r="H34" s="12"/>
      <c r="I34" s="10"/>
      <c r="J34" s="2"/>
    </row>
  </sheetData>
  <autoFilter ref="B1:I84"/>
  <mergeCells count="1">
    <mergeCell ref="B3:I3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2021-01-27T01:32:17Z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