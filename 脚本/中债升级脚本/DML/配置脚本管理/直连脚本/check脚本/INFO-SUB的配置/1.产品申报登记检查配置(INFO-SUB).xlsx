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规则表配置" sheetId="1" r:id="rId1"/>
    <sheet name="规则条件表" sheetId="2" r:id="rId2"/>
  </sheets>
  <calcPr calcId="152511" concurrentCalc="0"/>
</workbook>
</file>

<file path=xl/calcChain.xml><?xml version="1.0" encoding="utf-8"?>
<calcChain xmlns="http://schemas.openxmlformats.org/spreadsheetml/2006/main">
  <c r="L65" i="1" l="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4" i="1"/>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 i="2"/>
</calcChain>
</file>

<file path=xl/sharedStrings.xml><?xml version="1.0" encoding="utf-8"?>
<sst xmlns="http://schemas.openxmlformats.org/spreadsheetml/2006/main" count="2067" uniqueCount="716">
  <si>
    <t>CHECKRULEID</t>
  </si>
  <si>
    <t>DATATYPE</t>
  </si>
  <si>
    <t>CHECKCLASS</t>
  </si>
  <si>
    <t>CHECKMETHOD</t>
  </si>
  <si>
    <t>SRCPROPERTY</t>
  </si>
  <si>
    <t>COMPARETO</t>
  </si>
  <si>
    <t>OBJVALUE</t>
  </si>
  <si>
    <t>NULLABLE</t>
  </si>
  <si>
    <t>REMARK</t>
  </si>
  <si>
    <t>STATUS</t>
  </si>
  <si>
    <t>序号</t>
  </si>
  <si>
    <t>规则标识</t>
  </si>
  <si>
    <t>检查的对象类型</t>
  </si>
  <si>
    <t>检查类</t>
  </si>
  <si>
    <t>检查方法</t>
  </si>
  <si>
    <t>被检查的字段</t>
  </si>
  <si>
    <t>检查比较关系：&gt;,&lt;,&gt;=,&lt;=,==,!=</t>
  </si>
  <si>
    <t>目标结果，对于日期格式，年:小写yyyy或者yy，月:大写MM，日:小写dd，时:大写HH,分:小写mm，秒:小写ss</t>
  </si>
  <si>
    <t>是否可为空，Y－是，N－否，默认为否，表示当SRCPROPERTY的值如果传入是空，校验不通过</t>
  </si>
  <si>
    <t>备注</t>
  </si>
  <si>
    <t>有效状态,E:有效,D:删除</t>
  </si>
  <si>
    <t>com.joyintech.tams.common.svreport.datacheck.service.BaseCheckLib</t>
  </si>
  <si>
    <t>isNotEmpty</t>
  </si>
  <si>
    <t>PROD_NAME</t>
  </si>
  <si>
    <t>N</t>
  </si>
  <si>
    <t>产品名称要素不可为空。</t>
  </si>
  <si>
    <t>E</t>
  </si>
  <si>
    <t>lessThanCharLength</t>
  </si>
  <si>
    <t>201</t>
  </si>
  <si>
    <t>Y</t>
  </si>
  <si>
    <t>inWhitelistNoSymbol</t>
  </si>
  <si>
    <t>PROD_INS_ID</t>
  </si>
  <si>
    <t>行内标识码要素不可为空。</t>
  </si>
  <si>
    <t>行内标识码只能含有白名单内的阿拉伯数字，英文字母，半角符号，全角符号。</t>
  </si>
  <si>
    <t>ISSUE_PARTY_ID</t>
  </si>
  <si>
    <t>发行机构代码要素不可为空。</t>
  </si>
  <si>
    <t>isCustomizedString</t>
  </si>
  <si>
    <t>发行机构代码要素格式不对。正确的格式：6位英文或数字。</t>
  </si>
  <si>
    <t>APPROVER_ID</t>
  </si>
  <si>
    <t>产品审批人身份证号要素不可为空。</t>
  </si>
  <si>
    <t>产品审批人身份证号过长。</t>
  </si>
  <si>
    <t>产品审批人身份证号必须填写白名单中的文字。</t>
  </si>
  <si>
    <t>DESIGNER_ID</t>
  </si>
  <si>
    <t>产品设计人身份证号要素不可为空。</t>
  </si>
  <si>
    <t>产品设计人身份证号过长。</t>
  </si>
  <si>
    <t>产品设计人身份证号必须填写白名单中的文字。</t>
  </si>
  <si>
    <t>MANAGER_ID</t>
  </si>
  <si>
    <t>投资经理身份证号要素不可为空。</t>
  </si>
  <si>
    <t>投资经理身份证号过长。</t>
  </si>
  <si>
    <t>投资经理身份证号必须填写白名单中的文字。</t>
  </si>
  <si>
    <t>LIAISON_NAME</t>
  </si>
  <si>
    <t>业务联络人姓名要素不可为空。</t>
  </si>
  <si>
    <t>33</t>
  </si>
  <si>
    <t>业务联络人姓名过长。</t>
  </si>
  <si>
    <t>业务联络人姓名必须填写白名单中的文字。</t>
  </si>
  <si>
    <t>LIAISON_TEL</t>
  </si>
  <si>
    <t>业务联络人座机要素不可为空。</t>
  </si>
  <si>
    <t>31</t>
  </si>
  <si>
    <t>业务联络人座机不合法,合法的模式：XXXX(3或4位)-XXXXXXXX（7或8位）-XXXXX（小于等于8位）分机号码可以不填。</t>
  </si>
  <si>
    <t>LIAISON_MOBILE</t>
  </si>
  <si>
    <t>业务联络人手机必填</t>
  </si>
  <si>
    <t>^1\d{10}$</t>
  </si>
  <si>
    <t>业务联络人手机不合法,合法的模式：13488996666（11位）。</t>
  </si>
  <si>
    <t>LIAISON_EMAIL</t>
  </si>
  <si>
    <t>业务联络人邮箱要素不可为空。</t>
  </si>
  <si>
    <t>51</t>
  </si>
  <si>
    <t>业务联络人邮箱地址不合法,合法email格式如：John@163.com。</t>
  </si>
  <si>
    <t>PROFIT_TYPE</t>
  </si>
  <si>
    <t>产品收益类型要素不可为空。</t>
  </si>
  <si>
    <t>inDatadict</t>
  </si>
  <si>
    <t>==</t>
  </si>
  <si>
    <t>SVR_PROD_PROFIT_TYPE</t>
  </si>
  <si>
    <t>产品收益类型不在值域范围内。</t>
  </si>
  <si>
    <t>TERMTYPE</t>
  </si>
  <si>
    <t>SVR_PRODUCT_TERM</t>
  </si>
  <si>
    <t>EXC_FIN_SECTOR</t>
  </si>
  <si>
    <t>是否金融同业专属要素不可为空。</t>
  </si>
  <si>
    <t>YES_NO</t>
  </si>
  <si>
    <t>是否金融同业专属不在值域范围内。</t>
  </si>
  <si>
    <t>INVEST_ARAE</t>
  </si>
  <si>
    <t>资金投向地区要素不可为空。</t>
  </si>
  <si>
    <t>SVR_SALEAREA_DECLARE</t>
  </si>
  <si>
    <t>资金投向地区不在值域范围内。</t>
  </si>
  <si>
    <t>INVEST_COUNTRY</t>
  </si>
  <si>
    <t>产品投资国家或地区要素不可为空</t>
  </si>
  <si>
    <t>compareValue</t>
  </si>
  <si>
    <t>!=</t>
  </si>
  <si>
    <t>0</t>
  </si>
  <si>
    <t>SVR_COUNTRY_AREA</t>
  </si>
  <si>
    <t>FINAN_SER_MODEL</t>
  </si>
  <si>
    <t>理财业务服务模式要素不可为空</t>
  </si>
  <si>
    <t>理财业务服务模式要素必须为空</t>
  </si>
  <si>
    <t>SVR_SERVICEMODE</t>
  </si>
  <si>
    <t>理财业务服务模式要素不在值域范围内</t>
  </si>
  <si>
    <t>OPERATE_MODE</t>
  </si>
  <si>
    <t>产品运作模式要素不可为空。</t>
  </si>
  <si>
    <t>SVR_OPERATEMODE_DECLARE</t>
  </si>
  <si>
    <t>产品运作模式不在值域范围内。</t>
  </si>
  <si>
    <t>RAISE_TYPE</t>
  </si>
  <si>
    <t>产品募集方式要素不可为空。</t>
  </si>
  <si>
    <t>SVR_RAISE_TYPE</t>
  </si>
  <si>
    <t>产品募集方式不在值域范围内。</t>
  </si>
  <si>
    <t>CMMODE</t>
  </si>
  <si>
    <t>产品资产配置方式要素不可为空。</t>
  </si>
  <si>
    <t>SVR_CMMODE</t>
  </si>
  <si>
    <t>产品资产配置方式不在值域范围内。</t>
  </si>
  <si>
    <t>PMMODE</t>
  </si>
  <si>
    <t>产品管理模式要素不可为空。</t>
  </si>
  <si>
    <t>SVR_PROD_MANAGE</t>
  </si>
  <si>
    <t>产品管理模式不在值域范围内。</t>
  </si>
  <si>
    <t>MNAME</t>
  </si>
  <si>
    <t>实际管理人名称要素不可为空</t>
  </si>
  <si>
    <t>实际管理人名称要素必须为空</t>
  </si>
  <si>
    <t>121</t>
  </si>
  <si>
    <t>实际管理人名称要素超长（最大长）120</t>
  </si>
  <si>
    <t>实际管理人名称必须填写白名单中的文字。</t>
  </si>
  <si>
    <t>PRICED_MODE</t>
  </si>
  <si>
    <t>产品定价方式要素不可为空。</t>
  </si>
  <si>
    <t>SVR_PRODVALUETYPE</t>
  </si>
  <si>
    <t>产品定价方式不在值域范围内。</t>
  </si>
  <si>
    <t>IVSTORIENTATION</t>
  </si>
  <si>
    <t>产品投资性质要素不可为空。</t>
  </si>
  <si>
    <t>INVEST_TYPE</t>
  </si>
  <si>
    <t>产品投资性质不在值域范围内。</t>
  </si>
  <si>
    <t>isNumber2</t>
  </si>
  <si>
    <t>YIELD</t>
  </si>
  <si>
    <t>8,5</t>
  </si>
  <si>
    <t>业绩比较基准%必须为n..(8,5)格式</t>
  </si>
  <si>
    <t>compareValueAsNumber</t>
  </si>
  <si>
    <t>业绩比较基准必须大于等于0。</t>
  </si>
  <si>
    <t>IS_SHORT_TERM</t>
  </si>
  <si>
    <t>是否设置最短持有期限要素必须为空</t>
  </si>
  <si>
    <t>是否设置最短持有期限不在值域范围内。</t>
  </si>
  <si>
    <t>SHORT_TERM</t>
  </si>
  <si>
    <t>isNumber</t>
  </si>
  <si>
    <t>5,0</t>
  </si>
  <si>
    <t>最短持有期限（天）必须为n..5格式。</t>
  </si>
  <si>
    <t>&gt;</t>
  </si>
  <si>
    <t>最短持有期限（天）必须大于0。</t>
  </si>
  <si>
    <t>IS_FREE_REDEM</t>
  </si>
  <si>
    <t>最短持有期后是否自由赎回要素不可为空</t>
  </si>
  <si>
    <t>最短持有期后是否自由赎回要素必须为空</t>
  </si>
  <si>
    <t>SVR_YN_REDEM</t>
  </si>
  <si>
    <t>最短持有期后是否自由赎回要素不在值域范围内</t>
  </si>
  <si>
    <t>CASH_MANA_CATE</t>
  </si>
  <si>
    <t>是否现金管理类要素不可为空</t>
  </si>
  <si>
    <t>是否现金管理类要素必须为空</t>
  </si>
  <si>
    <t>是否现金管理类要素不在值域范围内</t>
  </si>
  <si>
    <t>SALE_AREA</t>
  </si>
  <si>
    <t>产品销售区域要素不可为空</t>
  </si>
  <si>
    <t>SVR_BUY_PLACE</t>
  </si>
  <si>
    <t>SALE_AMT_STR</t>
  </si>
  <si>
    <t>起点销售金额要素不可为空。</t>
  </si>
  <si>
    <t>15,2</t>
  </si>
  <si>
    <t>起点销售金额必须为n（15,2）格式。</t>
  </si>
  <si>
    <t>起点销售金额必须大于0。</t>
  </si>
  <si>
    <t>RAISE_CCY</t>
  </si>
  <si>
    <t>募集币种要素不可为空</t>
  </si>
  <si>
    <t>CURRENCY_CHB</t>
  </si>
  <si>
    <t>CASH_PRIN_CCY</t>
  </si>
  <si>
    <t>兑付本金币种要素不可为空</t>
  </si>
  <si>
    <t>CASH_PROF_CCY</t>
  </si>
  <si>
    <t>兑付收益币种要素不可为空</t>
  </si>
  <si>
    <t>SALE_FEE_RATE</t>
  </si>
  <si>
    <t>销售手续费率%要素不可为空。</t>
  </si>
  <si>
    <t>销售手续费率%以百分数形式表示时必须为n（8,5）格式。</t>
  </si>
  <si>
    <t>&gt;=</t>
  </si>
  <si>
    <t>销售手续费率%必须大于等于0</t>
  </si>
  <si>
    <t>TRU_FEE_RATE</t>
  </si>
  <si>
    <t>托管费率%要素不可为空。</t>
  </si>
  <si>
    <t>托管费率%以百分数形式表示时必须为n（8,5）格式。</t>
  </si>
  <si>
    <t>托管费率%必须大于等于0。</t>
  </si>
  <si>
    <t>RAISE_PSTRDATE</t>
  </si>
  <si>
    <t>募集起始日期（从）要素不可为空。</t>
  </si>
  <si>
    <t>isValidDate</t>
  </si>
  <si>
    <t>RAISE_PENDDATE</t>
  </si>
  <si>
    <t>募集起始日期（到）要素不可为空。</t>
  </si>
  <si>
    <t>compareProperty</t>
  </si>
  <si>
    <t>募集起始日期（到）必须大于等于募集起始日期（从）</t>
  </si>
  <si>
    <t>RAISE_AMT_PLAN</t>
  </si>
  <si>
    <t>计划募集金额（元）要素不可为空。</t>
  </si>
  <si>
    <t>计划募集金额（元）必须为n(15,2)格式</t>
  </si>
  <si>
    <t>计划募集金额（元）必须大于0</t>
  </si>
  <si>
    <t>IN_DEP_NAME</t>
  </si>
  <si>
    <t>境内托管机构名称要素不可为空</t>
  </si>
  <si>
    <t>境内托管机构名称要素必须为空</t>
  </si>
  <si>
    <t>SVR_IN_DEP_NAME</t>
  </si>
  <si>
    <t>境内托管机构名称不在值域范围内</t>
  </si>
  <si>
    <t>IN_DEP_CODE</t>
  </si>
  <si>
    <t>境内托管机构代码要素必须为空</t>
  </si>
  <si>
    <t>13</t>
  </si>
  <si>
    <t>境内托管机构代码要素超长</t>
  </si>
  <si>
    <t>境内托管机构代码必须填写白名单中的文字。</t>
  </si>
  <si>
    <t>OUT_DEP_CTRY</t>
  </si>
  <si>
    <t>境外托管机构国别要素不可为空</t>
  </si>
  <si>
    <t>CHN</t>
  </si>
  <si>
    <t>境外托管机构国别要素必须为空</t>
  </si>
  <si>
    <t>OUT_DEP_NAME</t>
  </si>
  <si>
    <t>境外托管机构名称要素不可为空</t>
  </si>
  <si>
    <t>境外托管机构名称要素必须为空</t>
  </si>
  <si>
    <t>境外托管机构名称要素超长（200）</t>
  </si>
  <si>
    <t>境外托管机构名称必须填写白名单中的文字。</t>
  </si>
  <si>
    <t>RISK_TYPE</t>
  </si>
  <si>
    <t>投资者风险偏好要素不可为空</t>
  </si>
  <si>
    <t>SVR_RISKTYPE</t>
  </si>
  <si>
    <t>产品风险等级要素不可为空。</t>
  </si>
  <si>
    <t>RISK_LEVEL</t>
  </si>
  <si>
    <t>PRODUCT_RISK_GRADE</t>
  </si>
  <si>
    <t>产品风险等级不在值域范围内。</t>
  </si>
  <si>
    <t>TERM_RIGHT_FLAG</t>
  </si>
  <si>
    <t>发行机构提前终止权标识要素不可为空。</t>
  </si>
  <si>
    <t>SVR_HAVE_OR_NOT</t>
  </si>
  <si>
    <t>发行机构提前终止权标识不在值域范围内。</t>
  </si>
  <si>
    <t>CUS_REDEEM_FLAG</t>
  </si>
  <si>
    <t>客户赎回权标识要素不可为空。</t>
  </si>
  <si>
    <t>客户赎回权标识不在值域范围内。</t>
  </si>
  <si>
    <t>PROD_BRAND</t>
  </si>
  <si>
    <t>产品品牌必须填写白名单中的文字。</t>
  </si>
  <si>
    <t>PROD_STAGE</t>
  </si>
  <si>
    <t>产品期次要素不可为空。</t>
  </si>
  <si>
    <t>6,0</t>
  </si>
  <si>
    <t>产品期次必须为n..6格式。</t>
  </si>
  <si>
    <t>INVEST_FEE_RATE</t>
  </si>
  <si>
    <t>投资管理费率%要素不可为空。</t>
  </si>
  <si>
    <t>投资管理费率%以百分数形式表示时必须为n（8,5）格式。</t>
  </si>
  <si>
    <t>投资管理费率%必须大于等于0</t>
  </si>
  <si>
    <t>CONT_MODE</t>
  </si>
  <si>
    <t>合作模式要素不可为空。</t>
  </si>
  <si>
    <t>SVR_CONTMODE</t>
  </si>
  <si>
    <t>合作模式不在值域范围内。</t>
  </si>
  <si>
    <t>COOPERATION_NAME</t>
  </si>
  <si>
    <t>合作机构名称要素不可为空</t>
  </si>
  <si>
    <t>合作机构名称要素必须为空</t>
  </si>
  <si>
    <t>合作机构名称要素超长（最大长）120</t>
  </si>
  <si>
    <t>合作机构名称必须填写白名单中的文字。</t>
  </si>
  <si>
    <t>INVEST_PRIN_DATE</t>
  </si>
  <si>
    <t>投资本金到账日要素不可为空。</t>
  </si>
  <si>
    <t>SVR_AMTDATETYPE</t>
  </si>
  <si>
    <t>投资本金到账日不在值域范围内。</t>
  </si>
  <si>
    <t>INVEST_PROF_DATE</t>
  </si>
  <si>
    <t>投资收益到账日要素不可为空。</t>
  </si>
  <si>
    <t>投资收益到账日不在值域范围内。</t>
  </si>
  <si>
    <t>CREDIT_FLAG</t>
  </si>
  <si>
    <t>产品增信标识要素不可为空。</t>
  </si>
  <si>
    <t>产品增信标识不在值域范围内。</t>
  </si>
  <si>
    <t>CREDIT_TYPE</t>
  </si>
  <si>
    <t>产品增信机构类型要素不可为空</t>
  </si>
  <si>
    <t>产品增信机构类型要素必须为空</t>
  </si>
  <si>
    <t>SVR_CREDIT_TYPE</t>
  </si>
  <si>
    <t>CREDIT_MODE</t>
  </si>
  <si>
    <t>产品增信形式要素不可为空</t>
  </si>
  <si>
    <t>产品增信形式要素必须为空</t>
  </si>
  <si>
    <t>SVR_CREDIT_MODE</t>
  </si>
  <si>
    <t>产品增信形式要素不在值域范围内</t>
  </si>
  <si>
    <t>INV_TYPE_RAT</t>
  </si>
  <si>
    <t>投资资产种类及比例要素不可为空。</t>
  </si>
  <si>
    <t>301</t>
  </si>
  <si>
    <t>投资资产种类及比例必须填写白名单中的文字。</t>
  </si>
  <si>
    <t>备注要素不可为空</t>
  </si>
  <si>
    <t>257</t>
  </si>
  <si>
    <t>备注要素超长（256）</t>
  </si>
  <si>
    <t>备注必须填写白名单中的文字。</t>
  </si>
  <si>
    <t>CHECKCONDITIONID</t>
  </si>
  <si>
    <t>主键</t>
  </si>
  <si>
    <t>检查规则标识，检查规则表主键</t>
  </si>
  <si>
    <t>目标结果</t>
  </si>
  <si>
    <t>01</t>
  </si>
  <si>
    <t>当资金投向地区为01 境内时</t>
  </si>
  <si>
    <t>02</t>
  </si>
  <si>
    <t>99</t>
  </si>
  <si>
    <t>当产品投资国家或地区为其他时</t>
  </si>
  <si>
    <t>当兑付本金币种为其他时</t>
  </si>
  <si>
    <t>当兑付收益币种为其他时</t>
  </si>
  <si>
    <t>当境内托管机构名称为其他时</t>
  </si>
  <si>
    <t>当境外托管机构国别为其他时</t>
  </si>
  <si>
    <t>当募集币种为其他时</t>
  </si>
  <si>
    <t>当最短持有期后是否自由赎回选择 其他时</t>
  </si>
  <si>
    <t>CHB_PRD_DECLARE_SUB</t>
  </si>
  <si>
    <t>delete  CHB_DATACHECK_RULE where datatype='CHB_PRD_DECLARE_SUB';</t>
    <phoneticPr fontId="4" type="noConversion"/>
  </si>
  <si>
    <t>1</t>
  </si>
  <si>
    <t>11194A80-6813-5A9E-F060-007F01006A66</t>
  </si>
  <si>
    <t>2</t>
  </si>
  <si>
    <t>11294A49-6813-5A9E-F060-007F01006A67</t>
  </si>
  <si>
    <t>3</t>
  </si>
  <si>
    <t>1e184A86-6813-5A9E-F060-007F01006A66</t>
  </si>
  <si>
    <t>4</t>
  </si>
  <si>
    <t>1e194A89-6813-5A9E-F060-007F01006A66</t>
  </si>
  <si>
    <t>5</t>
  </si>
  <si>
    <t>1e234A49-6813-5A9E-F060-007F01006A66</t>
  </si>
  <si>
    <t>6</t>
  </si>
  <si>
    <t>1e234A49-6813-5A9E-F060-107F01006A66</t>
  </si>
  <si>
    <t>7</t>
  </si>
  <si>
    <t>1e324A49-6813-5A9E-F060-007F01006A66</t>
  </si>
  <si>
    <t>8</t>
  </si>
  <si>
    <t>1e364A49-6813-5A9E-F060-007F01006A66</t>
  </si>
  <si>
    <t>9</t>
  </si>
  <si>
    <t>1e424A49-6813-5A9E-F060-007F01006A66</t>
  </si>
  <si>
    <t>10</t>
  </si>
  <si>
    <t>1e464A49-6813-5A9E-F060-007F01006A66</t>
  </si>
  <si>
    <t>11</t>
  </si>
  <si>
    <t>1e4E4A67-6813-5A9E-F060-007F01006A67</t>
  </si>
  <si>
    <t>12</t>
  </si>
  <si>
    <t>de104A49-6813-5A9E-F060-007F01006A66</t>
  </si>
  <si>
    <t>业务联络人座机过长（最大长）30。</t>
  </si>
  <si>
    <t>de104A49-6813-5A9E-F060-107F01006A66</t>
  </si>
  <si>
    <t>14</t>
  </si>
  <si>
    <t>de114A49-6813-5A9E-F060-007F01006A66</t>
  </si>
  <si>
    <t>15</t>
  </si>
  <si>
    <t>de124A49-6813-5A9E-F060-007F01006A66</t>
  </si>
  <si>
    <t>业务联络人邮箱过长（最大长）50。</t>
  </si>
  <si>
    <t>16</t>
  </si>
  <si>
    <t>de134A49-6813-5A9E-F060-007F01006A65</t>
  </si>
  <si>
    <t>17</t>
  </si>
  <si>
    <t>de134A49-6813-5A9E-F060-107F01006A65</t>
  </si>
  <si>
    <t>产品期限要素不可为空。</t>
  </si>
  <si>
    <t>18</t>
  </si>
  <si>
    <t>de144A49-6813-5A9E-F060-007F01006A65</t>
  </si>
  <si>
    <t>产品期限不在值域范围内。</t>
  </si>
  <si>
    <t>19</t>
  </si>
  <si>
    <t>de144A49-6813-5A9E-F060-107F01006A65</t>
  </si>
  <si>
    <t>20</t>
  </si>
  <si>
    <t>de154A49-6813-5A9E-F060-007F01006A65</t>
  </si>
  <si>
    <t>21</t>
  </si>
  <si>
    <t>de154A49-6813-5A9E-F060-107F01006A65</t>
  </si>
  <si>
    <t>22</t>
  </si>
  <si>
    <t>de164A49-6813-5A9E-F060-007F01006A65</t>
  </si>
  <si>
    <t>23</t>
  </si>
  <si>
    <t>de174A49-6813-5A9E-F060-007F01006A65</t>
  </si>
  <si>
    <t>24</t>
  </si>
  <si>
    <t>de174A49-6813-5A9E-F060-107F01006A65</t>
  </si>
  <si>
    <t>25</t>
  </si>
  <si>
    <t>de184A49-6813-5A9E-F060-007F01006A65</t>
  </si>
  <si>
    <t>26</t>
  </si>
  <si>
    <t>de184A49-6813-5A9E-F060-107F01006A65</t>
  </si>
  <si>
    <t>产品投资国家或地区不能填写中国。</t>
  </si>
  <si>
    <t>27</t>
  </si>
  <si>
    <t>de184A86-6813-5A9E-F060-007F01006A65</t>
  </si>
  <si>
    <t>28</t>
  </si>
  <si>
    <t>de194A52-6813-5A9E-F060-007F01006A65</t>
  </si>
  <si>
    <t>29</t>
  </si>
  <si>
    <t>de194A53-6813-5A9E-F060-007F01006A65</t>
  </si>
  <si>
    <t>30</t>
  </si>
  <si>
    <t>de194A54-6813-5A9E-F060-007F01006A65</t>
  </si>
  <si>
    <t>de194A55-6813-5A9E-F060-007F01006A65</t>
  </si>
  <si>
    <t>32</t>
  </si>
  <si>
    <t>de194A56-6813-5A9E-F060-007F01006A65</t>
  </si>
  <si>
    <t>de194A76-6813-5A9E-F060-007F01006A03</t>
  </si>
  <si>
    <t>34</t>
  </si>
  <si>
    <t>de194A77-6813-5A9E-F060-007F01006A65</t>
  </si>
  <si>
    <t>35</t>
  </si>
  <si>
    <t>de194A78-6813-5A9E-F060-007F01006A65</t>
  </si>
  <si>
    <t>36</t>
  </si>
  <si>
    <t>de194A79-6813-5A9E-F060-007F01006A65</t>
  </si>
  <si>
    <t>isCustomizedStringForWhitelist</t>
  </si>
  <si>
    <t>^[\u4e00-\u9fa5\ue815-\ue864\uff01-\uff5e\uffe0-\uffe5\u3000-\u3003\u3005-\u3017\u301d-\u301e\u2010\u2013-\u2016\u2018-\u2019\u201c-\u201d\u2025-\u2026\u2030\u2032-\u2033\u2035\u203b\u00b7\u0030-\u0039\u0041-\u005a\u0061-\u007a\u2160-\u216b\u0020-\u0026\u0028-\u007B\u007D\u007E]{0,}$</t>
  </si>
  <si>
    <t>37</t>
  </si>
  <si>
    <t>de194A80-6813-5A9E-F060-007F01006A65</t>
  </si>
  <si>
    <t>38</t>
  </si>
  <si>
    <t>de194A81-6813-5A9E-F060-007F01006A65</t>
  </si>
  <si>
    <t>39</t>
  </si>
  <si>
    <t>de194A82-6813-5A9E-F060-007F01006A65</t>
  </si>
  <si>
    <t>40</t>
  </si>
  <si>
    <t>de194A82-6813-5A9E-F060-107F01006A65</t>
  </si>
  <si>
    <t>41</t>
  </si>
  <si>
    <t>de194A87-6813-5A9E-F060-007F01006A65</t>
  </si>
  <si>
    <t>42</t>
  </si>
  <si>
    <t>de194A89-6813-5A9E-F060-007F01006A65</t>
  </si>
  <si>
    <t>43</t>
  </si>
  <si>
    <t>de194A90-6813-5A9E-F060-007F01006A65</t>
  </si>
  <si>
    <t>44</t>
  </si>
  <si>
    <t>de194A91-6813-5A9E-F060-007F01006A65</t>
  </si>
  <si>
    <t>45</t>
  </si>
  <si>
    <t>de194A92-6813-5A9E-F060-007F01006A65</t>
  </si>
  <si>
    <t>46</t>
  </si>
  <si>
    <t>de194A93-6813-5A9E-F060-007F01006A65</t>
  </si>
  <si>
    <t>47</t>
  </si>
  <si>
    <t>de194A94-6813-5A9E-F060-007F01006A65</t>
  </si>
  <si>
    <t>48</t>
  </si>
  <si>
    <t>de194A95-6813-5A9E-F060-007F01006A65</t>
  </si>
  <si>
    <t>49</t>
  </si>
  <si>
    <t>de194A96-6813-5A9E-F060-007F01006A65</t>
  </si>
  <si>
    <t>50</t>
  </si>
  <si>
    <t>de1E4A49-6813-5A9E-F060-007F01006A66</t>
  </si>
  <si>
    <t>de1E4A49-6813-5A9E-F060-107F01006A66</t>
  </si>
  <si>
    <t>产品名称超长（最大长）200</t>
  </si>
  <si>
    <t>52</t>
  </si>
  <si>
    <t>de204A49-6813-5A9E-F060-007F01006A65</t>
  </si>
  <si>
    <t>产品投资国家或地区要素必须为空</t>
  </si>
  <si>
    <t>53</t>
  </si>
  <si>
    <t>de224A49-6813-5A9E-F060-007F01006A65</t>
  </si>
  <si>
    <t>54</t>
  </si>
  <si>
    <t>de234A49-6813-5A9E-F060-007F01006A65</t>
  </si>
  <si>
    <t>55</t>
  </si>
  <si>
    <t>de244A49-6813-5A9E-F060-007F01006A65</t>
  </si>
  <si>
    <t>56</t>
  </si>
  <si>
    <t>de244A61-6813-5A9E-F060-007F01006A65</t>
  </si>
  <si>
    <t>57</t>
  </si>
  <si>
    <t>de254A49-6813-5A9E-F060-007F01006A65</t>
  </si>
  <si>
    <t>是否设置最短持有期限要素不可为空</t>
  </si>
  <si>
    <t>58</t>
  </si>
  <si>
    <t>de264A49-6813-5A9E-F060-007F01006A65</t>
  </si>
  <si>
    <t>59</t>
  </si>
  <si>
    <t>de274A49-6813-5A9E-F060-007F01006A65</t>
  </si>
  <si>
    <t>60</t>
  </si>
  <si>
    <t>de284A49-6813-5A9E-F060-007F01006A65</t>
  </si>
  <si>
    <t>最短持有期限（天）要素必须为空。</t>
  </si>
  <si>
    <t>61</t>
  </si>
  <si>
    <t>de294A49-6813-5A9E-F060-007F01006A66</t>
  </si>
  <si>
    <t>最短持有期限（天）要素不可为空。</t>
  </si>
  <si>
    <t>62</t>
  </si>
  <si>
    <t>de294A49-6813-5A9E-F060-007F01006B11</t>
  </si>
  <si>
    <t>63</t>
  </si>
  <si>
    <t>de294A49-6813-5A9E-F060-007F01006B12</t>
  </si>
  <si>
    <t>^[\u0030-\u0039\u0041-\u005a\u0061-\u007a\u0020-\u0026\u0028-\u007B\u007D\u007E]{0,}$</t>
  </si>
  <si>
    <t>64</t>
  </si>
  <si>
    <t>de294A49-6813-5A9E-F060-007F01006B13</t>
  </si>
  <si>
    <t>65</t>
  </si>
  <si>
    <t>de294A49-6813-5A9E-F060-007F01006B14</t>
  </si>
  <si>
    <t>66</t>
  </si>
  <si>
    <t>de294A49-6813-5A9E-F060-007F01006B15</t>
  </si>
  <si>
    <t>67</t>
  </si>
  <si>
    <t>de294A49-6813-5A9E-F060-007F01006B16</t>
  </si>
  <si>
    <t>68</t>
  </si>
  <si>
    <t>de294A49-6813-5A9E-F060-007F01006B17</t>
  </si>
  <si>
    <t>69</t>
  </si>
  <si>
    <t>de294A49-6813-5A9E-F060-007F01006B18</t>
  </si>
  <si>
    <t>70</t>
  </si>
  <si>
    <t>de294A49-6813-5A9E-F060-007F01006B20</t>
  </si>
  <si>
    <t>71</t>
  </si>
  <si>
    <t>de294A49-6813-5A9E-F060-007F01006B21</t>
  </si>
  <si>
    <t>72</t>
  </si>
  <si>
    <t>de294A49-6813-5A9E-F060-007F01006B22</t>
  </si>
  <si>
    <t>73</t>
  </si>
  <si>
    <t>de294A49-6813-5A9E-F060-007F01006B23</t>
  </si>
  <si>
    <t>74</t>
  </si>
  <si>
    <t>de294A49-6813-5A9E-F060-007F01006B24</t>
  </si>
  <si>
    <t>^[0-9a-zA-Z]{6}$</t>
  </si>
  <si>
    <t>75</t>
  </si>
  <si>
    <t>de294A49-6813-5A9E-F060-007F01006B25</t>
  </si>
  <si>
    <t>^(0[0-9]{2,3}\-)?([2-9][0-9]{6,7})+(\-[0-9]{1,8})?$</t>
  </si>
  <si>
    <t>76</t>
  </si>
  <si>
    <t>de294A49-6813-5A9E-F060-007F01006B26</t>
  </si>
  <si>
    <t>77</t>
  </si>
  <si>
    <t>de294A49-6813-5A9E-F060-007F01006B27</t>
  </si>
  <si>
    <t>^[a-zA-Z0-9_.-]+@[a-zA-Z0-9_.-]+(\.[a-zA-Z0-9_.-]+)*\.[a-zA-Z0-9]{2,6}$</t>
  </si>
  <si>
    <t>78</t>
  </si>
  <si>
    <t>de294A49-6813-5A9E-F060-007F01006B28</t>
  </si>
  <si>
    <t>&lt;</t>
  </si>
  <si>
    <t>产品销售区域不在值域范围内并且产品销售区域的多选选项不可重复。</t>
  </si>
  <si>
    <t>79</t>
  </si>
  <si>
    <t>de294A49-6813-5A9E-F060-007F01006B29</t>
  </si>
  <si>
    <t>产品投资国家或地区不在值域范围内并且产品投资国家或地区的多选选项不可重复。</t>
  </si>
  <si>
    <t>80</t>
  </si>
  <si>
    <t>de294A49-6813-5A9E-F060-007F01006B30</t>
  </si>
  <si>
    <t>募集币种区域不在值域范围内并且募集币种的多选选项不可重复。</t>
  </si>
  <si>
    <t>81</t>
  </si>
  <si>
    <t>de294A49-6813-5A9E-F060-007F01006B31</t>
  </si>
  <si>
    <t>兑付本金币种不在值域范围内并且兑付本金币种的多选选项不可重复。</t>
  </si>
  <si>
    <t>82</t>
  </si>
  <si>
    <t>de294A49-6813-5A9E-F060-007F01006B32</t>
  </si>
  <si>
    <t>兑付收益币种不在值域范围内并且兑付收益币种的多选选项不可重复。</t>
  </si>
  <si>
    <t>83</t>
  </si>
  <si>
    <t>de294A49-6813-5A9E-F060-007F01006B33</t>
  </si>
  <si>
    <t>境外托管机构国别不在值域范围内并且境外托管机构国别的多选选项不可重复。</t>
  </si>
  <si>
    <t>84</t>
  </si>
  <si>
    <t>de294A49-6813-5A9E-F060-007F01006B34</t>
  </si>
  <si>
    <t>投资者风险偏好不在值域范围内并且投资者风险偏好的多选选项不可重复。</t>
  </si>
  <si>
    <t>85</t>
  </si>
  <si>
    <t>de294A49-6813-5A9E-F060-007F01006B35</t>
  </si>
  <si>
    <t>产品增信机构类型不在值域范围内并且产品增信机构类型的多选选项不可重复。</t>
  </si>
  <si>
    <t>86</t>
  </si>
  <si>
    <t>de294A49-6813-5A9E-F060-107F01006B14</t>
  </si>
  <si>
    <t>87</t>
  </si>
  <si>
    <t>de294A49-6813-5A9E-F060-107F01006B15</t>
  </si>
  <si>
    <t>88</t>
  </si>
  <si>
    <t>de294A49-6813-5A9E-F060-107F01006B16</t>
  </si>
  <si>
    <t>89</t>
  </si>
  <si>
    <t>de294A49-6813-5A9E-F060-107F01006B26</t>
  </si>
  <si>
    <t>90</t>
  </si>
  <si>
    <t>de294A49-6813-5A9E-F060-107F01006B27</t>
  </si>
  <si>
    <t>91</t>
  </si>
  <si>
    <t>de2E4A49-6813-5A9E-F060-007F01006A66</t>
  </si>
  <si>
    <t>92</t>
  </si>
  <si>
    <t>de2E4A49-6813-5A9E-F060-107F01006A66</t>
  </si>
  <si>
    <t>101</t>
  </si>
  <si>
    <t>行内标识码超长（最大长100）。</t>
  </si>
  <si>
    <t>93</t>
  </si>
  <si>
    <t>de304A49-6813-5A9E-F060-007F01006A66</t>
  </si>
  <si>
    <t>94</t>
  </si>
  <si>
    <t>de304A71-6813-5A9E-F060-007F01006A66</t>
  </si>
  <si>
    <t>95</t>
  </si>
  <si>
    <t>de304A73-6813-5A9E-F060-007F01006A66</t>
  </si>
  <si>
    <t>96</t>
  </si>
  <si>
    <t>de314A49-6813-5A9E-F060-007F01006A66</t>
  </si>
  <si>
    <t>97</t>
  </si>
  <si>
    <t>de314A58-6813-5A9E-F060-007F01006A66</t>
  </si>
  <si>
    <t>98</t>
  </si>
  <si>
    <t>de314A60-6813-5A9E-F060-007F01006A66</t>
  </si>
  <si>
    <t>de314A61-6813-5A9E-F060-007F01006A66</t>
  </si>
  <si>
    <t>yyyy-MM-dd</t>
  </si>
  <si>
    <t>募集起始日期（从）必须为日期格式（YYYY-MM-DD）且为正确的日期。</t>
  </si>
  <si>
    <t>100</t>
  </si>
  <si>
    <t>de314A61-6813-5A9E-F060-107F01006A66</t>
  </si>
  <si>
    <t>de314A62-6813-5A9E-F060-007F01006A66</t>
  </si>
  <si>
    <t>募集起始日期（到）必须为日期格式（YYYY-MM-DD）且为正确的日期。</t>
  </si>
  <si>
    <t>102</t>
  </si>
  <si>
    <t>de314A62-6813-5A9E-F060-107F01006A66</t>
  </si>
  <si>
    <t>103</t>
  </si>
  <si>
    <t>de324A49-6813-5A9E-F060-007F01006A65</t>
  </si>
  <si>
    <t>104</t>
  </si>
  <si>
    <t>de324A49-6813-5A9E-F060-107F01006A65</t>
  </si>
  <si>
    <t>最短持有期后是否自由赎回要素必须为空。</t>
  </si>
  <si>
    <t>105</t>
  </si>
  <si>
    <t>de334A49-6813-5A9E-F060-007F01006A65</t>
  </si>
  <si>
    <t>106</t>
  </si>
  <si>
    <t>de344A49-6813-5A9E-F060-007F01006A65</t>
  </si>
  <si>
    <t>107</t>
  </si>
  <si>
    <t>de374A49-6813-5A9E-F060-007F01006A65</t>
  </si>
  <si>
    <t>108</t>
  </si>
  <si>
    <t>de384A49-6813-5A9E-F060-007F01006A65</t>
  </si>
  <si>
    <t>109</t>
  </si>
  <si>
    <t>de384A49-6813-5A9E-F060-107F01006A65</t>
  </si>
  <si>
    <t>110</t>
  </si>
  <si>
    <t>de394A49-6813-5A9E-F060-007F01006A65</t>
  </si>
  <si>
    <t>111</t>
  </si>
  <si>
    <t>de394A49-6813-5A9E-F060-107F01006A65</t>
  </si>
  <si>
    <t>112</t>
  </si>
  <si>
    <t>de3F4B49-6813-5A9E-F060-007F01006A66</t>
  </si>
  <si>
    <t>产品品牌过长（最大长120）。</t>
  </si>
  <si>
    <t>113</t>
  </si>
  <si>
    <t>de404A49-6813-5A9E-F060-007F01006A65</t>
  </si>
  <si>
    <t>114</t>
  </si>
  <si>
    <t>de434A49-6813-5A9E-F060-007F01006A65</t>
  </si>
  <si>
    <t>115</t>
  </si>
  <si>
    <t>de444A49-6813-5A9E-F060-007F01006A65</t>
  </si>
  <si>
    <t>116</t>
  </si>
  <si>
    <t xml:space="preserve">de444A49-6813-5A9E-F060-17F01006A65 </t>
  </si>
  <si>
    <t>117</t>
  </si>
  <si>
    <t>de454A49-6813-5A9E-F060-007F01006A65</t>
  </si>
  <si>
    <t>118</t>
  </si>
  <si>
    <t>de454A49-6813-5A9E-F060-107F01006A65</t>
  </si>
  <si>
    <t>119</t>
  </si>
  <si>
    <t>de464101-6813-5A9E-F060-007F01006A65</t>
  </si>
  <si>
    <t>120</t>
  </si>
  <si>
    <t>de464101-6813-5A9E-F060-107F01006A65</t>
  </si>
  <si>
    <t>de464A49-6813-5A9E-F060-007F01006A65</t>
  </si>
  <si>
    <t>122</t>
  </si>
  <si>
    <t>de464A49-6813-5A9E-F060-107F01006A65</t>
  </si>
  <si>
    <t>123</t>
  </si>
  <si>
    <t>de464A63-6813-5A9E-F060-007F01006A65</t>
  </si>
  <si>
    <t>124</t>
  </si>
  <si>
    <t>de464A63-6813-5A9E-F060-107F01006A65</t>
  </si>
  <si>
    <t>125</t>
  </si>
  <si>
    <t>de464A64-6813-5A9E-F060-007F01006A65</t>
  </si>
  <si>
    <t>126</t>
  </si>
  <si>
    <t>de464A64-6813-5A9E-F060-107F01006A65</t>
  </si>
  <si>
    <t>127</t>
  </si>
  <si>
    <t>de464A69-6813-5A9E-F060-007F01006A65</t>
  </si>
  <si>
    <t>128</t>
  </si>
  <si>
    <t>de464A70-6813-5A9E-F060-007F01006A65</t>
  </si>
  <si>
    <t>境外托管机构国别不能填写中国。</t>
  </si>
  <si>
    <t>129</t>
  </si>
  <si>
    <t>de464A83-6813-5A9E-F060-007F01006A65</t>
  </si>
  <si>
    <t>130</t>
  </si>
  <si>
    <t>de464A83-6813-5A9E-F060-107F01006A65</t>
  </si>
  <si>
    <t>131</t>
  </si>
  <si>
    <t>de464A84-6813-5A9E-F060-007F01006A65</t>
  </si>
  <si>
    <t>132</t>
  </si>
  <si>
    <t>de464A85-6813-5A9E-F060-007F01006A65</t>
  </si>
  <si>
    <t>133</t>
  </si>
  <si>
    <t>de464A85-6813-5A9E-F060-107F01006A65</t>
  </si>
  <si>
    <t>134</t>
  </si>
  <si>
    <t>de464A88-6813-5A9E-F060-007F01006A65</t>
  </si>
  <si>
    <t>135</t>
  </si>
  <si>
    <t>de469111-6813-5A9E-F060-007F01006A65</t>
  </si>
  <si>
    <t>136</t>
  </si>
  <si>
    <t>de474A49-6813-5A9E-F060-007F01006A65</t>
  </si>
  <si>
    <t>137</t>
  </si>
  <si>
    <t>de484A49-6813-5A9E-F060-007F01006A65</t>
  </si>
  <si>
    <t>138</t>
  </si>
  <si>
    <t>de494A49-6813-5A9E-F060-007F01006A65</t>
  </si>
  <si>
    <t>投资资产种类及比例超长（最大长）300</t>
  </si>
  <si>
    <t>139</t>
  </si>
  <si>
    <t>de494A49-6813-5A9E-F060-107F01006A65</t>
  </si>
  <si>
    <t>140</t>
  </si>
  <si>
    <t>de494A74-6813-5A9E-F060-007F01006A65</t>
  </si>
  <si>
    <t>141</t>
  </si>
  <si>
    <t>de4E4A49-6813-5A9E-F060-007F01006A66</t>
  </si>
  <si>
    <t>142</t>
  </si>
  <si>
    <t>de4E4A49-6813-5A9E-F060-107F01006A66</t>
  </si>
  <si>
    <t>143</t>
  </si>
  <si>
    <t>de4E4A50-6813-5A9E-F060-007F01006A66</t>
  </si>
  <si>
    <t>144</t>
  </si>
  <si>
    <t>de4E4A50-6813-5A9E-F060-107F01006A66</t>
  </si>
  <si>
    <t>145</t>
  </si>
  <si>
    <t>de4E4A57-6813-5A9E-F060-007F01006A66</t>
  </si>
  <si>
    <t>146</t>
  </si>
  <si>
    <t>de4E4A57-6813-5A9E-F060-107F01006A66</t>
  </si>
  <si>
    <t>147</t>
  </si>
  <si>
    <t>de4E4A59-6813-5A9E-F060-007F01006A66</t>
  </si>
  <si>
    <t>148</t>
  </si>
  <si>
    <t>de4E4A59-6813-5A9E-F060-107F01006A66</t>
  </si>
  <si>
    <t>149</t>
  </si>
  <si>
    <t>de4E4A65-6813-5A9E-F060-007F01006A66</t>
  </si>
  <si>
    <t>150</t>
  </si>
  <si>
    <t>de4E4A65-6813-5A9E-F060-107F01006A66</t>
  </si>
  <si>
    <t>151</t>
  </si>
  <si>
    <t>de4E4A66-6813-5A9E-F060-007F01006A66</t>
  </si>
  <si>
    <t>152</t>
  </si>
  <si>
    <t>de4E4A67-6813-5A9E-F060-007F01006A66</t>
  </si>
  <si>
    <t>153</t>
  </si>
  <si>
    <t>de4E4A67-6813-5A9E-F060-107F01006A66</t>
  </si>
  <si>
    <t>154</t>
  </si>
  <si>
    <t>de4E4A68-6813-5A9E-F060-007F01006A66</t>
  </si>
  <si>
    <t>155</t>
  </si>
  <si>
    <t>de5E4A49-6813-5A9E-F060-007F01006A66</t>
  </si>
  <si>
    <t>156</t>
  </si>
  <si>
    <t>de6E4A49-6813-5A9E-F060-007F01006A66</t>
  </si>
  <si>
    <t>157</t>
  </si>
  <si>
    <t>de6E4A49-6813-5A9E-F060-107F01006A66</t>
  </si>
  <si>
    <t>158</t>
  </si>
  <si>
    <t>de7E4A49-6813-5A9E-F060-007F01006A66</t>
  </si>
  <si>
    <t>159</t>
  </si>
  <si>
    <t>de8E4A49-6813-5A9E-F060-007F01006A66</t>
  </si>
  <si>
    <t>160</t>
  </si>
  <si>
    <t>de8E4A49-6813-5A9E-F060-107F21206A66</t>
  </si>
  <si>
    <t>inArray</t>
  </si>
  <si>
    <t>产品风险等级必须选择“01 一级（低）”。</t>
  </si>
  <si>
    <t>161</t>
  </si>
  <si>
    <t>de8E4A49-6813-5A9E-F060-107F21206A67</t>
  </si>
  <si>
    <t>01,02</t>
  </si>
  <si>
    <t>产品风险等级必须选择“01 一级（低）”或者“02 二级（中低）”。</t>
  </si>
  <si>
    <t>162</t>
  </si>
  <si>
    <t>de8E4A49-6813-5A9E-F060-107F21206A68</t>
  </si>
  <si>
    <t>01,02,03</t>
  </si>
  <si>
    <t>产品风险等级必须选择“01 一级（低）”或者“02 二级（中低）”或者“03 三级（中）”。</t>
  </si>
  <si>
    <t>163</t>
  </si>
  <si>
    <t>de8E4A49-6813-5A9E-F060-107F21206A69</t>
  </si>
  <si>
    <t>01,02,03,04</t>
  </si>
  <si>
    <t>产品风险等级必须选择“01 一级（低）”或者“02 二级（中低）”或者“03 三级（中）”或者“04 四级（中高）”。</t>
  </si>
  <si>
    <t>164</t>
  </si>
  <si>
    <t>de9E4A49-6813-5A9E-F060-007F01006A66</t>
  </si>
  <si>
    <t>de3F4B49-6810-5A9E-E150-007F01006A83</t>
  </si>
  <si>
    <t>02,03</t>
  </si>
  <si>
    <t>当“资金投向地区”要素选择“02 境外”或“03 境内和境外”时</t>
  </si>
  <si>
    <t>2F3E4A49-6810-5A9E-E650-A49F01006A16</t>
  </si>
  <si>
    <t>当“资金投向地区”要素选择“02 境外”时</t>
  </si>
  <si>
    <t>de3F4B49-6810-5A9E-E650-A49F01006A08</t>
  </si>
  <si>
    <t>若“产品增信标识”选择“01 有”时</t>
  </si>
  <si>
    <t>de3F4B49-6810-5A9E-E650-A49F01006A03</t>
  </si>
  <si>
    <t>de3F4B49-6810-5A9E-E650-A49F01006A04</t>
  </si>
  <si>
    <t>当“资金投向地区”要素选择“01 境内”时</t>
  </si>
  <si>
    <t>de3F4B49-6810-5A9E-E650-A49F01006A05</t>
  </si>
  <si>
    <t>de3F4B49-6810-5A9E-E650-A49F01006A07</t>
  </si>
  <si>
    <t>de3F4B49-6810-5A9E-E650-A49F01006A09</t>
  </si>
  <si>
    <t>“产品增信标识”选择 “02 无”时</t>
  </si>
  <si>
    <t>de3F4B49-6810-5A9E-E650-A49F01006A11</t>
  </si>
  <si>
    <t>de3F4B49-6810-5A9E-E650-A49F01006A12</t>
  </si>
  <si>
    <t>de3F4B49-6810-5A9E-E650-A49F01006A13</t>
  </si>
  <si>
    <t>de3F4B49-6810-5A9E-E650-A49F01006A14</t>
  </si>
  <si>
    <t>de3F4B49-6810-5A9E-E650-A49F01006A15</t>
  </si>
  <si>
    <t>de3F4B49-6810-5A9E-E650-A49F01006A16</t>
  </si>
  <si>
    <t>de3F4B49-6810-5A9E-E650-A49F01006A17</t>
  </si>
  <si>
    <t>de3F4B49-6810-5A9E-E650-A49F01006A18</t>
  </si>
  <si>
    <t>de3F4B49-6810-5A9E-E350-007F01006A83</t>
  </si>
  <si>
    <t>de3F4B49-6810-5A9E-E550-007F01006A83</t>
  </si>
  <si>
    <t>01,03</t>
  </si>
  <si>
    <t>当“资金投向地区”要素选择“01 境内”或“03 境内和境外”时</t>
  </si>
  <si>
    <t>de3F4B49-6810-5A9E-E650-007F01006A83</t>
  </si>
  <si>
    <t>当“资金投向地区”要素选择“02境外”时</t>
  </si>
  <si>
    <t>de3F4B49-6810-1A9E-E650-007F01006A83</t>
  </si>
  <si>
    <t>03,04</t>
  </si>
  <si>
    <t>当“产品运作模式”要素选择“03 开放式净值型”或“04 开放式非净值型”时</t>
  </si>
  <si>
    <t>de3F4B49-6810-2A9E-E750-107F01006A83</t>
  </si>
  <si>
    <t>当“产品运作模式”要素选择“01 封闭式净值型”或“02 封闭式非净值型”时</t>
  </si>
  <si>
    <t>de3F4B49-6810-2A9E-E750-207F01006A83</t>
  </si>
  <si>
    <t>de3F4B49-6810-5A9E-E650-207F01006A83</t>
  </si>
  <si>
    <t>当“是否设置最短持有期限”选择“01 是”时</t>
  </si>
  <si>
    <t>de3F4B49-6810-5A9E-E650-217F01006A83</t>
  </si>
  <si>
    <t>当“是否设置最短持有期限”选择“02 否”时</t>
  </si>
  <si>
    <t>de3F4B49-6810-5A9E-E650-A41201006A83</t>
  </si>
  <si>
    <t>de3F4B49-6810-5A9E-E650-A49F01006A01</t>
  </si>
  <si>
    <t>de3F4B49-6810-5A9E-E650-317F01006A83</t>
  </si>
  <si>
    <t>de3F4B49-6810-2A9E-E750-007F01006A83</t>
  </si>
  <si>
    <t>de3F4B49-6810-5A9E-E650-417F01006A83</t>
  </si>
  <si>
    <t>de3F4B49-6810-5A9E-E650-517F01006A83</t>
  </si>
  <si>
    <t>de3F4B49-6810-5A9E-E650-817F01006A83</t>
  </si>
  <si>
    <t>de3F4B49-6810-5A9E-E650-917F01006A83</t>
  </si>
  <si>
    <t>当“产品管理模式”要素选择“03 资产管理公司”或“02 其他机构为实际管理人”时</t>
  </si>
  <si>
    <t>de3F4B49-6810-5A9E-E650-A37F01006A83</t>
  </si>
  <si>
    <t>01,04</t>
  </si>
  <si>
    <t>当“产品管理模式”要素选择“01 银行为实际管理人” 或“04 特殊目的载体（SPV）”时</t>
  </si>
  <si>
    <t>de3F4B49-6810-5A9E-E650-A41001006A83</t>
  </si>
  <si>
    <t>de3F4B49-6810-5A9E-E650-A41101006A83</t>
  </si>
  <si>
    <t>de3F4B49-6810-5A9E-E650-A49F01006A10</t>
  </si>
  <si>
    <t>de3F4B49-6810-5A9E-E650-A48F01006A83</t>
  </si>
  <si>
    <t>当“合作模式”要素选择除“01 独立运作”以外的其他选项时</t>
  </si>
  <si>
    <t>de3F4B49-6810-5A9E-E650-A47F01006A83</t>
  </si>
  <si>
    <t>当“合作模式”要素选择 “01 独立运作”时</t>
  </si>
  <si>
    <t>de3F4B49-6810-5A9E-E650-327F01006A83</t>
  </si>
  <si>
    <t>inArrayMin</t>
  </si>
  <si>
    <t>当[投资者风险偏好]选择“01 保守型”时</t>
  </si>
  <si>
    <t>de3F4B49-6810-5A9E-E650-327F01006A84</t>
  </si>
  <si>
    <t>当[投资者风险偏好]选择“02 稳健型”时</t>
  </si>
  <si>
    <t>de3F4B49-6810-5A9E-E650-327F01006A85</t>
  </si>
  <si>
    <t>03</t>
  </si>
  <si>
    <t>当[投资者风险偏好]选择“03 平衡型”时</t>
  </si>
  <si>
    <t>de3F4B49-6810-5A9E-E650-327F01006A86</t>
  </si>
  <si>
    <t>04</t>
  </si>
  <si>
    <t>当[投资者风险偏好]选择“04 成长型”时</t>
  </si>
  <si>
    <t>1</t>
    <phoneticPr fontId="2" type="noConversion"/>
  </si>
  <si>
    <t>2</t>
    <phoneticPr fontId="2" type="noConversion"/>
  </si>
  <si>
    <t>产品名称必须填写白名单中的文字，仅可由汉字、阿拉伯数字、英文字母组成，建议名称中不要含有任何符号。</t>
    <phoneticPr fontId="2" type="noConversion"/>
  </si>
  <si>
    <t>CHB_PRD_DECLARE_SUB</t>
    <phoneticPr fontId="4" type="noConversion"/>
  </si>
  <si>
    <t>delete from chb_datacheck_condition t where t.checkruleid in (select checkruleid from chb_datacheck_rule t where t.datatype = 'CHB_PRD_DECLARE_SUB');</t>
    <phoneticPr fontId="2" type="noConversion"/>
  </si>
  <si>
    <t>CHB_PRD_DECLARE_SUB</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</si>
</sst>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family val="2"/>
      <scheme val="minor"/>
    </font>
    <font>
      <sz val="10"/>
      <color theme="1"/>
      <name val="宋体"/>
      <family val="3"/>
      <charset val="134"/>
      <scheme val="minor"/>
    </font>
    <font>
      <sz val="9"/>
      <name val="宋体"/>
      <family val="3"/>
      <charset val="134"/>
      <scheme val="minor"/>
    </font>
    <font>
      <b/>
      <sz val="10"/>
      <color theme="1"/>
      <name val="宋体"/>
      <family val="3"/>
      <charset val="134"/>
      <scheme val="minor"/>
    </font>
    <font>
      <sz val="9"/>
      <name val="黑体"/>
      <family val="3"/>
      <charset val="134"/>
    </font>
    <font>
      <sz val="9"/>
      <color theme="1"/>
      <name val="宋体"/>
      <family val="3"/>
      <charset val="134"/>
      <scheme val="minor"/>
    </font>
    <font>
      <b/>
      <sz val="9"/>
      <color theme="1"/>
      <name val="宋体"/>
      <family val="3"/>
      <charset val="134"/>
      <scheme val="minor"/>
    </font>
  </fonts>
  <fills count="4">
    <fill>
      <patternFill patternType="none"/>
    </fill>
    <fill>
      <patternFill patternType="gray125"/>
    </fill>
    <fill>
      <patternFill patternType="solid">
        <fgColor theme="9" tint="0.39994506668294322"/>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Fill="1" applyBorder="1" applyAlignment="1">
      <alignment vertical="center"/>
    </xf>
    <xf numFmtId="49" fontId="1" fillId="2" borderId="0" xfId="0" applyNumberFormat="1" applyFont="1" applyFill="1" applyBorder="1" applyAlignment="1">
      <alignment vertical="center"/>
    </xf>
    <xf numFmtId="49" fontId="5" fillId="2" borderId="0" xfId="0" applyNumberFormat="1" applyFont="1" applyFill="1" applyBorder="1" applyAlignment="1">
      <alignment vertical="center"/>
    </xf>
    <xf numFmtId="49" fontId="1" fillId="0" borderId="0" xfId="0" applyNumberFormat="1" applyFont="1" applyAlignment="1">
      <alignment vertical="center"/>
    </xf>
    <xf numFmtId="49" fontId="5" fillId="0" borderId="0" xfId="0" applyNumberFormat="1" applyFont="1" applyAlignment="1"/>
    <xf numFmtId="49" fontId="1" fillId="0" borderId="0" xfId="0" applyNumberFormat="1" applyFont="1" applyFill="1" applyBorder="1" applyAlignment="1">
      <alignment vertical="center"/>
    </xf>
    <xf numFmtId="49" fontId="1" fillId="2" borderId="0" xfId="0" applyNumberFormat="1" applyFont="1" applyFill="1" applyBorder="1" applyAlignment="1">
      <alignment vertical="center" wrapText="1"/>
    </xf>
    <xf numFmtId="49" fontId="1" fillId="0" borderId="0" xfId="0" applyNumberFormat="1" applyFont="1" applyFill="1" applyBorder="1" applyAlignment="1">
      <alignment horizontal="center" vertical="center"/>
    </xf>
    <xf numFmtId="49" fontId="1" fillId="0" borderId="0" xfId="0" applyNumberFormat="1" applyFont="1" applyAlignment="1"/>
    <xf numFmtId="49" fontId="5" fillId="0" borderId="0" xfId="0" applyNumberFormat="1" applyFont="1" applyFill="1" applyBorder="1" applyAlignment="1">
      <alignment vertical="center"/>
    </xf>
    <xf numFmtId="49" fontId="5" fillId="2" borderId="0" xfId="0" applyNumberFormat="1" applyFont="1" applyFill="1" applyBorder="1" applyAlignment="1">
      <alignment vertical="center" wrapText="1"/>
    </xf>
    <xf numFmtId="49" fontId="5" fillId="2" borderId="0" xfId="0" applyNumberFormat="1" applyFont="1" applyFill="1" applyBorder="1" applyAlignment="1">
      <alignment horizontal="center" vertical="center" wrapText="1"/>
    </xf>
    <xf numFmtId="49" fontId="3" fillId="3" borderId="0" xfId="0" applyNumberFormat="1" applyFont="1" applyFill="1" applyBorder="1" applyAlignment="1">
      <alignment horizontal="center" vertical="center" wrapText="1"/>
    </xf>
    <xf numFmtId="49" fontId="6" fillId="3" borderId="0" xfId="0" applyNumberFormat="1" applyFont="1" applyFill="1" applyBorder="1" applyAlignment="1">
      <alignment horizontal="center"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7"/>
  <sheetViews>
    <sheetView tabSelected="1" workbookViewId="0">
      <selection activeCell="A4" sqref="A4"/>
    </sheetView>
  </sheetViews>
  <sheetFormatPr defaultColWidth="9" defaultRowHeight="12" x14ac:dyDescent="0.15"/>
  <cols>
    <col min="1" max="1" width="9" style="9"/>
    <col min="2" max="2" width="34.875" style="4" bestFit="1" customWidth="1"/>
    <col min="3" max="3" width="21.875" style="4" customWidth="1"/>
    <col min="4" max="4" width="20.625" style="4" customWidth="1"/>
    <col min="5" max="5" width="23.25" style="4" customWidth="1"/>
    <col min="6" max="6" width="14" style="4" customWidth="1"/>
    <col min="7" max="7" width="9" style="4"/>
    <col min="8" max="8" width="15.5" style="4" customWidth="1"/>
    <col min="9" max="9" width="9" style="9"/>
    <col min="10" max="10" width="27.25" style="9" customWidth="1"/>
    <col min="11" max="11" width="6.625" style="9" customWidth="1"/>
    <col min="12" max="12" width="9" style="9"/>
    <col min="13" max="13" width="10.625" style="9" customWidth="1"/>
    <col min="14" max="14" width="5" style="9" bestFit="1" customWidth="1"/>
    <col min="15" max="15" width="8.5" style="9" bestFit="1" customWidth="1"/>
    <col min="16" max="16" width="25.125" style="9" customWidth="1"/>
    <col min="17" max="17" width="26.375" style="9" customWidth="1"/>
    <col min="18" max="257" width="9" style="9"/>
    <col min="258" max="258" width="22.25" style="9" customWidth="1"/>
    <col min="259" max="259" width="9" style="9"/>
    <col min="260" max="260" width="15.5" style="9" customWidth="1"/>
    <col min="261" max="261" width="11.875" style="9" customWidth="1"/>
    <col min="262" max="262" width="14" style="9" customWidth="1"/>
    <col min="263" max="513" width="9" style="9"/>
    <col min="514" max="514" width="22.25" style="9" customWidth="1"/>
    <col min="515" max="515" width="9" style="9"/>
    <col min="516" max="516" width="15.5" style="9" customWidth="1"/>
    <col min="517" max="517" width="11.875" style="9" customWidth="1"/>
    <col min="518" max="518" width="14" style="9" customWidth="1"/>
    <col min="519" max="769" width="9" style="9"/>
    <col min="770" max="770" width="22.25" style="9" customWidth="1"/>
    <col min="771" max="771" width="9" style="9"/>
    <col min="772" max="772" width="15.5" style="9" customWidth="1"/>
    <col min="773" max="773" width="11.875" style="9" customWidth="1"/>
    <col min="774" max="774" width="14" style="9" customWidth="1"/>
    <col min="775" max="1025" width="9" style="9"/>
    <col min="1026" max="1026" width="22.25" style="9" customWidth="1"/>
    <col min="1027" max="1027" width="9" style="9"/>
    <col min="1028" max="1028" width="15.5" style="9" customWidth="1"/>
    <col min="1029" max="1029" width="11.875" style="9" customWidth="1"/>
    <col min="1030" max="1030" width="14" style="9" customWidth="1"/>
    <col min="1031" max="1281" width="9" style="9"/>
    <col min="1282" max="1282" width="22.25" style="9" customWidth="1"/>
    <col min="1283" max="1283" width="9" style="9"/>
    <col min="1284" max="1284" width="15.5" style="9" customWidth="1"/>
    <col min="1285" max="1285" width="11.875" style="9" customWidth="1"/>
    <col min="1286" max="1286" width="14" style="9" customWidth="1"/>
    <col min="1287" max="1537" width="9" style="9"/>
    <col min="1538" max="1538" width="22.25" style="9" customWidth="1"/>
    <col min="1539" max="1539" width="9" style="9"/>
    <col min="1540" max="1540" width="15.5" style="9" customWidth="1"/>
    <col min="1541" max="1541" width="11.875" style="9" customWidth="1"/>
    <col min="1542" max="1542" width="14" style="9" customWidth="1"/>
    <col min="1543" max="1793" width="9" style="9"/>
    <col min="1794" max="1794" width="22.25" style="9" customWidth="1"/>
    <col min="1795" max="1795" width="9" style="9"/>
    <col min="1796" max="1796" width="15.5" style="9" customWidth="1"/>
    <col min="1797" max="1797" width="11.875" style="9" customWidth="1"/>
    <col min="1798" max="1798" width="14" style="9" customWidth="1"/>
    <col min="1799" max="2049" width="9" style="9"/>
    <col min="2050" max="2050" width="22.25" style="9" customWidth="1"/>
    <col min="2051" max="2051" width="9" style="9"/>
    <col min="2052" max="2052" width="15.5" style="9" customWidth="1"/>
    <col min="2053" max="2053" width="11.875" style="9" customWidth="1"/>
    <col min="2054" max="2054" width="14" style="9" customWidth="1"/>
    <col min="2055" max="2305" width="9" style="9"/>
    <col min="2306" max="2306" width="22.25" style="9" customWidth="1"/>
    <col min="2307" max="2307" width="9" style="9"/>
    <col min="2308" max="2308" width="15.5" style="9" customWidth="1"/>
    <col min="2309" max="2309" width="11.875" style="9" customWidth="1"/>
    <col min="2310" max="2310" width="14" style="9" customWidth="1"/>
    <col min="2311" max="2561" width="9" style="9"/>
    <col min="2562" max="2562" width="22.25" style="9" customWidth="1"/>
    <col min="2563" max="2563" width="9" style="9"/>
    <col min="2564" max="2564" width="15.5" style="9" customWidth="1"/>
    <col min="2565" max="2565" width="11.875" style="9" customWidth="1"/>
    <col min="2566" max="2566" width="14" style="9" customWidth="1"/>
    <col min="2567" max="2817" width="9" style="9"/>
    <col min="2818" max="2818" width="22.25" style="9" customWidth="1"/>
    <col min="2819" max="2819" width="9" style="9"/>
    <col min="2820" max="2820" width="15.5" style="9" customWidth="1"/>
    <col min="2821" max="2821" width="11.875" style="9" customWidth="1"/>
    <col min="2822" max="2822" width="14" style="9" customWidth="1"/>
    <col min="2823" max="3073" width="9" style="9"/>
    <col min="3074" max="3074" width="22.25" style="9" customWidth="1"/>
    <col min="3075" max="3075" width="9" style="9"/>
    <col min="3076" max="3076" width="15.5" style="9" customWidth="1"/>
    <col min="3077" max="3077" width="11.875" style="9" customWidth="1"/>
    <col min="3078" max="3078" width="14" style="9" customWidth="1"/>
    <col min="3079" max="3329" width="9" style="9"/>
    <col min="3330" max="3330" width="22.25" style="9" customWidth="1"/>
    <col min="3331" max="3331" width="9" style="9"/>
    <col min="3332" max="3332" width="15.5" style="9" customWidth="1"/>
    <col min="3333" max="3333" width="11.875" style="9" customWidth="1"/>
    <col min="3334" max="3334" width="14" style="9" customWidth="1"/>
    <col min="3335" max="3585" width="9" style="9"/>
    <col min="3586" max="3586" width="22.25" style="9" customWidth="1"/>
    <col min="3587" max="3587" width="9" style="9"/>
    <col min="3588" max="3588" width="15.5" style="9" customWidth="1"/>
    <col min="3589" max="3589" width="11.875" style="9" customWidth="1"/>
    <col min="3590" max="3590" width="14" style="9" customWidth="1"/>
    <col min="3591" max="3841" width="9" style="9"/>
    <col min="3842" max="3842" width="22.25" style="9" customWidth="1"/>
    <col min="3843" max="3843" width="9" style="9"/>
    <col min="3844" max="3844" width="15.5" style="9" customWidth="1"/>
    <col min="3845" max="3845" width="11.875" style="9" customWidth="1"/>
    <col min="3846" max="3846" width="14" style="9" customWidth="1"/>
    <col min="3847" max="4097" width="9" style="9"/>
    <col min="4098" max="4098" width="22.25" style="9" customWidth="1"/>
    <col min="4099" max="4099" width="9" style="9"/>
    <col min="4100" max="4100" width="15.5" style="9" customWidth="1"/>
    <col min="4101" max="4101" width="11.875" style="9" customWidth="1"/>
    <col min="4102" max="4102" width="14" style="9" customWidth="1"/>
    <col min="4103" max="4353" width="9" style="9"/>
    <col min="4354" max="4354" width="22.25" style="9" customWidth="1"/>
    <col min="4355" max="4355" width="9" style="9"/>
    <col min="4356" max="4356" width="15.5" style="9" customWidth="1"/>
    <col min="4357" max="4357" width="11.875" style="9" customWidth="1"/>
    <col min="4358" max="4358" width="14" style="9" customWidth="1"/>
    <col min="4359" max="4609" width="9" style="9"/>
    <col min="4610" max="4610" width="22.25" style="9" customWidth="1"/>
    <col min="4611" max="4611" width="9" style="9"/>
    <col min="4612" max="4612" width="15.5" style="9" customWidth="1"/>
    <col min="4613" max="4613" width="11.875" style="9" customWidth="1"/>
    <col min="4614" max="4614" width="14" style="9" customWidth="1"/>
    <col min="4615" max="4865" width="9" style="9"/>
    <col min="4866" max="4866" width="22.25" style="9" customWidth="1"/>
    <col min="4867" max="4867" width="9" style="9"/>
    <col min="4868" max="4868" width="15.5" style="9" customWidth="1"/>
    <col min="4869" max="4869" width="11.875" style="9" customWidth="1"/>
    <col min="4870" max="4870" width="14" style="9" customWidth="1"/>
    <col min="4871" max="5121" width="9" style="9"/>
    <col min="5122" max="5122" width="22.25" style="9" customWidth="1"/>
    <col min="5123" max="5123" width="9" style="9"/>
    <col min="5124" max="5124" width="15.5" style="9" customWidth="1"/>
    <col min="5125" max="5125" width="11.875" style="9" customWidth="1"/>
    <col min="5126" max="5126" width="14" style="9" customWidth="1"/>
    <col min="5127" max="5377" width="9" style="9"/>
    <col min="5378" max="5378" width="22.25" style="9" customWidth="1"/>
    <col min="5379" max="5379" width="9" style="9"/>
    <col min="5380" max="5380" width="15.5" style="9" customWidth="1"/>
    <col min="5381" max="5381" width="11.875" style="9" customWidth="1"/>
    <col min="5382" max="5382" width="14" style="9" customWidth="1"/>
    <col min="5383" max="5633" width="9" style="9"/>
    <col min="5634" max="5634" width="22.25" style="9" customWidth="1"/>
    <col min="5635" max="5635" width="9" style="9"/>
    <col min="5636" max="5636" width="15.5" style="9" customWidth="1"/>
    <col min="5637" max="5637" width="11.875" style="9" customWidth="1"/>
    <col min="5638" max="5638" width="14" style="9" customWidth="1"/>
    <col min="5639" max="5889" width="9" style="9"/>
    <col min="5890" max="5890" width="22.25" style="9" customWidth="1"/>
    <col min="5891" max="5891" width="9" style="9"/>
    <col min="5892" max="5892" width="15.5" style="9" customWidth="1"/>
    <col min="5893" max="5893" width="11.875" style="9" customWidth="1"/>
    <col min="5894" max="5894" width="14" style="9" customWidth="1"/>
    <col min="5895" max="6145" width="9" style="9"/>
    <col min="6146" max="6146" width="22.25" style="9" customWidth="1"/>
    <col min="6147" max="6147" width="9" style="9"/>
    <col min="6148" max="6148" width="15.5" style="9" customWidth="1"/>
    <col min="6149" max="6149" width="11.875" style="9" customWidth="1"/>
    <col min="6150" max="6150" width="14" style="9" customWidth="1"/>
    <col min="6151" max="6401" width="9" style="9"/>
    <col min="6402" max="6402" width="22.25" style="9" customWidth="1"/>
    <col min="6403" max="6403" width="9" style="9"/>
    <col min="6404" max="6404" width="15.5" style="9" customWidth="1"/>
    <col min="6405" max="6405" width="11.875" style="9" customWidth="1"/>
    <col min="6406" max="6406" width="14" style="9" customWidth="1"/>
    <col min="6407" max="6657" width="9" style="9"/>
    <col min="6658" max="6658" width="22.25" style="9" customWidth="1"/>
    <col min="6659" max="6659" width="9" style="9"/>
    <col min="6660" max="6660" width="15.5" style="9" customWidth="1"/>
    <col min="6661" max="6661" width="11.875" style="9" customWidth="1"/>
    <col min="6662" max="6662" width="14" style="9" customWidth="1"/>
    <col min="6663" max="6913" width="9" style="9"/>
    <col min="6914" max="6914" width="22.25" style="9" customWidth="1"/>
    <col min="6915" max="6915" width="9" style="9"/>
    <col min="6916" max="6916" width="15.5" style="9" customWidth="1"/>
    <col min="6917" max="6917" width="11.875" style="9" customWidth="1"/>
    <col min="6918" max="6918" width="14" style="9" customWidth="1"/>
    <col min="6919" max="7169" width="9" style="9"/>
    <col min="7170" max="7170" width="22.25" style="9" customWidth="1"/>
    <col min="7171" max="7171" width="9" style="9"/>
    <col min="7172" max="7172" width="15.5" style="9" customWidth="1"/>
    <col min="7173" max="7173" width="11.875" style="9" customWidth="1"/>
    <col min="7174" max="7174" width="14" style="9" customWidth="1"/>
    <col min="7175" max="7425" width="9" style="9"/>
    <col min="7426" max="7426" width="22.25" style="9" customWidth="1"/>
    <col min="7427" max="7427" width="9" style="9"/>
    <col min="7428" max="7428" width="15.5" style="9" customWidth="1"/>
    <col min="7429" max="7429" width="11.875" style="9" customWidth="1"/>
    <col min="7430" max="7430" width="14" style="9" customWidth="1"/>
    <col min="7431" max="7681" width="9" style="9"/>
    <col min="7682" max="7682" width="22.25" style="9" customWidth="1"/>
    <col min="7683" max="7683" width="9" style="9"/>
    <col min="7684" max="7684" width="15.5" style="9" customWidth="1"/>
    <col min="7685" max="7685" width="11.875" style="9" customWidth="1"/>
    <col min="7686" max="7686" width="14" style="9" customWidth="1"/>
    <col min="7687" max="7937" width="9" style="9"/>
    <col min="7938" max="7938" width="22.25" style="9" customWidth="1"/>
    <col min="7939" max="7939" width="9" style="9"/>
    <col min="7940" max="7940" width="15.5" style="9" customWidth="1"/>
    <col min="7941" max="7941" width="11.875" style="9" customWidth="1"/>
    <col min="7942" max="7942" width="14" style="9" customWidth="1"/>
    <col min="7943" max="8193" width="9" style="9"/>
    <col min="8194" max="8194" width="22.25" style="9" customWidth="1"/>
    <col min="8195" max="8195" width="9" style="9"/>
    <col min="8196" max="8196" width="15.5" style="9" customWidth="1"/>
    <col min="8197" max="8197" width="11.875" style="9" customWidth="1"/>
    <col min="8198" max="8198" width="14" style="9" customWidth="1"/>
    <col min="8199" max="8449" width="9" style="9"/>
    <col min="8450" max="8450" width="22.25" style="9" customWidth="1"/>
    <col min="8451" max="8451" width="9" style="9"/>
    <col min="8452" max="8452" width="15.5" style="9" customWidth="1"/>
    <col min="8453" max="8453" width="11.875" style="9" customWidth="1"/>
    <col min="8454" max="8454" width="14" style="9" customWidth="1"/>
    <col min="8455" max="8705" width="9" style="9"/>
    <col min="8706" max="8706" width="22.25" style="9" customWidth="1"/>
    <col min="8707" max="8707" width="9" style="9"/>
    <col min="8708" max="8708" width="15.5" style="9" customWidth="1"/>
    <col min="8709" max="8709" width="11.875" style="9" customWidth="1"/>
    <col min="8710" max="8710" width="14" style="9" customWidth="1"/>
    <col min="8711" max="8961" width="9" style="9"/>
    <col min="8962" max="8962" width="22.25" style="9" customWidth="1"/>
    <col min="8963" max="8963" width="9" style="9"/>
    <col min="8964" max="8964" width="15.5" style="9" customWidth="1"/>
    <col min="8965" max="8965" width="11.875" style="9" customWidth="1"/>
    <col min="8966" max="8966" width="14" style="9" customWidth="1"/>
    <col min="8967" max="9217" width="9" style="9"/>
    <col min="9218" max="9218" width="22.25" style="9" customWidth="1"/>
    <col min="9219" max="9219" width="9" style="9"/>
    <col min="9220" max="9220" width="15.5" style="9" customWidth="1"/>
    <col min="9221" max="9221" width="11.875" style="9" customWidth="1"/>
    <col min="9222" max="9222" width="14" style="9" customWidth="1"/>
    <col min="9223" max="9473" width="9" style="9"/>
    <col min="9474" max="9474" width="22.25" style="9" customWidth="1"/>
    <col min="9475" max="9475" width="9" style="9"/>
    <col min="9476" max="9476" width="15.5" style="9" customWidth="1"/>
    <col min="9477" max="9477" width="11.875" style="9" customWidth="1"/>
    <col min="9478" max="9478" width="14" style="9" customWidth="1"/>
    <col min="9479" max="9729" width="9" style="9"/>
    <col min="9730" max="9730" width="22.25" style="9" customWidth="1"/>
    <col min="9731" max="9731" width="9" style="9"/>
    <col min="9732" max="9732" width="15.5" style="9" customWidth="1"/>
    <col min="9733" max="9733" width="11.875" style="9" customWidth="1"/>
    <col min="9734" max="9734" width="14" style="9" customWidth="1"/>
    <col min="9735" max="9985" width="9" style="9"/>
    <col min="9986" max="9986" width="22.25" style="9" customWidth="1"/>
    <col min="9987" max="9987" width="9" style="9"/>
    <col min="9988" max="9988" width="15.5" style="9" customWidth="1"/>
    <col min="9989" max="9989" width="11.875" style="9" customWidth="1"/>
    <col min="9990" max="9990" width="14" style="9" customWidth="1"/>
    <col min="9991" max="10241" width="9" style="9"/>
    <col min="10242" max="10242" width="22.25" style="9" customWidth="1"/>
    <col min="10243" max="10243" width="9" style="9"/>
    <col min="10244" max="10244" width="15.5" style="9" customWidth="1"/>
    <col min="10245" max="10245" width="11.875" style="9" customWidth="1"/>
    <col min="10246" max="10246" width="14" style="9" customWidth="1"/>
    <col min="10247" max="10497" width="9" style="9"/>
    <col min="10498" max="10498" width="22.25" style="9" customWidth="1"/>
    <col min="10499" max="10499" width="9" style="9"/>
    <col min="10500" max="10500" width="15.5" style="9" customWidth="1"/>
    <col min="10501" max="10501" width="11.875" style="9" customWidth="1"/>
    <col min="10502" max="10502" width="14" style="9" customWidth="1"/>
    <col min="10503" max="10753" width="9" style="9"/>
    <col min="10754" max="10754" width="22.25" style="9" customWidth="1"/>
    <col min="10755" max="10755" width="9" style="9"/>
    <col min="10756" max="10756" width="15.5" style="9" customWidth="1"/>
    <col min="10757" max="10757" width="11.875" style="9" customWidth="1"/>
    <col min="10758" max="10758" width="14" style="9" customWidth="1"/>
    <col min="10759" max="11009" width="9" style="9"/>
    <col min="11010" max="11010" width="22.25" style="9" customWidth="1"/>
    <col min="11011" max="11011" width="9" style="9"/>
    <col min="11012" max="11012" width="15.5" style="9" customWidth="1"/>
    <col min="11013" max="11013" width="11.875" style="9" customWidth="1"/>
    <col min="11014" max="11014" width="14" style="9" customWidth="1"/>
    <col min="11015" max="11265" width="9" style="9"/>
    <col min="11266" max="11266" width="22.25" style="9" customWidth="1"/>
    <col min="11267" max="11267" width="9" style="9"/>
    <col min="11268" max="11268" width="15.5" style="9" customWidth="1"/>
    <col min="11269" max="11269" width="11.875" style="9" customWidth="1"/>
    <col min="11270" max="11270" width="14" style="9" customWidth="1"/>
    <col min="11271" max="11521" width="9" style="9"/>
    <col min="11522" max="11522" width="22.25" style="9" customWidth="1"/>
    <col min="11523" max="11523" width="9" style="9"/>
    <col min="11524" max="11524" width="15.5" style="9" customWidth="1"/>
    <col min="11525" max="11525" width="11.875" style="9" customWidth="1"/>
    <col min="11526" max="11526" width="14" style="9" customWidth="1"/>
    <col min="11527" max="11777" width="9" style="9"/>
    <col min="11778" max="11778" width="22.25" style="9" customWidth="1"/>
    <col min="11779" max="11779" width="9" style="9"/>
    <col min="11780" max="11780" width="15.5" style="9" customWidth="1"/>
    <col min="11781" max="11781" width="11.875" style="9" customWidth="1"/>
    <col min="11782" max="11782" width="14" style="9" customWidth="1"/>
    <col min="11783" max="12033" width="9" style="9"/>
    <col min="12034" max="12034" width="22.25" style="9" customWidth="1"/>
    <col min="12035" max="12035" width="9" style="9"/>
    <col min="12036" max="12036" width="15.5" style="9" customWidth="1"/>
    <col min="12037" max="12037" width="11.875" style="9" customWidth="1"/>
    <col min="12038" max="12038" width="14" style="9" customWidth="1"/>
    <col min="12039" max="12289" width="9" style="9"/>
    <col min="12290" max="12290" width="22.25" style="9" customWidth="1"/>
    <col min="12291" max="12291" width="9" style="9"/>
    <col min="12292" max="12292" width="15.5" style="9" customWidth="1"/>
    <col min="12293" max="12293" width="11.875" style="9" customWidth="1"/>
    <col min="12294" max="12294" width="14" style="9" customWidth="1"/>
    <col min="12295" max="12545" width="9" style="9"/>
    <col min="12546" max="12546" width="22.25" style="9" customWidth="1"/>
    <col min="12547" max="12547" width="9" style="9"/>
    <col min="12548" max="12548" width="15.5" style="9" customWidth="1"/>
    <col min="12549" max="12549" width="11.875" style="9" customWidth="1"/>
    <col min="12550" max="12550" width="14" style="9" customWidth="1"/>
    <col min="12551" max="12801" width="9" style="9"/>
    <col min="12802" max="12802" width="22.25" style="9" customWidth="1"/>
    <col min="12803" max="12803" width="9" style="9"/>
    <col min="12804" max="12804" width="15.5" style="9" customWidth="1"/>
    <col min="12805" max="12805" width="11.875" style="9" customWidth="1"/>
    <col min="12806" max="12806" width="14" style="9" customWidth="1"/>
    <col min="12807" max="13057" width="9" style="9"/>
    <col min="13058" max="13058" width="22.25" style="9" customWidth="1"/>
    <col min="13059" max="13059" width="9" style="9"/>
    <col min="13060" max="13060" width="15.5" style="9" customWidth="1"/>
    <col min="13061" max="13061" width="11.875" style="9" customWidth="1"/>
    <col min="13062" max="13062" width="14" style="9" customWidth="1"/>
    <col min="13063" max="13313" width="9" style="9"/>
    <col min="13314" max="13314" width="22.25" style="9" customWidth="1"/>
    <col min="13315" max="13315" width="9" style="9"/>
    <col min="13316" max="13316" width="15.5" style="9" customWidth="1"/>
    <col min="13317" max="13317" width="11.875" style="9" customWidth="1"/>
    <col min="13318" max="13318" width="14" style="9" customWidth="1"/>
    <col min="13319" max="13569" width="9" style="9"/>
    <col min="13570" max="13570" width="22.25" style="9" customWidth="1"/>
    <col min="13571" max="13571" width="9" style="9"/>
    <col min="13572" max="13572" width="15.5" style="9" customWidth="1"/>
    <col min="13573" max="13573" width="11.875" style="9" customWidth="1"/>
    <col min="13574" max="13574" width="14" style="9" customWidth="1"/>
    <col min="13575" max="13825" width="9" style="9"/>
    <col min="13826" max="13826" width="22.25" style="9" customWidth="1"/>
    <col min="13827" max="13827" width="9" style="9"/>
    <col min="13828" max="13828" width="15.5" style="9" customWidth="1"/>
    <col min="13829" max="13829" width="11.875" style="9" customWidth="1"/>
    <col min="13830" max="13830" width="14" style="9" customWidth="1"/>
    <col min="13831" max="14081" width="9" style="9"/>
    <col min="14082" max="14082" width="22.25" style="9" customWidth="1"/>
    <col min="14083" max="14083" width="9" style="9"/>
    <col min="14084" max="14084" width="15.5" style="9" customWidth="1"/>
    <col min="14085" max="14085" width="11.875" style="9" customWidth="1"/>
    <col min="14086" max="14086" width="14" style="9" customWidth="1"/>
    <col min="14087" max="14337" width="9" style="9"/>
    <col min="14338" max="14338" width="22.25" style="9" customWidth="1"/>
    <col min="14339" max="14339" width="9" style="9"/>
    <col min="14340" max="14340" width="15.5" style="9" customWidth="1"/>
    <col min="14341" max="14341" width="11.875" style="9" customWidth="1"/>
    <col min="14342" max="14342" width="14" style="9" customWidth="1"/>
    <col min="14343" max="14593" width="9" style="9"/>
    <col min="14594" max="14594" width="22.25" style="9" customWidth="1"/>
    <col min="14595" max="14595" width="9" style="9"/>
    <col min="14596" max="14596" width="15.5" style="9" customWidth="1"/>
    <col min="14597" max="14597" width="11.875" style="9" customWidth="1"/>
    <col min="14598" max="14598" width="14" style="9" customWidth="1"/>
    <col min="14599" max="14849" width="9" style="9"/>
    <col min="14850" max="14850" width="22.25" style="9" customWidth="1"/>
    <col min="14851" max="14851" width="9" style="9"/>
    <col min="14852" max="14852" width="15.5" style="9" customWidth="1"/>
    <col min="14853" max="14853" width="11.875" style="9" customWidth="1"/>
    <col min="14854" max="14854" width="14" style="9" customWidth="1"/>
    <col min="14855" max="15105" width="9" style="9"/>
    <col min="15106" max="15106" width="22.25" style="9" customWidth="1"/>
    <col min="15107" max="15107" width="9" style="9"/>
    <col min="15108" max="15108" width="15.5" style="9" customWidth="1"/>
    <col min="15109" max="15109" width="11.875" style="9" customWidth="1"/>
    <col min="15110" max="15110" width="14" style="9" customWidth="1"/>
    <col min="15111" max="15361" width="9" style="9"/>
    <col min="15362" max="15362" width="22.25" style="9" customWidth="1"/>
    <col min="15363" max="15363" width="9" style="9"/>
    <col min="15364" max="15364" width="15.5" style="9" customWidth="1"/>
    <col min="15365" max="15365" width="11.875" style="9" customWidth="1"/>
    <col min="15366" max="15366" width="14" style="9" customWidth="1"/>
    <col min="15367" max="15617" width="9" style="9"/>
    <col min="15618" max="15618" width="22.25" style="9" customWidth="1"/>
    <col min="15619" max="15619" width="9" style="9"/>
    <col min="15620" max="15620" width="15.5" style="9" customWidth="1"/>
    <col min="15621" max="15621" width="11.875" style="9" customWidth="1"/>
    <col min="15622" max="15622" width="14" style="9" customWidth="1"/>
    <col min="15623" max="15873" width="9" style="9"/>
    <col min="15874" max="15874" width="22.25" style="9" customWidth="1"/>
    <col min="15875" max="15875" width="9" style="9"/>
    <col min="15876" max="15876" width="15.5" style="9" customWidth="1"/>
    <col min="15877" max="15877" width="11.875" style="9" customWidth="1"/>
    <col min="15878" max="15878" width="14" style="9" customWidth="1"/>
    <col min="15879" max="16129" width="9" style="9"/>
    <col min="16130" max="16130" width="22.25" style="9" customWidth="1"/>
    <col min="16131" max="16131" width="9" style="9"/>
    <col min="16132" max="16132" width="15.5" style="9" customWidth="1"/>
    <col min="16133" max="16133" width="11.875" style="9" customWidth="1"/>
    <col min="16134" max="16134" width="14" style="9" customWidth="1"/>
    <col min="16135" max="16384" width="9" style="9"/>
  </cols>
  <sheetData>
    <row r="1" spans="1:12" s="6" customFormat="1" x14ac:dyDescent="0.15">
      <c r="B1" s="7" t="s">
        <v>0</v>
      </c>
      <c r="C1" s="7" t="s">
        <v>1</v>
      </c>
      <c r="D1" s="2" t="s">
        <v>2</v>
      </c>
      <c r="E1" s="2" t="s">
        <v>3</v>
      </c>
      <c r="F1" s="2" t="s">
        <v>4</v>
      </c>
      <c r="G1" s="2" t="s">
        <v>5</v>
      </c>
      <c r="H1" s="2" t="s">
        <v>6</v>
      </c>
      <c r="I1" s="7" t="s">
        <v>7</v>
      </c>
      <c r="J1" s="2" t="s">
        <v>8</v>
      </c>
      <c r="K1" s="2" t="s">
        <v>9</v>
      </c>
    </row>
    <row r="2" spans="1:12" s="6" customFormat="1" x14ac:dyDescent="0.15">
      <c r="A2" s="8" t="s">
        <v>10</v>
      </c>
      <c r="B2" s="7" t="s">
        <v>11</v>
      </c>
      <c r="C2" s="7" t="s">
        <v>12</v>
      </c>
      <c r="D2" s="2" t="s">
        <v>13</v>
      </c>
      <c r="E2" s="2" t="s">
        <v>14</v>
      </c>
      <c r="F2" s="2" t="s">
        <v>15</v>
      </c>
      <c r="G2" s="2" t="s">
        <v>16</v>
      </c>
      <c r="H2" s="2" t="s">
        <v>17</v>
      </c>
      <c r="I2" s="2" t="s">
        <v>18</v>
      </c>
      <c r="J2" s="2" t="s">
        <v>19</v>
      </c>
      <c r="K2" s="2" t="s">
        <v>20</v>
      </c>
    </row>
    <row r="3" spans="1:12" s="6" customFormat="1" x14ac:dyDescent="0.15">
      <c r="B3" s="13" t="s">
        <v>713</v>
      </c>
      <c r="C3" s="13"/>
      <c r="D3" s="13"/>
      <c r="E3" s="13"/>
      <c r="F3" s="13"/>
      <c r="G3" s="13"/>
      <c r="H3" s="13"/>
      <c r="I3" s="13"/>
      <c r="J3" s="13"/>
      <c r="K3" s="13"/>
      <c r="L3" s="6" t="s">
        <v>278</v>
      </c>
    </row>
    <row r="4" spans="1:12" x14ac:dyDescent="0.15">
      <c r="A4" s="9" t="s">
        <v>279</v>
      </c>
      <c r="B4" s="4" t="s">
        <v>280</v>
      </c>
      <c r="C4" s="4" t="s">
        <v>277</v>
      </c>
      <c r="D4" s="4" t="s">
        <v>21</v>
      </c>
      <c r="E4" s="4" t="s">
        <v>27</v>
      </c>
      <c r="F4" s="4" t="s">
        <v>197</v>
      </c>
      <c r="G4" s="4" t="s">
        <v>70</v>
      </c>
      <c r="H4" s="4" t="s">
        <v>28</v>
      </c>
      <c r="I4" s="9" t="s">
        <v>29</v>
      </c>
      <c r="J4" s="9" t="s">
        <v>200</v>
      </c>
      <c r="K4" s="9" t="s">
        <v>26</v>
      </c>
      <c r="L4" s="1" t="str">
        <f>CONCATENATE("insert into CHB_DATACHECK_RULE (CHECKRULEID,DATATYPE,CHECKCLASS,CHECKMETHOD,SRCPROPERTY,COMPARETO,OBJVALUE,REMARK,STATUS,NULLABLE) values ('",B4,"','",C4,"','",D4,"','",E4,"','",F4,"','",G4,"','",H4,"','",J4,"','",K4,"','",I4,"');")</f>
        <v>insert into CHB_DATACHECK_RULE (CHECKRULEID,DATATYPE,CHECKCLASS,CHECKMETHOD,SRCPROPERTY,COMPARETO,OBJVALUE,REMARK,STATUS,NULLABLE) values ('11194A80-6813-5A9E-F060-007F01006A66','CHB_PRD_DECLARE_SUB','com.joyintech.tams.common.svreport.datacheck.service.BaseCheckLib','lessThanCharLength','OUT_DEP_NAME','==','201','境外托管机构名称要素超长（200）','E','Y');</v>
      </c>
    </row>
    <row r="5" spans="1:12" x14ac:dyDescent="0.15">
      <c r="A5" s="9" t="s">
        <v>281</v>
      </c>
      <c r="B5" s="4" t="s">
        <v>282</v>
      </c>
      <c r="C5" s="4" t="s">
        <v>277</v>
      </c>
      <c r="D5" s="4" t="s">
        <v>21</v>
      </c>
      <c r="E5" s="4" t="s">
        <v>134</v>
      </c>
      <c r="F5" s="4" t="s">
        <v>133</v>
      </c>
      <c r="H5" s="4" t="s">
        <v>135</v>
      </c>
      <c r="I5" s="9" t="s">
        <v>29</v>
      </c>
      <c r="J5" s="9" t="s">
        <v>136</v>
      </c>
      <c r="K5" s="9" t="s">
        <v>26</v>
      </c>
      <c r="L5" s="1" t="str">
        <f t="shared" ref="L5:L68" si="0">CONCATENATE("insert into CHB_DATACHECK_RULE (CHECKRULEID,DATATYPE,CHECKCLASS,CHECKMETHOD,SRCPROPERTY,COMPARETO,OBJVALUE,REMARK,STATUS,NULLABLE) values ('",B5,"','",C5,"','",D5,"','",E5,"','",F5,"','",G5,"','",H5,"','",J5,"','",K5,"','",I5,"');")</f>
        <v>insert into CHB_DATACHECK_RULE (CHECKRULEID,DATATYPE,CHECKCLASS,CHECKMETHOD,SRCPROPERTY,COMPARETO,OBJVALUE,REMARK,STATUS,NULLABLE) values ('11294A49-6813-5A9E-F060-007F01006A67','CHB_PRD_DECLARE_SUB','com.joyintech.tams.common.svreport.datacheck.service.BaseCheckLib','isNumber','SHORT_TERM','','5,0','最短持有期限（天）必须为n..5格式。','E','Y');</v>
      </c>
    </row>
    <row r="6" spans="1:12" x14ac:dyDescent="0.15">
      <c r="A6" s="9" t="s">
        <v>283</v>
      </c>
      <c r="B6" s="4" t="s">
        <v>284</v>
      </c>
      <c r="C6" s="4" t="s">
        <v>277</v>
      </c>
      <c r="D6" s="4" t="s">
        <v>21</v>
      </c>
      <c r="E6" s="4" t="s">
        <v>69</v>
      </c>
      <c r="F6" s="4" t="s">
        <v>249</v>
      </c>
      <c r="G6" s="4" t="s">
        <v>70</v>
      </c>
      <c r="H6" s="4" t="s">
        <v>252</v>
      </c>
      <c r="I6" s="9" t="s">
        <v>29</v>
      </c>
      <c r="J6" s="9" t="s">
        <v>253</v>
      </c>
      <c r="K6" s="9" t="s">
        <v>26</v>
      </c>
      <c r="L6" s="1" t="str">
        <f t="shared" si="0"/>
        <v>insert into CHB_DATACHECK_RULE (CHECKRULEID,DATATYPE,CHECKCLASS,CHECKMETHOD,SRCPROPERTY,COMPARETO,OBJVALUE,REMARK,STATUS,NULLABLE) values ('1e184A86-6813-5A9E-F060-007F01006A66','CHB_PRD_DECLARE_SUB','com.joyintech.tams.common.svreport.datacheck.service.BaseCheckLib','inDatadict','CREDIT_MODE','==','SVR_CREDIT_MODE','产品增信形式要素不在值域范围内','E','Y');</v>
      </c>
    </row>
    <row r="7" spans="1:12" x14ac:dyDescent="0.15">
      <c r="A7" s="9" t="s">
        <v>285</v>
      </c>
      <c r="B7" s="4" t="s">
        <v>286</v>
      </c>
      <c r="C7" s="4" t="s">
        <v>277</v>
      </c>
      <c r="D7" s="4" t="s">
        <v>21</v>
      </c>
      <c r="E7" s="4" t="s">
        <v>27</v>
      </c>
      <c r="F7" s="4" t="s">
        <v>8</v>
      </c>
      <c r="G7" s="4" t="s">
        <v>70</v>
      </c>
      <c r="H7" s="4" t="s">
        <v>259</v>
      </c>
      <c r="I7" s="9" t="s">
        <v>29</v>
      </c>
      <c r="J7" s="9" t="s">
        <v>260</v>
      </c>
      <c r="K7" s="9" t="s">
        <v>26</v>
      </c>
      <c r="L7" s="1" t="str">
        <f t="shared" si="0"/>
        <v>insert into CHB_DATACHECK_RULE (CHECKRULEID,DATATYPE,CHECKCLASS,CHECKMETHOD,SRCPROPERTY,COMPARETO,OBJVALUE,REMARK,STATUS,NULLABLE) values ('1e194A89-6813-5A9E-F060-007F01006A66','CHB_PRD_DECLARE_SUB','com.joyintech.tams.common.svreport.datacheck.service.BaseCheckLib','lessThanCharLength','REMARK','==','257','备注要素超长（256）','E','Y');</v>
      </c>
    </row>
    <row r="8" spans="1:12" x14ac:dyDescent="0.15">
      <c r="A8" s="9" t="s">
        <v>287</v>
      </c>
      <c r="B8" s="4" t="s">
        <v>288</v>
      </c>
      <c r="C8" s="4" t="s">
        <v>277</v>
      </c>
      <c r="D8" s="4" t="s">
        <v>21</v>
      </c>
      <c r="E8" s="4" t="s">
        <v>69</v>
      </c>
      <c r="F8" s="4" t="s">
        <v>89</v>
      </c>
      <c r="G8" s="4" t="s">
        <v>70</v>
      </c>
      <c r="H8" s="4" t="s">
        <v>92</v>
      </c>
      <c r="I8" s="9" t="s">
        <v>29</v>
      </c>
      <c r="J8" s="9" t="s">
        <v>93</v>
      </c>
      <c r="K8" s="9" t="s">
        <v>26</v>
      </c>
      <c r="L8" s="1" t="str">
        <f t="shared" si="0"/>
        <v>insert into CHB_DATACHECK_RULE (CHECKRULEID,DATATYPE,CHECKCLASS,CHECKMETHOD,SRCPROPERTY,COMPARETO,OBJVALUE,REMARK,STATUS,NULLABLE) values ('1e234A49-6813-5A9E-F060-007F01006A66','CHB_PRD_DECLARE_SUB','com.joyintech.tams.common.svreport.datacheck.service.BaseCheckLib','inDatadict','FINAN_SER_MODEL','==','SVR_SERVICEMODE','理财业务服务模式要素不在值域范围内','E','Y');</v>
      </c>
    </row>
    <row r="9" spans="1:12" x14ac:dyDescent="0.15">
      <c r="A9" s="9" t="s">
        <v>289</v>
      </c>
      <c r="B9" s="4" t="s">
        <v>290</v>
      </c>
      <c r="C9" s="4" t="s">
        <v>277</v>
      </c>
      <c r="D9" s="4" t="s">
        <v>21</v>
      </c>
      <c r="E9" s="4" t="s">
        <v>22</v>
      </c>
      <c r="F9" s="4" t="s">
        <v>94</v>
      </c>
      <c r="I9" s="9" t="s">
        <v>24</v>
      </c>
      <c r="J9" s="9" t="s">
        <v>95</v>
      </c>
      <c r="K9" s="9" t="s">
        <v>26</v>
      </c>
      <c r="L9" s="1" t="str">
        <f t="shared" si="0"/>
        <v>insert into CHB_DATACHECK_RULE (CHECKRULEID,DATATYPE,CHECKCLASS,CHECKMETHOD,SRCPROPERTY,COMPARETO,OBJVALUE,REMARK,STATUS,NULLABLE) values ('1e234A49-6813-5A9E-F060-107F01006A66','CHB_PRD_DECLARE_SUB','com.joyintech.tams.common.svreport.datacheck.service.BaseCheckLib','isNotEmpty','OPERATE_MODE','','','产品运作模式要素不可为空。','E','N');</v>
      </c>
    </row>
    <row r="10" spans="1:12" x14ac:dyDescent="0.15">
      <c r="A10" s="9" t="s">
        <v>291</v>
      </c>
      <c r="B10" s="4" t="s">
        <v>292</v>
      </c>
      <c r="C10" s="4" t="s">
        <v>277</v>
      </c>
      <c r="D10" s="4" t="s">
        <v>21</v>
      </c>
      <c r="E10" s="4" t="s">
        <v>69</v>
      </c>
      <c r="F10" s="4" t="s">
        <v>139</v>
      </c>
      <c r="G10" s="4" t="s">
        <v>70</v>
      </c>
      <c r="H10" s="4" t="s">
        <v>142</v>
      </c>
      <c r="I10" s="9" t="s">
        <v>29</v>
      </c>
      <c r="J10" s="9" t="s">
        <v>143</v>
      </c>
      <c r="K10" s="9" t="s">
        <v>26</v>
      </c>
      <c r="L10" s="1" t="str">
        <f t="shared" si="0"/>
        <v>insert into CHB_DATACHECK_RULE (CHECKRULEID,DATATYPE,CHECKCLASS,CHECKMETHOD,SRCPROPERTY,COMPARETO,OBJVALUE,REMARK,STATUS,NULLABLE) values ('1e324A49-6813-5A9E-F060-007F01006A66','CHB_PRD_DECLARE_SUB','com.joyintech.tams.common.svreport.datacheck.service.BaseCheckLib','inDatadict','IS_FREE_REDEM','==','SVR_YN_REDEM','最短持有期后是否自由赎回要素不在值域范围内','E','Y');</v>
      </c>
    </row>
    <row r="11" spans="1:12" x14ac:dyDescent="0.15">
      <c r="A11" s="9" t="s">
        <v>293</v>
      </c>
      <c r="B11" s="4" t="s">
        <v>294</v>
      </c>
      <c r="C11" s="4" t="s">
        <v>277</v>
      </c>
      <c r="D11" s="4" t="s">
        <v>21</v>
      </c>
      <c r="E11" s="4" t="s">
        <v>69</v>
      </c>
      <c r="F11" s="4" t="s">
        <v>144</v>
      </c>
      <c r="G11" s="4" t="s">
        <v>70</v>
      </c>
      <c r="H11" s="4" t="s">
        <v>77</v>
      </c>
      <c r="I11" s="9" t="s">
        <v>29</v>
      </c>
      <c r="J11" s="9" t="s">
        <v>147</v>
      </c>
      <c r="K11" s="9" t="s">
        <v>26</v>
      </c>
      <c r="L11" s="1" t="str">
        <f t="shared" si="0"/>
        <v>insert into CHB_DATACHECK_RULE (CHECKRULEID,DATATYPE,CHECKCLASS,CHECKMETHOD,SRCPROPERTY,COMPARETO,OBJVALUE,REMARK,STATUS,NULLABLE) values ('1e364A49-6813-5A9E-F060-007F01006A66','CHB_PRD_DECLARE_SUB','com.joyintech.tams.common.svreport.datacheck.service.BaseCheckLib','inDatadict','CASH_MANA_CATE','==','YES_NO','是否现金管理类要素不在值域范围内','E','Y');</v>
      </c>
    </row>
    <row r="12" spans="1:12" x14ac:dyDescent="0.15">
      <c r="A12" s="9" t="s">
        <v>295</v>
      </c>
      <c r="B12" s="4" t="s">
        <v>296</v>
      </c>
      <c r="C12" s="4" t="s">
        <v>277</v>
      </c>
      <c r="D12" s="4" t="s">
        <v>21</v>
      </c>
      <c r="E12" s="4" t="s">
        <v>27</v>
      </c>
      <c r="F12" s="4" t="s">
        <v>110</v>
      </c>
      <c r="G12" s="4" t="s">
        <v>70</v>
      </c>
      <c r="H12" s="4" t="s">
        <v>113</v>
      </c>
      <c r="I12" s="9" t="s">
        <v>29</v>
      </c>
      <c r="J12" s="9" t="s">
        <v>114</v>
      </c>
      <c r="K12" s="9" t="s">
        <v>26</v>
      </c>
      <c r="L12" s="1" t="str">
        <f t="shared" si="0"/>
        <v>insert into CHB_DATACHECK_RULE (CHECKRULEID,DATATYPE,CHECKCLASS,CHECKMETHOD,SRCPROPERTY,COMPARETO,OBJVALUE,REMARK,STATUS,NULLABLE) values ('1e424A49-6813-5A9E-F060-007F01006A66','CHB_PRD_DECLARE_SUB','com.joyintech.tams.common.svreport.datacheck.service.BaseCheckLib','lessThanCharLength','MNAME','==','121','实际管理人名称要素超长（最大长）120','E','Y');</v>
      </c>
    </row>
    <row r="13" spans="1:12" x14ac:dyDescent="0.15">
      <c r="A13" s="9" t="s">
        <v>297</v>
      </c>
      <c r="B13" s="4" t="s">
        <v>298</v>
      </c>
      <c r="C13" s="4" t="s">
        <v>277</v>
      </c>
      <c r="D13" s="4" t="s">
        <v>21</v>
      </c>
      <c r="E13" s="4" t="s">
        <v>27</v>
      </c>
      <c r="F13" s="4" t="s">
        <v>230</v>
      </c>
      <c r="H13" s="4" t="s">
        <v>113</v>
      </c>
      <c r="I13" s="9" t="s">
        <v>29</v>
      </c>
      <c r="J13" s="9" t="s">
        <v>233</v>
      </c>
      <c r="K13" s="9" t="s">
        <v>26</v>
      </c>
      <c r="L13" s="1" t="str">
        <f t="shared" si="0"/>
        <v>insert into CHB_DATACHECK_RULE (CHECKRULEID,DATATYPE,CHECKCLASS,CHECKMETHOD,SRCPROPERTY,COMPARETO,OBJVALUE,REMARK,STATUS,NULLABLE) values ('1e464A49-6813-5A9E-F060-007F01006A66','CHB_PRD_DECLARE_SUB','com.joyintech.tams.common.svreport.datacheck.service.BaseCheckLib','lessThanCharLength','COOPERATION_NAME','','121','合作机构名称要素超长（最大长）120','E','Y');</v>
      </c>
    </row>
    <row r="14" spans="1:12" x14ac:dyDescent="0.15">
      <c r="A14" s="9" t="s">
        <v>299</v>
      </c>
      <c r="B14" s="4" t="s">
        <v>300</v>
      </c>
      <c r="C14" s="4" t="s">
        <v>277</v>
      </c>
      <c r="D14" s="4" t="s">
        <v>21</v>
      </c>
      <c r="E14" s="4" t="s">
        <v>69</v>
      </c>
      <c r="F14" s="4" t="s">
        <v>183</v>
      </c>
      <c r="G14" s="4" t="s">
        <v>70</v>
      </c>
      <c r="H14" s="4" t="s">
        <v>186</v>
      </c>
      <c r="I14" s="9" t="s">
        <v>29</v>
      </c>
      <c r="J14" s="9" t="s">
        <v>187</v>
      </c>
      <c r="K14" s="9" t="s">
        <v>26</v>
      </c>
      <c r="L14" s="1" t="str">
        <f t="shared" si="0"/>
        <v>insert into CHB_DATACHECK_RULE (CHECKRULEID,DATATYPE,CHECKCLASS,CHECKMETHOD,SRCPROPERTY,COMPARETO,OBJVALUE,REMARK,STATUS,NULLABLE) values ('1e4E4A67-6813-5A9E-F060-007F01006A67','CHB_PRD_DECLARE_SUB','com.joyintech.tams.common.svreport.datacheck.service.BaseCheckLib','inDatadict','IN_DEP_NAME','==','SVR_IN_DEP_NAME','境内托管机构名称不在值域范围内','E','Y');</v>
      </c>
    </row>
    <row r="15" spans="1:12" x14ac:dyDescent="0.15">
      <c r="A15" s="9" t="s">
        <v>301</v>
      </c>
      <c r="B15" s="4" t="s">
        <v>302</v>
      </c>
      <c r="C15" s="4" t="s">
        <v>277</v>
      </c>
      <c r="D15" s="4" t="s">
        <v>21</v>
      </c>
      <c r="E15" s="4" t="s">
        <v>27</v>
      </c>
      <c r="F15" s="4" t="s">
        <v>55</v>
      </c>
      <c r="H15" s="4" t="s">
        <v>57</v>
      </c>
      <c r="I15" s="9" t="s">
        <v>29</v>
      </c>
      <c r="J15" s="9" t="s">
        <v>303</v>
      </c>
      <c r="K15" s="9" t="s">
        <v>26</v>
      </c>
      <c r="L15" s="1" t="str">
        <f t="shared" si="0"/>
        <v>insert into CHB_DATACHECK_RULE (CHECKRULEID,DATATYPE,CHECKCLASS,CHECKMETHOD,SRCPROPERTY,COMPARETO,OBJVALUE,REMARK,STATUS,NULLABLE) values ('de104A49-6813-5A9E-F060-007F01006A66','CHB_PRD_DECLARE_SUB','com.joyintech.tams.common.svreport.datacheck.service.BaseCheckLib','lessThanCharLength','LIAISON_TEL','','31','业务联络人座机过长（最大长）30。','E','Y');</v>
      </c>
    </row>
    <row r="16" spans="1:12" x14ac:dyDescent="0.15">
      <c r="A16" s="9" t="s">
        <v>190</v>
      </c>
      <c r="B16" s="4" t="s">
        <v>304</v>
      </c>
      <c r="C16" s="4" t="s">
        <v>277</v>
      </c>
      <c r="D16" s="4" t="s">
        <v>21</v>
      </c>
      <c r="E16" s="4" t="s">
        <v>22</v>
      </c>
      <c r="F16" s="4" t="s">
        <v>55</v>
      </c>
      <c r="I16" s="9" t="s">
        <v>24</v>
      </c>
      <c r="J16" s="9" t="s">
        <v>56</v>
      </c>
      <c r="K16" s="9" t="s">
        <v>26</v>
      </c>
      <c r="L16" s="1" t="str">
        <f t="shared" si="0"/>
        <v>insert into CHB_DATACHECK_RULE (CHECKRULEID,DATATYPE,CHECKCLASS,CHECKMETHOD,SRCPROPERTY,COMPARETO,OBJVALUE,REMARK,STATUS,NULLABLE) values ('de104A49-6813-5A9E-F060-107F01006A66','CHB_PRD_DECLARE_SUB','com.joyintech.tams.common.svreport.datacheck.service.BaseCheckLib','isNotEmpty','LIAISON_TEL','','','业务联络人座机要素不可为空。','E','N');</v>
      </c>
    </row>
    <row r="17" spans="1:12" x14ac:dyDescent="0.15">
      <c r="A17" s="9" t="s">
        <v>305</v>
      </c>
      <c r="B17" s="4" t="s">
        <v>306</v>
      </c>
      <c r="C17" s="4" t="s">
        <v>277</v>
      </c>
      <c r="D17" s="4" t="s">
        <v>21</v>
      </c>
      <c r="E17" s="4" t="s">
        <v>22</v>
      </c>
      <c r="F17" s="4" t="s">
        <v>59</v>
      </c>
      <c r="I17" s="9" t="s">
        <v>24</v>
      </c>
      <c r="J17" s="9" t="s">
        <v>60</v>
      </c>
      <c r="K17" s="9" t="s">
        <v>26</v>
      </c>
      <c r="L17" s="1" t="str">
        <f t="shared" si="0"/>
        <v>insert into CHB_DATACHECK_RULE (CHECKRULEID,DATATYPE,CHECKCLASS,CHECKMETHOD,SRCPROPERTY,COMPARETO,OBJVALUE,REMARK,STATUS,NULLABLE) values ('de114A49-6813-5A9E-F060-007F01006A66','CHB_PRD_DECLARE_SUB','com.joyintech.tams.common.svreport.datacheck.service.BaseCheckLib','isNotEmpty','LIAISON_MOBILE','','','业务联络人手机必填','E','N');</v>
      </c>
    </row>
    <row r="18" spans="1:12" x14ac:dyDescent="0.15">
      <c r="A18" s="9" t="s">
        <v>307</v>
      </c>
      <c r="B18" s="4" t="s">
        <v>308</v>
      </c>
      <c r="C18" s="4" t="s">
        <v>277</v>
      </c>
      <c r="D18" s="4" t="s">
        <v>21</v>
      </c>
      <c r="E18" s="4" t="s">
        <v>27</v>
      </c>
      <c r="F18" s="4" t="s">
        <v>63</v>
      </c>
      <c r="H18" s="4" t="s">
        <v>65</v>
      </c>
      <c r="I18" s="9" t="s">
        <v>29</v>
      </c>
      <c r="J18" s="9" t="s">
        <v>309</v>
      </c>
      <c r="K18" s="9" t="s">
        <v>26</v>
      </c>
      <c r="L18" s="1" t="str">
        <f t="shared" si="0"/>
        <v>insert into CHB_DATACHECK_RULE (CHECKRULEID,DATATYPE,CHECKCLASS,CHECKMETHOD,SRCPROPERTY,COMPARETO,OBJVALUE,REMARK,STATUS,NULLABLE) values ('de124A49-6813-5A9E-F060-007F01006A66','CHB_PRD_DECLARE_SUB','com.joyintech.tams.common.svreport.datacheck.service.BaseCheckLib','lessThanCharLength','LIAISON_EMAIL','','51','业务联络人邮箱过长（最大长）50。','E','Y');</v>
      </c>
    </row>
    <row r="19" spans="1:12" x14ac:dyDescent="0.15">
      <c r="A19" s="9" t="s">
        <v>310</v>
      </c>
      <c r="B19" s="4" t="s">
        <v>311</v>
      </c>
      <c r="C19" s="4" t="s">
        <v>277</v>
      </c>
      <c r="D19" s="4" t="s">
        <v>21</v>
      </c>
      <c r="E19" s="4" t="s">
        <v>69</v>
      </c>
      <c r="F19" s="4" t="s">
        <v>67</v>
      </c>
      <c r="G19" s="4" t="s">
        <v>70</v>
      </c>
      <c r="H19" s="4" t="s">
        <v>71</v>
      </c>
      <c r="I19" s="9" t="s">
        <v>29</v>
      </c>
      <c r="J19" s="9" t="s">
        <v>72</v>
      </c>
      <c r="K19" s="9" t="s">
        <v>26</v>
      </c>
      <c r="L19" s="1" t="str">
        <f t="shared" si="0"/>
        <v>insert into CHB_DATACHECK_RULE (CHECKRULEID,DATATYPE,CHECKCLASS,CHECKMETHOD,SRCPROPERTY,COMPARETO,OBJVALUE,REMARK,STATUS,NULLABLE) values ('de134A49-6813-5A9E-F060-007F01006A65','CHB_PRD_DECLARE_SUB','com.joyintech.tams.common.svreport.datacheck.service.BaseCheckLib','inDatadict','PROFIT_TYPE','==','SVR_PROD_PROFIT_TYPE','产品收益类型不在值域范围内。','E','Y');</v>
      </c>
    </row>
    <row r="20" spans="1:12" x14ac:dyDescent="0.15">
      <c r="A20" s="9" t="s">
        <v>312</v>
      </c>
      <c r="B20" s="4" t="s">
        <v>313</v>
      </c>
      <c r="C20" s="4" t="s">
        <v>277</v>
      </c>
      <c r="D20" s="4" t="s">
        <v>21</v>
      </c>
      <c r="E20" s="4" t="s">
        <v>22</v>
      </c>
      <c r="F20" s="4" t="s">
        <v>73</v>
      </c>
      <c r="I20" s="9" t="s">
        <v>24</v>
      </c>
      <c r="J20" s="9" t="s">
        <v>314</v>
      </c>
      <c r="K20" s="9" t="s">
        <v>26</v>
      </c>
      <c r="L20" s="1" t="str">
        <f t="shared" si="0"/>
        <v>insert into CHB_DATACHECK_RULE (CHECKRULEID,DATATYPE,CHECKCLASS,CHECKMETHOD,SRCPROPERTY,COMPARETO,OBJVALUE,REMARK,STATUS,NULLABLE) values ('de134A49-6813-5A9E-F060-107F01006A65','CHB_PRD_DECLARE_SUB','com.joyintech.tams.common.svreport.datacheck.service.BaseCheckLib','isNotEmpty','TERMTYPE','','','产品期限要素不可为空。','E','N');</v>
      </c>
    </row>
    <row r="21" spans="1:12" x14ac:dyDescent="0.15">
      <c r="A21" s="9" t="s">
        <v>315</v>
      </c>
      <c r="B21" s="4" t="s">
        <v>316</v>
      </c>
      <c r="C21" s="4" t="s">
        <v>277</v>
      </c>
      <c r="D21" s="4" t="s">
        <v>21</v>
      </c>
      <c r="E21" s="4" t="s">
        <v>69</v>
      </c>
      <c r="F21" s="4" t="s">
        <v>73</v>
      </c>
      <c r="G21" s="4" t="s">
        <v>70</v>
      </c>
      <c r="H21" s="4" t="s">
        <v>74</v>
      </c>
      <c r="I21" s="9" t="s">
        <v>29</v>
      </c>
      <c r="J21" s="9" t="s">
        <v>317</v>
      </c>
      <c r="K21" s="9" t="s">
        <v>26</v>
      </c>
      <c r="L21" s="1" t="str">
        <f t="shared" si="0"/>
        <v>insert into CHB_DATACHECK_RULE (CHECKRULEID,DATATYPE,CHECKCLASS,CHECKMETHOD,SRCPROPERTY,COMPARETO,OBJVALUE,REMARK,STATUS,NULLABLE) values ('de144A49-6813-5A9E-F060-007F01006A65','CHB_PRD_DECLARE_SUB','com.joyintech.tams.common.svreport.datacheck.service.BaseCheckLib','inDatadict','TERMTYPE','==','SVR_PRODUCT_TERM','产品期限不在值域范围内。','E','Y');</v>
      </c>
    </row>
    <row r="22" spans="1:12" x14ac:dyDescent="0.15">
      <c r="A22" s="9" t="s">
        <v>318</v>
      </c>
      <c r="B22" s="4" t="s">
        <v>319</v>
      </c>
      <c r="C22" s="4" t="s">
        <v>277</v>
      </c>
      <c r="D22" s="4" t="s">
        <v>21</v>
      </c>
      <c r="E22" s="4" t="s">
        <v>22</v>
      </c>
      <c r="F22" s="4" t="s">
        <v>75</v>
      </c>
      <c r="I22" s="9" t="s">
        <v>24</v>
      </c>
      <c r="J22" s="9" t="s">
        <v>76</v>
      </c>
      <c r="K22" s="9" t="s">
        <v>26</v>
      </c>
      <c r="L22" s="1" t="str">
        <f t="shared" si="0"/>
        <v>insert into CHB_DATACHECK_RULE (CHECKRULEID,DATATYPE,CHECKCLASS,CHECKMETHOD,SRCPROPERTY,COMPARETO,OBJVALUE,REMARK,STATUS,NULLABLE) values ('de144A49-6813-5A9E-F060-107F01006A65','CHB_PRD_DECLARE_SUB','com.joyintech.tams.common.svreport.datacheck.service.BaseCheckLib','isNotEmpty','EXC_FIN_SECTOR','','','是否金融同业专属要素不可为空。','E','N');</v>
      </c>
    </row>
    <row r="23" spans="1:12" x14ac:dyDescent="0.15">
      <c r="A23" s="9" t="s">
        <v>320</v>
      </c>
      <c r="B23" s="4" t="s">
        <v>321</v>
      </c>
      <c r="C23" s="4" t="s">
        <v>277</v>
      </c>
      <c r="D23" s="4" t="s">
        <v>21</v>
      </c>
      <c r="E23" s="4" t="s">
        <v>69</v>
      </c>
      <c r="F23" s="4" t="s">
        <v>98</v>
      </c>
      <c r="G23" s="4" t="s">
        <v>70</v>
      </c>
      <c r="H23" s="4" t="s">
        <v>100</v>
      </c>
      <c r="I23" s="9" t="s">
        <v>29</v>
      </c>
      <c r="J23" s="9" t="s">
        <v>101</v>
      </c>
      <c r="K23" s="9" t="s">
        <v>26</v>
      </c>
      <c r="L23" s="1" t="str">
        <f t="shared" si="0"/>
        <v>insert into CHB_DATACHECK_RULE (CHECKRULEID,DATATYPE,CHECKCLASS,CHECKMETHOD,SRCPROPERTY,COMPARETO,OBJVALUE,REMARK,STATUS,NULLABLE) values ('de154A49-6813-5A9E-F060-007F01006A65','CHB_PRD_DECLARE_SUB','com.joyintech.tams.common.svreport.datacheck.service.BaseCheckLib','inDatadict','RAISE_TYPE','==','SVR_RAISE_TYPE','产品募集方式不在值域范围内。','E','Y');</v>
      </c>
    </row>
    <row r="24" spans="1:12" x14ac:dyDescent="0.15">
      <c r="A24" s="9" t="s">
        <v>322</v>
      </c>
      <c r="B24" s="4" t="s">
        <v>323</v>
      </c>
      <c r="C24" s="4" t="s">
        <v>277</v>
      </c>
      <c r="D24" s="4" t="s">
        <v>21</v>
      </c>
      <c r="E24" s="4" t="s">
        <v>22</v>
      </c>
      <c r="F24" s="4" t="s">
        <v>98</v>
      </c>
      <c r="I24" s="9" t="s">
        <v>24</v>
      </c>
      <c r="J24" s="9" t="s">
        <v>99</v>
      </c>
      <c r="K24" s="9" t="s">
        <v>26</v>
      </c>
      <c r="L24" s="1" t="str">
        <f t="shared" si="0"/>
        <v>insert into CHB_DATACHECK_RULE (CHECKRULEID,DATATYPE,CHECKCLASS,CHECKMETHOD,SRCPROPERTY,COMPARETO,OBJVALUE,REMARK,STATUS,NULLABLE) values ('de154A49-6813-5A9E-F060-107F01006A65','CHB_PRD_DECLARE_SUB','com.joyintech.tams.common.svreport.datacheck.service.BaseCheckLib','isNotEmpty','RAISE_TYPE','','','产品募集方式要素不可为空。','E','N');</v>
      </c>
    </row>
    <row r="25" spans="1:12" x14ac:dyDescent="0.15">
      <c r="A25" s="9" t="s">
        <v>324</v>
      </c>
      <c r="B25" s="4" t="s">
        <v>325</v>
      </c>
      <c r="C25" s="4" t="s">
        <v>277</v>
      </c>
      <c r="D25" s="4" t="s">
        <v>21</v>
      </c>
      <c r="E25" s="4" t="s">
        <v>69</v>
      </c>
      <c r="F25" s="4" t="s">
        <v>75</v>
      </c>
      <c r="G25" s="4" t="s">
        <v>70</v>
      </c>
      <c r="H25" s="4" t="s">
        <v>77</v>
      </c>
      <c r="I25" s="9" t="s">
        <v>29</v>
      </c>
      <c r="J25" s="9" t="s">
        <v>78</v>
      </c>
      <c r="K25" s="9" t="s">
        <v>26</v>
      </c>
      <c r="L25" s="1" t="str">
        <f t="shared" si="0"/>
        <v>insert into CHB_DATACHECK_RULE (CHECKRULEID,DATATYPE,CHECKCLASS,CHECKMETHOD,SRCPROPERTY,COMPARETO,OBJVALUE,REMARK,STATUS,NULLABLE) values ('de164A49-6813-5A9E-F060-007F01006A65','CHB_PRD_DECLARE_SUB','com.joyintech.tams.common.svreport.datacheck.service.BaseCheckLib','inDatadict','EXC_FIN_SECTOR','==','YES_NO','是否金融同业专属不在值域范围内。','E','Y');</v>
      </c>
    </row>
    <row r="26" spans="1:12" x14ac:dyDescent="0.15">
      <c r="A26" s="9" t="s">
        <v>326</v>
      </c>
      <c r="B26" s="4" t="s">
        <v>327</v>
      </c>
      <c r="C26" s="4" t="s">
        <v>277</v>
      </c>
      <c r="D26" s="4" t="s">
        <v>21</v>
      </c>
      <c r="E26" s="4" t="s">
        <v>22</v>
      </c>
      <c r="F26" s="4" t="s">
        <v>79</v>
      </c>
      <c r="I26" s="9" t="s">
        <v>24</v>
      </c>
      <c r="J26" s="9" t="s">
        <v>80</v>
      </c>
      <c r="K26" s="9" t="s">
        <v>26</v>
      </c>
      <c r="L26" s="1" t="str">
        <f t="shared" si="0"/>
        <v>insert into CHB_DATACHECK_RULE (CHECKRULEID,DATATYPE,CHECKCLASS,CHECKMETHOD,SRCPROPERTY,COMPARETO,OBJVALUE,REMARK,STATUS,NULLABLE) values ('de174A49-6813-5A9E-F060-007F01006A65','CHB_PRD_DECLARE_SUB','com.joyintech.tams.common.svreport.datacheck.service.BaseCheckLib','isNotEmpty','INVEST_ARAE','','','资金投向地区要素不可为空。','E','N');</v>
      </c>
    </row>
    <row r="27" spans="1:12" x14ac:dyDescent="0.15">
      <c r="A27" s="9" t="s">
        <v>328</v>
      </c>
      <c r="B27" s="4" t="s">
        <v>329</v>
      </c>
      <c r="C27" s="4" t="s">
        <v>277</v>
      </c>
      <c r="D27" s="4" t="s">
        <v>21</v>
      </c>
      <c r="E27" s="4" t="s">
        <v>69</v>
      </c>
      <c r="F27" s="4" t="s">
        <v>79</v>
      </c>
      <c r="G27" s="4" t="s">
        <v>70</v>
      </c>
      <c r="H27" s="4" t="s">
        <v>81</v>
      </c>
      <c r="I27" s="9" t="s">
        <v>29</v>
      </c>
      <c r="J27" s="9" t="s">
        <v>82</v>
      </c>
      <c r="K27" s="9" t="s">
        <v>26</v>
      </c>
      <c r="L27" s="1" t="str">
        <f t="shared" si="0"/>
        <v>insert into CHB_DATACHECK_RULE (CHECKRULEID,DATATYPE,CHECKCLASS,CHECKMETHOD,SRCPROPERTY,COMPARETO,OBJVALUE,REMARK,STATUS,NULLABLE) values ('de174A49-6813-5A9E-F060-107F01006A65','CHB_PRD_DECLARE_SUB','com.joyintech.tams.common.svreport.datacheck.service.BaseCheckLib','inDatadict','INVEST_ARAE','==','SVR_SALEAREA_DECLARE','资金投向地区不在值域范围内。','E','Y');</v>
      </c>
    </row>
    <row r="28" spans="1:12" x14ac:dyDescent="0.15">
      <c r="A28" s="9" t="s">
        <v>330</v>
      </c>
      <c r="B28" s="4" t="s">
        <v>331</v>
      </c>
      <c r="C28" s="4" t="s">
        <v>277</v>
      </c>
      <c r="D28" s="4" t="s">
        <v>21</v>
      </c>
      <c r="E28" s="4" t="s">
        <v>22</v>
      </c>
      <c r="F28" s="4" t="s">
        <v>83</v>
      </c>
      <c r="I28" s="9" t="s">
        <v>24</v>
      </c>
      <c r="J28" s="9" t="s">
        <v>84</v>
      </c>
      <c r="K28" s="9" t="s">
        <v>26</v>
      </c>
      <c r="L28" s="1" t="str">
        <f t="shared" si="0"/>
        <v>insert into CHB_DATACHECK_RULE (CHECKRULEID,DATATYPE,CHECKCLASS,CHECKMETHOD,SRCPROPERTY,COMPARETO,OBJVALUE,REMARK,STATUS,NULLABLE) values ('de184A49-6813-5A9E-F060-007F01006A65','CHB_PRD_DECLARE_SUB','com.joyintech.tams.common.svreport.datacheck.service.BaseCheckLib','isNotEmpty','INVEST_COUNTRY','','','产品投资国家或地区要素不可为空','E','N');</v>
      </c>
    </row>
    <row r="29" spans="1:12" x14ac:dyDescent="0.15">
      <c r="A29" s="9" t="s">
        <v>332</v>
      </c>
      <c r="B29" s="4" t="s">
        <v>333</v>
      </c>
      <c r="C29" s="4" t="s">
        <v>277</v>
      </c>
      <c r="D29" s="4" t="s">
        <v>21</v>
      </c>
      <c r="E29" s="4" t="s">
        <v>85</v>
      </c>
      <c r="F29" s="4" t="s">
        <v>83</v>
      </c>
      <c r="G29" s="4" t="s">
        <v>86</v>
      </c>
      <c r="H29" s="4" t="s">
        <v>195</v>
      </c>
      <c r="I29" s="9" t="s">
        <v>29</v>
      </c>
      <c r="J29" s="9" t="s">
        <v>334</v>
      </c>
      <c r="K29" s="9" t="s">
        <v>26</v>
      </c>
      <c r="L29" s="1" t="str">
        <f t="shared" si="0"/>
        <v>insert into CHB_DATACHECK_RULE (CHECKRULEID,DATATYPE,CHECKCLASS,CHECKMETHOD,SRCPROPERTY,COMPARETO,OBJVALUE,REMARK,STATUS,NULLABLE) values ('de184A49-6813-5A9E-F060-107F01006A65','CHB_PRD_DECLARE_SUB','com.joyintech.tams.common.svreport.datacheck.service.BaseCheckLib','compareValue','INVEST_COUNTRY','!=','CHN','产品投资国家或地区不能填写中国。','E','Y');</v>
      </c>
    </row>
    <row r="30" spans="1:12" x14ac:dyDescent="0.15">
      <c r="A30" s="9" t="s">
        <v>335</v>
      </c>
      <c r="B30" s="4" t="s">
        <v>336</v>
      </c>
      <c r="C30" s="4" t="s">
        <v>277</v>
      </c>
      <c r="D30" s="4" t="s">
        <v>21</v>
      </c>
      <c r="E30" s="4" t="s">
        <v>22</v>
      </c>
      <c r="F30" s="4" t="s">
        <v>245</v>
      </c>
      <c r="I30" s="9" t="s">
        <v>24</v>
      </c>
      <c r="J30" s="9" t="s">
        <v>246</v>
      </c>
      <c r="K30" s="9" t="s">
        <v>26</v>
      </c>
      <c r="L30" s="1" t="str">
        <f t="shared" si="0"/>
        <v>insert into CHB_DATACHECK_RULE (CHECKRULEID,DATATYPE,CHECKCLASS,CHECKMETHOD,SRCPROPERTY,COMPARETO,OBJVALUE,REMARK,STATUS,NULLABLE) values ('de184A86-6813-5A9E-F060-007F01006A65','CHB_PRD_DECLARE_SUB','com.joyintech.tams.common.svreport.datacheck.service.BaseCheckLib','isNotEmpty','CREDIT_TYPE','','','产品增信机构类型要素不可为空','E','N');</v>
      </c>
    </row>
    <row r="31" spans="1:12" x14ac:dyDescent="0.15">
      <c r="A31" s="9" t="s">
        <v>337</v>
      </c>
      <c r="B31" s="4" t="s">
        <v>338</v>
      </c>
      <c r="C31" s="4" t="s">
        <v>277</v>
      </c>
      <c r="D31" s="4" t="s">
        <v>21</v>
      </c>
      <c r="E31" s="4" t="s">
        <v>22</v>
      </c>
      <c r="F31" s="4" t="s">
        <v>202</v>
      </c>
      <c r="I31" s="9" t="s">
        <v>24</v>
      </c>
      <c r="J31" s="9" t="s">
        <v>203</v>
      </c>
      <c r="K31" s="9" t="s">
        <v>26</v>
      </c>
      <c r="L31" s="1" t="str">
        <f t="shared" si="0"/>
        <v>insert into CHB_DATACHECK_RULE (CHECKRULEID,DATATYPE,CHECKCLASS,CHECKMETHOD,SRCPROPERTY,COMPARETO,OBJVALUE,REMARK,STATUS,NULLABLE) values ('de194A52-6813-5A9E-F060-007F01006A65','CHB_PRD_DECLARE_SUB','com.joyintech.tams.common.svreport.datacheck.service.BaseCheckLib','isNotEmpty','RISK_TYPE','','','投资者风险偏好要素不可为空','E','N');</v>
      </c>
    </row>
    <row r="32" spans="1:12" x14ac:dyDescent="0.15">
      <c r="A32" s="9" t="s">
        <v>339</v>
      </c>
      <c r="B32" s="4" t="s">
        <v>340</v>
      </c>
      <c r="C32" s="4" t="s">
        <v>277</v>
      </c>
      <c r="D32" s="4" t="s">
        <v>21</v>
      </c>
      <c r="E32" s="4" t="s">
        <v>22</v>
      </c>
      <c r="F32" s="4" t="s">
        <v>148</v>
      </c>
      <c r="I32" s="9" t="s">
        <v>24</v>
      </c>
      <c r="J32" s="9" t="s">
        <v>149</v>
      </c>
      <c r="K32" s="9" t="s">
        <v>26</v>
      </c>
      <c r="L32" s="1" t="str">
        <f t="shared" si="0"/>
        <v>insert into CHB_DATACHECK_RULE (CHECKRULEID,DATATYPE,CHECKCLASS,CHECKMETHOD,SRCPROPERTY,COMPARETO,OBJVALUE,REMARK,STATUS,NULLABLE) values ('de194A53-6813-5A9E-F060-007F01006A65','CHB_PRD_DECLARE_SUB','com.joyintech.tams.common.svreport.datacheck.service.BaseCheckLib','isNotEmpty','SALE_AREA','','','产品销售区域要素不可为空','E','N');</v>
      </c>
    </row>
    <row r="33" spans="1:12" x14ac:dyDescent="0.15">
      <c r="A33" s="9" t="s">
        <v>341</v>
      </c>
      <c r="B33" s="4" t="s">
        <v>342</v>
      </c>
      <c r="C33" s="4" t="s">
        <v>277</v>
      </c>
      <c r="D33" s="4" t="s">
        <v>21</v>
      </c>
      <c r="E33" s="4" t="s">
        <v>22</v>
      </c>
      <c r="F33" s="4" t="s">
        <v>156</v>
      </c>
      <c r="I33" s="9" t="s">
        <v>24</v>
      </c>
      <c r="J33" s="9" t="s">
        <v>157</v>
      </c>
      <c r="K33" s="9" t="s">
        <v>26</v>
      </c>
      <c r="L33" s="1" t="str">
        <f t="shared" si="0"/>
        <v>insert into CHB_DATACHECK_RULE (CHECKRULEID,DATATYPE,CHECKCLASS,CHECKMETHOD,SRCPROPERTY,COMPARETO,OBJVALUE,REMARK,STATUS,NULLABLE) values ('de194A54-6813-5A9E-F060-007F01006A65','CHB_PRD_DECLARE_SUB','com.joyintech.tams.common.svreport.datacheck.service.BaseCheckLib','isNotEmpty','RAISE_CCY','','','募集币种要素不可为空','E','N');</v>
      </c>
    </row>
    <row r="34" spans="1:12" x14ac:dyDescent="0.15">
      <c r="A34" s="9" t="s">
        <v>57</v>
      </c>
      <c r="B34" s="4" t="s">
        <v>343</v>
      </c>
      <c r="C34" s="4" t="s">
        <v>277</v>
      </c>
      <c r="D34" s="4" t="s">
        <v>21</v>
      </c>
      <c r="E34" s="4" t="s">
        <v>22</v>
      </c>
      <c r="F34" s="4" t="s">
        <v>159</v>
      </c>
      <c r="I34" s="9" t="s">
        <v>24</v>
      </c>
      <c r="J34" s="9" t="s">
        <v>160</v>
      </c>
      <c r="K34" s="9" t="s">
        <v>26</v>
      </c>
      <c r="L34" s="1" t="str">
        <f t="shared" si="0"/>
        <v>insert into CHB_DATACHECK_RULE (CHECKRULEID,DATATYPE,CHECKCLASS,CHECKMETHOD,SRCPROPERTY,COMPARETO,OBJVALUE,REMARK,STATUS,NULLABLE) values ('de194A55-6813-5A9E-F060-007F01006A65','CHB_PRD_DECLARE_SUB','com.joyintech.tams.common.svreport.datacheck.service.BaseCheckLib','isNotEmpty','CASH_PRIN_CCY','','','兑付本金币种要素不可为空','E','N');</v>
      </c>
    </row>
    <row r="35" spans="1:12" x14ac:dyDescent="0.15">
      <c r="A35" s="9" t="s">
        <v>344</v>
      </c>
      <c r="B35" s="4" t="s">
        <v>345</v>
      </c>
      <c r="C35" s="4" t="s">
        <v>277</v>
      </c>
      <c r="D35" s="4" t="s">
        <v>21</v>
      </c>
      <c r="E35" s="4" t="s">
        <v>22</v>
      </c>
      <c r="F35" s="4" t="s">
        <v>161</v>
      </c>
      <c r="I35" s="9" t="s">
        <v>24</v>
      </c>
      <c r="J35" s="9" t="s">
        <v>162</v>
      </c>
      <c r="K35" s="9" t="s">
        <v>26</v>
      </c>
      <c r="L35" s="1" t="str">
        <f t="shared" si="0"/>
        <v>insert into CHB_DATACHECK_RULE (CHECKRULEID,DATATYPE,CHECKCLASS,CHECKMETHOD,SRCPROPERTY,COMPARETO,OBJVALUE,REMARK,STATUS,NULLABLE) values ('de194A56-6813-5A9E-F060-007F01006A65','CHB_PRD_DECLARE_SUB','com.joyintech.tams.common.svreport.datacheck.service.BaseCheckLib','isNotEmpty','CASH_PROF_CCY','','','兑付收益币种要素不可为空','E','N');</v>
      </c>
    </row>
    <row r="36" spans="1:12" x14ac:dyDescent="0.15">
      <c r="A36" s="9" t="s">
        <v>52</v>
      </c>
      <c r="B36" s="4" t="s">
        <v>346</v>
      </c>
      <c r="C36" s="4" t="s">
        <v>277</v>
      </c>
      <c r="D36" s="4" t="s">
        <v>21</v>
      </c>
      <c r="E36" s="4" t="s">
        <v>22</v>
      </c>
      <c r="F36" s="4" t="s">
        <v>193</v>
      </c>
      <c r="I36" s="9" t="s">
        <v>24</v>
      </c>
      <c r="J36" s="9" t="s">
        <v>194</v>
      </c>
      <c r="K36" s="9" t="s">
        <v>26</v>
      </c>
      <c r="L36" s="1" t="str">
        <f t="shared" si="0"/>
        <v>insert into CHB_DATACHECK_RULE (CHECKRULEID,DATATYPE,CHECKCLASS,CHECKMETHOD,SRCPROPERTY,COMPARETO,OBJVALUE,REMARK,STATUS,NULLABLE) values ('de194A76-6813-5A9E-F060-007F01006A03','CHB_PRD_DECLARE_SUB','com.joyintech.tams.common.svreport.datacheck.service.BaseCheckLib','isNotEmpty','OUT_DEP_CTRY','','','境外托管机构国别要素不可为空','E','N');</v>
      </c>
    </row>
    <row r="37" spans="1:12" x14ac:dyDescent="0.15">
      <c r="A37" s="9" t="s">
        <v>347</v>
      </c>
      <c r="B37" s="4" t="s">
        <v>348</v>
      </c>
      <c r="C37" s="4" t="s">
        <v>277</v>
      </c>
      <c r="D37" s="4" t="s">
        <v>21</v>
      </c>
      <c r="E37" s="4" t="s">
        <v>27</v>
      </c>
      <c r="F37" s="4" t="s">
        <v>193</v>
      </c>
      <c r="G37" s="4" t="s">
        <v>70</v>
      </c>
      <c r="H37" s="4" t="s">
        <v>87</v>
      </c>
      <c r="I37" s="9" t="s">
        <v>29</v>
      </c>
      <c r="J37" s="9" t="s">
        <v>196</v>
      </c>
      <c r="K37" s="9" t="s">
        <v>26</v>
      </c>
      <c r="L37" s="1" t="str">
        <f t="shared" si="0"/>
        <v>insert into CHB_DATACHECK_RULE (CHECKRULEID,DATATYPE,CHECKCLASS,CHECKMETHOD,SRCPROPERTY,COMPARETO,OBJVALUE,REMARK,STATUS,NULLABLE) values ('de194A77-6813-5A9E-F060-007F01006A65','CHB_PRD_DECLARE_SUB','com.joyintech.tams.common.svreport.datacheck.service.BaseCheckLib','lessThanCharLength','OUT_DEP_CTRY','==','0','境外托管机构国别要素必须为空','E','Y');</v>
      </c>
    </row>
    <row r="38" spans="1:12" x14ac:dyDescent="0.15">
      <c r="A38" s="9" t="s">
        <v>349</v>
      </c>
      <c r="B38" s="4" t="s">
        <v>350</v>
      </c>
      <c r="C38" s="4" t="s">
        <v>277</v>
      </c>
      <c r="D38" s="4" t="s">
        <v>21</v>
      </c>
      <c r="E38" s="4" t="s">
        <v>22</v>
      </c>
      <c r="F38" s="4" t="s">
        <v>197</v>
      </c>
      <c r="I38" s="9" t="s">
        <v>24</v>
      </c>
      <c r="J38" s="9" t="s">
        <v>198</v>
      </c>
      <c r="K38" s="9" t="s">
        <v>26</v>
      </c>
      <c r="L38" s="1" t="str">
        <f t="shared" si="0"/>
        <v>insert into CHB_DATACHECK_RULE (CHECKRULEID,DATATYPE,CHECKCLASS,CHECKMETHOD,SRCPROPERTY,COMPARETO,OBJVALUE,REMARK,STATUS,NULLABLE) values ('de194A78-6813-5A9E-F060-007F01006A65','CHB_PRD_DECLARE_SUB','com.joyintech.tams.common.svreport.datacheck.service.BaseCheckLib','isNotEmpty','OUT_DEP_NAME','','','境外托管机构名称要素不可为空','E','N');</v>
      </c>
    </row>
    <row r="39" spans="1:12" x14ac:dyDescent="0.15">
      <c r="A39" s="9" t="s">
        <v>351</v>
      </c>
      <c r="B39" s="4" t="s">
        <v>352</v>
      </c>
      <c r="C39" s="4" t="s">
        <v>277</v>
      </c>
      <c r="D39" s="4" t="s">
        <v>21</v>
      </c>
      <c r="E39" s="4" t="s">
        <v>353</v>
      </c>
      <c r="F39" s="4" t="s">
        <v>197</v>
      </c>
      <c r="H39" s="4" t="s">
        <v>354</v>
      </c>
      <c r="I39" s="9" t="s">
        <v>29</v>
      </c>
      <c r="J39" s="9" t="s">
        <v>201</v>
      </c>
      <c r="K39" s="9" t="s">
        <v>26</v>
      </c>
      <c r="L39" s="1" t="str">
        <f t="shared" si="0"/>
        <v>insert into CHB_DATACHECK_RULE (CHECKRULEID,DATATYPE,CHECKCLASS,CHECKMETHOD,SRCPROPERTY,COMPARETO,OBJVALUE,REMARK,STATUS,NULLABLE) values ('de194A79-6813-5A9E-F060-007F01006A65','CHB_PRD_DECLARE_SUB','com.joyintech.tams.common.svreport.datacheck.service.BaseCheckLib','isCustomizedStringForWhitelist','OUT_DEP_NAME','','^[\u4e00-\u9fa5\ue815-\ue864\uff01-\uff5e\uffe0-\uffe5\u3000-\u3003\u3005-\u3017\u301d-\u301e\u2010\u2013-\u2016\u2018-\u2019\u201c-\u201d\u2025-\u2026\u2030\u2032-\u2033\u2035\u203b\u00b7\u0030-\u0039\u0041-\u005a\u0061-\u007a\u2160-\u216b\u0020-\u0026\u0028-\u007B\u007D\u007E]{0,}$','境外托管机构名称必须填写白名单中的文字。','E','Y');</v>
      </c>
    </row>
    <row r="40" spans="1:12" x14ac:dyDescent="0.15">
      <c r="A40" s="9" t="s">
        <v>355</v>
      </c>
      <c r="B40" s="4" t="s">
        <v>356</v>
      </c>
      <c r="C40" s="4" t="s">
        <v>277</v>
      </c>
      <c r="D40" s="4" t="s">
        <v>21</v>
      </c>
      <c r="E40" s="4" t="s">
        <v>27</v>
      </c>
      <c r="F40" s="4" t="s">
        <v>197</v>
      </c>
      <c r="G40" s="4" t="s">
        <v>70</v>
      </c>
      <c r="H40" s="4" t="s">
        <v>87</v>
      </c>
      <c r="I40" s="9" t="s">
        <v>29</v>
      </c>
      <c r="J40" s="9" t="s">
        <v>199</v>
      </c>
      <c r="K40" s="9" t="s">
        <v>26</v>
      </c>
      <c r="L40" s="1" t="str">
        <f t="shared" si="0"/>
        <v>insert into CHB_DATACHECK_RULE (CHECKRULEID,DATATYPE,CHECKCLASS,CHECKMETHOD,SRCPROPERTY,COMPARETO,OBJVALUE,REMARK,STATUS,NULLABLE) values ('de194A80-6813-5A9E-F060-007F01006A65','CHB_PRD_DECLARE_SUB','com.joyintech.tams.common.svreport.datacheck.service.BaseCheckLib','lessThanCharLength','OUT_DEP_NAME','==','0','境外托管机构名称要素必须为空','E','Y');</v>
      </c>
    </row>
    <row r="41" spans="1:12" x14ac:dyDescent="0.15">
      <c r="A41" s="9" t="s">
        <v>357</v>
      </c>
      <c r="B41" s="4" t="s">
        <v>358</v>
      </c>
      <c r="C41" s="4" t="s">
        <v>277</v>
      </c>
      <c r="D41" s="4" t="s">
        <v>21</v>
      </c>
      <c r="E41" s="4" t="s">
        <v>128</v>
      </c>
      <c r="F41" s="4" t="s">
        <v>168</v>
      </c>
      <c r="G41" s="4" t="s">
        <v>166</v>
      </c>
      <c r="H41" s="4" t="s">
        <v>87</v>
      </c>
      <c r="I41" s="9" t="s">
        <v>29</v>
      </c>
      <c r="J41" s="9" t="s">
        <v>171</v>
      </c>
      <c r="K41" s="9" t="s">
        <v>26</v>
      </c>
      <c r="L41" s="1" t="str">
        <f t="shared" si="0"/>
        <v>insert into CHB_DATACHECK_RULE (CHECKRULEID,DATATYPE,CHECKCLASS,CHECKMETHOD,SRCPROPERTY,COMPARETO,OBJVALUE,REMARK,STATUS,NULLABLE) values ('de194A81-6813-5A9E-F060-007F01006A65','CHB_PRD_DECLARE_SUB','com.joyintech.tams.common.svreport.datacheck.service.BaseCheckLib','compareValueAsNumber','TRU_FEE_RATE','&gt;=','0','托管费率%必须大于等于0。','E','Y');</v>
      </c>
    </row>
    <row r="42" spans="1:12" x14ac:dyDescent="0.15">
      <c r="A42" s="9" t="s">
        <v>359</v>
      </c>
      <c r="B42" s="4" t="s">
        <v>360</v>
      </c>
      <c r="C42" s="4" t="s">
        <v>277</v>
      </c>
      <c r="D42" s="4" t="s">
        <v>21</v>
      </c>
      <c r="E42" s="4" t="s">
        <v>124</v>
      </c>
      <c r="F42" s="4" t="s">
        <v>168</v>
      </c>
      <c r="H42" s="4" t="s">
        <v>126</v>
      </c>
      <c r="I42" s="9" t="s">
        <v>29</v>
      </c>
      <c r="J42" s="9" t="s">
        <v>170</v>
      </c>
      <c r="K42" s="9" t="s">
        <v>26</v>
      </c>
      <c r="L42" s="1" t="str">
        <f t="shared" si="0"/>
        <v>insert into CHB_DATACHECK_RULE (CHECKRULEID,DATATYPE,CHECKCLASS,CHECKMETHOD,SRCPROPERTY,COMPARETO,OBJVALUE,REMARK,STATUS,NULLABLE) values ('de194A82-6813-5A9E-F060-007F01006A65','CHB_PRD_DECLARE_SUB','com.joyintech.tams.common.svreport.datacheck.service.BaseCheckLib','isNumber2','TRU_FEE_RATE','','8,5','托管费率%以百分数形式表示时必须为n（8,5）格式。','E','Y');</v>
      </c>
    </row>
    <row r="43" spans="1:12" x14ac:dyDescent="0.15">
      <c r="A43" s="9" t="s">
        <v>361</v>
      </c>
      <c r="B43" s="4" t="s">
        <v>362</v>
      </c>
      <c r="C43" s="4" t="s">
        <v>277</v>
      </c>
      <c r="D43" s="4" t="s">
        <v>21</v>
      </c>
      <c r="E43" s="4" t="s">
        <v>22</v>
      </c>
      <c r="F43" s="4" t="s">
        <v>168</v>
      </c>
      <c r="I43" s="9" t="s">
        <v>24</v>
      </c>
      <c r="J43" s="9" t="s">
        <v>169</v>
      </c>
      <c r="K43" s="9" t="s">
        <v>26</v>
      </c>
      <c r="L43" s="1" t="str">
        <f t="shared" si="0"/>
        <v>insert into CHB_DATACHECK_RULE (CHECKRULEID,DATATYPE,CHECKCLASS,CHECKMETHOD,SRCPROPERTY,COMPARETO,OBJVALUE,REMARK,STATUS,NULLABLE) values ('de194A82-6813-5A9E-F060-107F01006A65','CHB_PRD_DECLARE_SUB','com.joyintech.tams.common.svreport.datacheck.service.BaseCheckLib','isNotEmpty','TRU_FEE_RATE','','','托管费率%要素不可为空。','E','N');</v>
      </c>
    </row>
    <row r="44" spans="1:12" x14ac:dyDescent="0.15">
      <c r="A44" s="9" t="s">
        <v>363</v>
      </c>
      <c r="B44" s="4" t="s">
        <v>364</v>
      </c>
      <c r="C44" s="4" t="s">
        <v>277</v>
      </c>
      <c r="D44" s="4" t="s">
        <v>21</v>
      </c>
      <c r="E44" s="4" t="s">
        <v>27</v>
      </c>
      <c r="F44" s="4" t="s">
        <v>245</v>
      </c>
      <c r="G44" s="4" t="s">
        <v>70</v>
      </c>
      <c r="H44" s="4" t="s">
        <v>87</v>
      </c>
      <c r="I44" s="9" t="s">
        <v>29</v>
      </c>
      <c r="J44" s="9" t="s">
        <v>247</v>
      </c>
      <c r="K44" s="9" t="s">
        <v>26</v>
      </c>
      <c r="L44" s="1" t="str">
        <f t="shared" si="0"/>
        <v>insert into CHB_DATACHECK_RULE (CHECKRULEID,DATATYPE,CHECKCLASS,CHECKMETHOD,SRCPROPERTY,COMPARETO,OBJVALUE,REMARK,STATUS,NULLABLE) values ('de194A87-6813-5A9E-F060-007F01006A65','CHB_PRD_DECLARE_SUB','com.joyintech.tams.common.svreport.datacheck.service.BaseCheckLib','lessThanCharLength','CREDIT_TYPE','==','0','产品增信机构类型要素必须为空','E','Y');</v>
      </c>
    </row>
    <row r="45" spans="1:12" x14ac:dyDescent="0.15">
      <c r="A45" s="9" t="s">
        <v>365</v>
      </c>
      <c r="B45" s="4" t="s">
        <v>366</v>
      </c>
      <c r="C45" s="4" t="s">
        <v>277</v>
      </c>
      <c r="D45" s="4" t="s">
        <v>21</v>
      </c>
      <c r="E45" s="4" t="s">
        <v>27</v>
      </c>
      <c r="F45" s="4" t="s">
        <v>249</v>
      </c>
      <c r="G45" s="4" t="s">
        <v>70</v>
      </c>
      <c r="H45" s="4" t="s">
        <v>87</v>
      </c>
      <c r="I45" s="9" t="s">
        <v>29</v>
      </c>
      <c r="J45" s="9" t="s">
        <v>251</v>
      </c>
      <c r="K45" s="9" t="s">
        <v>26</v>
      </c>
      <c r="L45" s="1" t="str">
        <f t="shared" si="0"/>
        <v>insert into CHB_DATACHECK_RULE (CHECKRULEID,DATATYPE,CHECKCLASS,CHECKMETHOD,SRCPROPERTY,COMPARETO,OBJVALUE,REMARK,STATUS,NULLABLE) values ('de194A89-6813-5A9E-F060-007F01006A65','CHB_PRD_DECLARE_SUB','com.joyintech.tams.common.svreport.datacheck.service.BaseCheckLib','lessThanCharLength','CREDIT_MODE','==','0','产品增信形式要素必须为空','E','Y');</v>
      </c>
    </row>
    <row r="46" spans="1:12" x14ac:dyDescent="0.15">
      <c r="A46" s="9" t="s">
        <v>367</v>
      </c>
      <c r="B46" s="4" t="s">
        <v>368</v>
      </c>
      <c r="C46" s="4" t="s">
        <v>277</v>
      </c>
      <c r="D46" s="4" t="s">
        <v>21</v>
      </c>
      <c r="E46" s="4" t="s">
        <v>22</v>
      </c>
      <c r="F46" s="4" t="s">
        <v>8</v>
      </c>
      <c r="I46" s="9" t="s">
        <v>24</v>
      </c>
      <c r="J46" s="9" t="s">
        <v>258</v>
      </c>
      <c r="K46" s="9" t="s">
        <v>26</v>
      </c>
      <c r="L46" s="1" t="str">
        <f t="shared" si="0"/>
        <v>insert into CHB_DATACHECK_RULE (CHECKRULEID,DATATYPE,CHECKCLASS,CHECKMETHOD,SRCPROPERTY,COMPARETO,OBJVALUE,REMARK,STATUS,NULLABLE) values ('de194A90-6813-5A9E-F060-007F01006A65','CHB_PRD_DECLARE_SUB','com.joyintech.tams.common.svreport.datacheck.service.BaseCheckLib','isNotEmpty','REMARK','','','备注要素不可为空','E','N');</v>
      </c>
    </row>
    <row r="47" spans="1:12" x14ac:dyDescent="0.15">
      <c r="A47" s="9" t="s">
        <v>369</v>
      </c>
      <c r="B47" s="4" t="s">
        <v>370</v>
      </c>
      <c r="C47" s="4" t="s">
        <v>277</v>
      </c>
      <c r="D47" s="4" t="s">
        <v>21</v>
      </c>
      <c r="E47" s="4" t="s">
        <v>22</v>
      </c>
      <c r="F47" s="4" t="s">
        <v>8</v>
      </c>
      <c r="I47" s="9" t="s">
        <v>24</v>
      </c>
      <c r="J47" s="9" t="s">
        <v>258</v>
      </c>
      <c r="K47" s="9" t="s">
        <v>26</v>
      </c>
      <c r="L47" s="1" t="str">
        <f t="shared" si="0"/>
        <v>insert into CHB_DATACHECK_RULE (CHECKRULEID,DATATYPE,CHECKCLASS,CHECKMETHOD,SRCPROPERTY,COMPARETO,OBJVALUE,REMARK,STATUS,NULLABLE) values ('de194A91-6813-5A9E-F060-007F01006A65','CHB_PRD_DECLARE_SUB','com.joyintech.tams.common.svreport.datacheck.service.BaseCheckLib','isNotEmpty','REMARK','','','备注要素不可为空','E','N');</v>
      </c>
    </row>
    <row r="48" spans="1:12" x14ac:dyDescent="0.15">
      <c r="A48" s="9" t="s">
        <v>371</v>
      </c>
      <c r="B48" s="4" t="s">
        <v>372</v>
      </c>
      <c r="C48" s="4" t="s">
        <v>277</v>
      </c>
      <c r="D48" s="4" t="s">
        <v>21</v>
      </c>
      <c r="E48" s="4" t="s">
        <v>22</v>
      </c>
      <c r="F48" s="4" t="s">
        <v>8</v>
      </c>
      <c r="I48" s="9" t="s">
        <v>24</v>
      </c>
      <c r="J48" s="9" t="s">
        <v>258</v>
      </c>
      <c r="K48" s="9" t="s">
        <v>26</v>
      </c>
      <c r="L48" s="1" t="str">
        <f t="shared" si="0"/>
        <v>insert into CHB_DATACHECK_RULE (CHECKRULEID,DATATYPE,CHECKCLASS,CHECKMETHOD,SRCPROPERTY,COMPARETO,OBJVALUE,REMARK,STATUS,NULLABLE) values ('de194A92-6813-5A9E-F060-007F01006A65','CHB_PRD_DECLARE_SUB','com.joyintech.tams.common.svreport.datacheck.service.BaseCheckLib','isNotEmpty','REMARK','','','备注要素不可为空','E','N');</v>
      </c>
    </row>
    <row r="49" spans="1:12" x14ac:dyDescent="0.15">
      <c r="A49" s="9" t="s">
        <v>373</v>
      </c>
      <c r="B49" s="4" t="s">
        <v>374</v>
      </c>
      <c r="C49" s="4" t="s">
        <v>277</v>
      </c>
      <c r="D49" s="4" t="s">
        <v>21</v>
      </c>
      <c r="E49" s="4" t="s">
        <v>22</v>
      </c>
      <c r="F49" s="4" t="s">
        <v>8</v>
      </c>
      <c r="I49" s="9" t="s">
        <v>24</v>
      </c>
      <c r="J49" s="9" t="s">
        <v>258</v>
      </c>
      <c r="K49" s="9" t="s">
        <v>26</v>
      </c>
      <c r="L49" s="1" t="str">
        <f t="shared" si="0"/>
        <v>insert into CHB_DATACHECK_RULE (CHECKRULEID,DATATYPE,CHECKCLASS,CHECKMETHOD,SRCPROPERTY,COMPARETO,OBJVALUE,REMARK,STATUS,NULLABLE) values ('de194A93-6813-5A9E-F060-007F01006A65','CHB_PRD_DECLARE_SUB','com.joyintech.tams.common.svreport.datacheck.service.BaseCheckLib','isNotEmpty','REMARK','','','备注要素不可为空','E','N');</v>
      </c>
    </row>
    <row r="50" spans="1:12" x14ac:dyDescent="0.15">
      <c r="A50" s="9" t="s">
        <v>375</v>
      </c>
      <c r="B50" s="4" t="s">
        <v>376</v>
      </c>
      <c r="C50" s="4" t="s">
        <v>277</v>
      </c>
      <c r="D50" s="4" t="s">
        <v>21</v>
      </c>
      <c r="E50" s="4" t="s">
        <v>22</v>
      </c>
      <c r="F50" s="4" t="s">
        <v>8</v>
      </c>
      <c r="I50" s="9" t="s">
        <v>24</v>
      </c>
      <c r="J50" s="9" t="s">
        <v>258</v>
      </c>
      <c r="K50" s="9" t="s">
        <v>26</v>
      </c>
      <c r="L50" s="1" t="str">
        <f t="shared" si="0"/>
        <v>insert into CHB_DATACHECK_RULE (CHECKRULEID,DATATYPE,CHECKCLASS,CHECKMETHOD,SRCPROPERTY,COMPARETO,OBJVALUE,REMARK,STATUS,NULLABLE) values ('de194A94-6813-5A9E-F060-007F01006A65','CHB_PRD_DECLARE_SUB','com.joyintech.tams.common.svreport.datacheck.service.BaseCheckLib','isNotEmpty','REMARK','','','备注要素不可为空','E','N');</v>
      </c>
    </row>
    <row r="51" spans="1:12" x14ac:dyDescent="0.15">
      <c r="A51" s="9" t="s">
        <v>377</v>
      </c>
      <c r="B51" s="4" t="s">
        <v>378</v>
      </c>
      <c r="C51" s="4" t="s">
        <v>277</v>
      </c>
      <c r="D51" s="4" t="s">
        <v>21</v>
      </c>
      <c r="E51" s="4" t="s">
        <v>22</v>
      </c>
      <c r="F51" s="4" t="s">
        <v>8</v>
      </c>
      <c r="I51" s="9" t="s">
        <v>24</v>
      </c>
      <c r="J51" s="9" t="s">
        <v>258</v>
      </c>
      <c r="K51" s="9" t="s">
        <v>26</v>
      </c>
      <c r="L51" s="1" t="str">
        <f t="shared" si="0"/>
        <v>insert into CHB_DATACHECK_RULE (CHECKRULEID,DATATYPE,CHECKCLASS,CHECKMETHOD,SRCPROPERTY,COMPARETO,OBJVALUE,REMARK,STATUS,NULLABLE) values ('de194A95-6813-5A9E-F060-007F01006A65','CHB_PRD_DECLARE_SUB','com.joyintech.tams.common.svreport.datacheck.service.BaseCheckLib','isNotEmpty','REMARK','','','备注要素不可为空','E','N');</v>
      </c>
    </row>
    <row r="52" spans="1:12" x14ac:dyDescent="0.15">
      <c r="A52" s="9" t="s">
        <v>379</v>
      </c>
      <c r="B52" s="4" t="s">
        <v>380</v>
      </c>
      <c r="C52" s="4" t="s">
        <v>277</v>
      </c>
      <c r="D52" s="4" t="s">
        <v>21</v>
      </c>
      <c r="E52" s="4" t="s">
        <v>22</v>
      </c>
      <c r="F52" s="4" t="s">
        <v>8</v>
      </c>
      <c r="I52" s="9" t="s">
        <v>24</v>
      </c>
      <c r="J52" s="9" t="s">
        <v>258</v>
      </c>
      <c r="K52" s="9" t="s">
        <v>26</v>
      </c>
      <c r="L52" s="1" t="str">
        <f t="shared" si="0"/>
        <v>insert into CHB_DATACHECK_RULE (CHECKRULEID,DATATYPE,CHECKCLASS,CHECKMETHOD,SRCPROPERTY,COMPARETO,OBJVALUE,REMARK,STATUS,NULLABLE) values ('de194A96-6813-5A9E-F060-007F01006A65','CHB_PRD_DECLARE_SUB','com.joyintech.tams.common.svreport.datacheck.service.BaseCheckLib','isNotEmpty','REMARK','','','备注要素不可为空','E','N');</v>
      </c>
    </row>
    <row r="53" spans="1:12" x14ac:dyDescent="0.15">
      <c r="A53" s="9" t="s">
        <v>381</v>
      </c>
      <c r="B53" s="4" t="s">
        <v>382</v>
      </c>
      <c r="C53" s="4" t="s">
        <v>277</v>
      </c>
      <c r="D53" s="4" t="s">
        <v>21</v>
      </c>
      <c r="E53" s="4" t="s">
        <v>22</v>
      </c>
      <c r="F53" s="4" t="s">
        <v>23</v>
      </c>
      <c r="I53" s="9" t="s">
        <v>24</v>
      </c>
      <c r="J53" s="9" t="s">
        <v>25</v>
      </c>
      <c r="K53" s="9" t="s">
        <v>26</v>
      </c>
      <c r="L53" s="1" t="str">
        <f t="shared" si="0"/>
        <v>insert into CHB_DATACHECK_RULE (CHECKRULEID,DATATYPE,CHECKCLASS,CHECKMETHOD,SRCPROPERTY,COMPARETO,OBJVALUE,REMARK,STATUS,NULLABLE) values ('de1E4A49-6813-5A9E-F060-007F01006A66','CHB_PRD_DECLARE_SUB','com.joyintech.tams.common.svreport.datacheck.service.BaseCheckLib','isNotEmpty','PROD_NAME','','','产品名称要素不可为空。','E','N');</v>
      </c>
    </row>
    <row r="54" spans="1:12" x14ac:dyDescent="0.15">
      <c r="A54" s="9" t="s">
        <v>65</v>
      </c>
      <c r="B54" s="4" t="s">
        <v>383</v>
      </c>
      <c r="C54" s="4" t="s">
        <v>277</v>
      </c>
      <c r="D54" s="4" t="s">
        <v>21</v>
      </c>
      <c r="E54" s="4" t="s">
        <v>27</v>
      </c>
      <c r="F54" s="4" t="s">
        <v>23</v>
      </c>
      <c r="H54" s="4" t="s">
        <v>28</v>
      </c>
      <c r="I54" s="9" t="s">
        <v>29</v>
      </c>
      <c r="J54" s="9" t="s">
        <v>384</v>
      </c>
      <c r="K54" s="9" t="s">
        <v>26</v>
      </c>
      <c r="L54" s="1" t="str">
        <f t="shared" si="0"/>
        <v>insert into CHB_DATACHECK_RULE (CHECKRULEID,DATATYPE,CHECKCLASS,CHECKMETHOD,SRCPROPERTY,COMPARETO,OBJVALUE,REMARK,STATUS,NULLABLE) values ('de1E4A49-6813-5A9E-F060-107F01006A66','CHB_PRD_DECLARE_SUB','com.joyintech.tams.common.svreport.datacheck.service.BaseCheckLib','lessThanCharLength','PROD_NAME','','201','产品名称超长（最大长）200','E','Y');</v>
      </c>
    </row>
    <row r="55" spans="1:12" x14ac:dyDescent="0.15">
      <c r="A55" s="9" t="s">
        <v>385</v>
      </c>
      <c r="B55" s="4" t="s">
        <v>386</v>
      </c>
      <c r="C55" s="4" t="s">
        <v>277</v>
      </c>
      <c r="D55" s="4" t="s">
        <v>21</v>
      </c>
      <c r="E55" s="4" t="s">
        <v>27</v>
      </c>
      <c r="F55" s="4" t="s">
        <v>83</v>
      </c>
      <c r="G55" s="4" t="s">
        <v>70</v>
      </c>
      <c r="H55" s="4" t="s">
        <v>87</v>
      </c>
      <c r="I55" s="9" t="s">
        <v>29</v>
      </c>
      <c r="J55" s="9" t="s">
        <v>387</v>
      </c>
      <c r="K55" s="9" t="s">
        <v>26</v>
      </c>
      <c r="L55" s="1" t="str">
        <f t="shared" si="0"/>
        <v>insert into CHB_DATACHECK_RULE (CHECKRULEID,DATATYPE,CHECKCLASS,CHECKMETHOD,SRCPROPERTY,COMPARETO,OBJVALUE,REMARK,STATUS,NULLABLE) values ('de204A49-6813-5A9E-F060-007F01006A65','CHB_PRD_DECLARE_SUB','com.joyintech.tams.common.svreport.datacheck.service.BaseCheckLib','lessThanCharLength','INVEST_COUNTRY','==','0','产品投资国家或地区要素必须为空','E','Y');</v>
      </c>
    </row>
    <row r="56" spans="1:12" x14ac:dyDescent="0.15">
      <c r="A56" s="9" t="s">
        <v>388</v>
      </c>
      <c r="B56" s="4" t="s">
        <v>389</v>
      </c>
      <c r="C56" s="4" t="s">
        <v>277</v>
      </c>
      <c r="D56" s="4" t="s">
        <v>21</v>
      </c>
      <c r="E56" s="4" t="s">
        <v>22</v>
      </c>
      <c r="F56" s="4" t="s">
        <v>89</v>
      </c>
      <c r="I56" s="9" t="s">
        <v>24</v>
      </c>
      <c r="J56" s="9" t="s">
        <v>90</v>
      </c>
      <c r="K56" s="9" t="s">
        <v>26</v>
      </c>
      <c r="L56" s="1" t="str">
        <f t="shared" si="0"/>
        <v>insert into CHB_DATACHECK_RULE (CHECKRULEID,DATATYPE,CHECKCLASS,CHECKMETHOD,SRCPROPERTY,COMPARETO,OBJVALUE,REMARK,STATUS,NULLABLE) values ('de224A49-6813-5A9E-F060-007F01006A65','CHB_PRD_DECLARE_SUB','com.joyintech.tams.common.svreport.datacheck.service.BaseCheckLib','isNotEmpty','FINAN_SER_MODEL','','','理财业务服务模式要素不可为空','E','N');</v>
      </c>
    </row>
    <row r="57" spans="1:12" x14ac:dyDescent="0.15">
      <c r="A57" s="9" t="s">
        <v>390</v>
      </c>
      <c r="B57" s="4" t="s">
        <v>391</v>
      </c>
      <c r="C57" s="4" t="s">
        <v>277</v>
      </c>
      <c r="D57" s="4" t="s">
        <v>21</v>
      </c>
      <c r="E57" s="4" t="s">
        <v>27</v>
      </c>
      <c r="F57" s="4" t="s">
        <v>89</v>
      </c>
      <c r="G57" s="4" t="s">
        <v>70</v>
      </c>
      <c r="H57" s="4" t="s">
        <v>87</v>
      </c>
      <c r="I57" s="9" t="s">
        <v>29</v>
      </c>
      <c r="J57" s="9" t="s">
        <v>91</v>
      </c>
      <c r="K57" s="9" t="s">
        <v>26</v>
      </c>
      <c r="L57" s="1" t="str">
        <f t="shared" si="0"/>
        <v>insert into CHB_DATACHECK_RULE (CHECKRULEID,DATATYPE,CHECKCLASS,CHECKMETHOD,SRCPROPERTY,COMPARETO,OBJVALUE,REMARK,STATUS,NULLABLE) values ('de234A49-6813-5A9E-F060-007F01006A65','CHB_PRD_DECLARE_SUB','com.joyintech.tams.common.svreport.datacheck.service.BaseCheckLib','lessThanCharLength','FINAN_SER_MODEL','==','0','理财业务服务模式要素必须为空','E','Y');</v>
      </c>
    </row>
    <row r="58" spans="1:12" x14ac:dyDescent="0.15">
      <c r="A58" s="9" t="s">
        <v>392</v>
      </c>
      <c r="B58" s="4" t="s">
        <v>393</v>
      </c>
      <c r="C58" s="4" t="s">
        <v>277</v>
      </c>
      <c r="D58" s="4" t="s">
        <v>21</v>
      </c>
      <c r="E58" s="4" t="s">
        <v>69</v>
      </c>
      <c r="F58" s="4" t="s">
        <v>94</v>
      </c>
      <c r="G58" s="4" t="s">
        <v>70</v>
      </c>
      <c r="H58" s="4" t="s">
        <v>96</v>
      </c>
      <c r="I58" s="9" t="s">
        <v>29</v>
      </c>
      <c r="J58" s="9" t="s">
        <v>97</v>
      </c>
      <c r="K58" s="9" t="s">
        <v>26</v>
      </c>
      <c r="L58" s="1" t="str">
        <f t="shared" si="0"/>
        <v>insert into CHB_DATACHECK_RULE (CHECKRULEID,DATATYPE,CHECKCLASS,CHECKMETHOD,SRCPROPERTY,COMPARETO,OBJVALUE,REMARK,STATUS,NULLABLE) values ('de244A49-6813-5A9E-F060-007F01006A65','CHB_PRD_DECLARE_SUB','com.joyintech.tams.common.svreport.datacheck.service.BaseCheckLib','inDatadict','OPERATE_MODE','==','SVR_OPERATEMODE_DECLARE','产品运作模式不在值域范围内。','E','Y');</v>
      </c>
    </row>
    <row r="59" spans="1:12" x14ac:dyDescent="0.15">
      <c r="A59" s="9" t="s">
        <v>394</v>
      </c>
      <c r="B59" s="4" t="s">
        <v>395</v>
      </c>
      <c r="C59" s="4" t="s">
        <v>277</v>
      </c>
      <c r="D59" s="4" t="s">
        <v>21</v>
      </c>
      <c r="E59" s="4" t="s">
        <v>177</v>
      </c>
      <c r="F59" s="4" t="s">
        <v>175</v>
      </c>
      <c r="G59" s="4" t="s">
        <v>166</v>
      </c>
      <c r="H59" s="4" t="s">
        <v>172</v>
      </c>
      <c r="I59" s="9" t="s">
        <v>29</v>
      </c>
      <c r="J59" s="9" t="s">
        <v>178</v>
      </c>
      <c r="K59" s="9" t="s">
        <v>26</v>
      </c>
      <c r="L59" s="1" t="str">
        <f t="shared" si="0"/>
        <v>insert into CHB_DATACHECK_RULE (CHECKRULEID,DATATYPE,CHECKCLASS,CHECKMETHOD,SRCPROPERTY,COMPARETO,OBJVALUE,REMARK,STATUS,NULLABLE) values ('de244A61-6813-5A9E-F060-007F01006A65','CHB_PRD_DECLARE_SUB','com.joyintech.tams.common.svreport.datacheck.service.BaseCheckLib','compareProperty','RAISE_PENDDATE','&gt;=','RAISE_PSTRDATE','募集起始日期（到）必须大于等于募集起始日期（从）','E','Y');</v>
      </c>
    </row>
    <row r="60" spans="1:12" x14ac:dyDescent="0.15">
      <c r="A60" s="9" t="s">
        <v>396</v>
      </c>
      <c r="B60" s="4" t="s">
        <v>397</v>
      </c>
      <c r="C60" s="4" t="s">
        <v>277</v>
      </c>
      <c r="D60" s="4" t="s">
        <v>21</v>
      </c>
      <c r="E60" s="4" t="s">
        <v>22</v>
      </c>
      <c r="F60" s="4" t="s">
        <v>130</v>
      </c>
      <c r="I60" s="9" t="s">
        <v>24</v>
      </c>
      <c r="J60" s="9" t="s">
        <v>398</v>
      </c>
      <c r="K60" s="9" t="s">
        <v>26</v>
      </c>
      <c r="L60" s="1" t="str">
        <f t="shared" si="0"/>
        <v>insert into CHB_DATACHECK_RULE (CHECKRULEID,DATATYPE,CHECKCLASS,CHECKMETHOD,SRCPROPERTY,COMPARETO,OBJVALUE,REMARK,STATUS,NULLABLE) values ('de254A49-6813-5A9E-F060-007F01006A65','CHB_PRD_DECLARE_SUB','com.joyintech.tams.common.svreport.datacheck.service.BaseCheckLib','isNotEmpty','IS_SHORT_TERM','','','是否设置最短持有期限要素不可为空','E','N');</v>
      </c>
    </row>
    <row r="61" spans="1:12" x14ac:dyDescent="0.15">
      <c r="A61" s="9" t="s">
        <v>399</v>
      </c>
      <c r="B61" s="4" t="s">
        <v>400</v>
      </c>
      <c r="C61" s="4" t="s">
        <v>277</v>
      </c>
      <c r="D61" s="4" t="s">
        <v>21</v>
      </c>
      <c r="E61" s="4" t="s">
        <v>69</v>
      </c>
      <c r="F61" s="4" t="s">
        <v>130</v>
      </c>
      <c r="G61" s="4" t="s">
        <v>70</v>
      </c>
      <c r="H61" s="4" t="s">
        <v>77</v>
      </c>
      <c r="I61" s="9" t="s">
        <v>29</v>
      </c>
      <c r="J61" s="9" t="s">
        <v>132</v>
      </c>
      <c r="K61" s="9" t="s">
        <v>26</v>
      </c>
      <c r="L61" s="1" t="str">
        <f t="shared" si="0"/>
        <v>insert into CHB_DATACHECK_RULE (CHECKRULEID,DATATYPE,CHECKCLASS,CHECKMETHOD,SRCPROPERTY,COMPARETO,OBJVALUE,REMARK,STATUS,NULLABLE) values ('de264A49-6813-5A9E-F060-007F01006A65','CHB_PRD_DECLARE_SUB','com.joyintech.tams.common.svreport.datacheck.service.BaseCheckLib','inDatadict','IS_SHORT_TERM','==','YES_NO','是否设置最短持有期限不在值域范围内。','E','Y');</v>
      </c>
    </row>
    <row r="62" spans="1:12" x14ac:dyDescent="0.15">
      <c r="A62" s="9" t="s">
        <v>401</v>
      </c>
      <c r="B62" s="4" t="s">
        <v>402</v>
      </c>
      <c r="C62" s="4" t="s">
        <v>277</v>
      </c>
      <c r="D62" s="4" t="s">
        <v>21</v>
      </c>
      <c r="E62" s="4" t="s">
        <v>27</v>
      </c>
      <c r="F62" s="4" t="s">
        <v>130</v>
      </c>
      <c r="G62" s="4" t="s">
        <v>70</v>
      </c>
      <c r="H62" s="4" t="s">
        <v>87</v>
      </c>
      <c r="I62" s="9" t="s">
        <v>29</v>
      </c>
      <c r="J62" s="9" t="s">
        <v>131</v>
      </c>
      <c r="K62" s="9" t="s">
        <v>26</v>
      </c>
      <c r="L62" s="1" t="str">
        <f t="shared" si="0"/>
        <v>insert into CHB_DATACHECK_RULE (CHECKRULEID,DATATYPE,CHECKCLASS,CHECKMETHOD,SRCPROPERTY,COMPARETO,OBJVALUE,REMARK,STATUS,NULLABLE) values ('de274A49-6813-5A9E-F060-007F01006A65','CHB_PRD_DECLARE_SUB','com.joyintech.tams.common.svreport.datacheck.service.BaseCheckLib','lessThanCharLength','IS_SHORT_TERM','==','0','是否设置最短持有期限要素必须为空','E','Y');</v>
      </c>
    </row>
    <row r="63" spans="1:12" x14ac:dyDescent="0.15">
      <c r="A63" s="9" t="s">
        <v>403</v>
      </c>
      <c r="B63" s="4" t="s">
        <v>404</v>
      </c>
      <c r="C63" s="4" t="s">
        <v>277</v>
      </c>
      <c r="D63" s="4" t="s">
        <v>21</v>
      </c>
      <c r="E63" s="4" t="s">
        <v>27</v>
      </c>
      <c r="F63" s="4" t="s">
        <v>133</v>
      </c>
      <c r="G63" s="4" t="s">
        <v>70</v>
      </c>
      <c r="H63" s="4" t="s">
        <v>87</v>
      </c>
      <c r="I63" s="9" t="s">
        <v>29</v>
      </c>
      <c r="J63" s="9" t="s">
        <v>405</v>
      </c>
      <c r="K63" s="9" t="s">
        <v>26</v>
      </c>
      <c r="L63" s="1" t="str">
        <f t="shared" si="0"/>
        <v>insert into CHB_DATACHECK_RULE (CHECKRULEID,DATATYPE,CHECKCLASS,CHECKMETHOD,SRCPROPERTY,COMPARETO,OBJVALUE,REMARK,STATUS,NULLABLE) values ('de284A49-6813-5A9E-F060-007F01006A65','CHB_PRD_DECLARE_SUB','com.joyintech.tams.common.svreport.datacheck.service.BaseCheckLib','lessThanCharLength','SHORT_TERM','==','0','最短持有期限（天）要素必须为空。','E','Y');</v>
      </c>
    </row>
    <row r="64" spans="1:12" x14ac:dyDescent="0.15">
      <c r="A64" s="9" t="s">
        <v>406</v>
      </c>
      <c r="B64" s="4" t="s">
        <v>407</v>
      </c>
      <c r="C64" s="4" t="s">
        <v>277</v>
      </c>
      <c r="D64" s="4" t="s">
        <v>21</v>
      </c>
      <c r="E64" s="4" t="s">
        <v>22</v>
      </c>
      <c r="F64" s="4" t="s">
        <v>133</v>
      </c>
      <c r="I64" s="9" t="s">
        <v>24</v>
      </c>
      <c r="J64" s="9" t="s">
        <v>408</v>
      </c>
      <c r="K64" s="9" t="s">
        <v>26</v>
      </c>
      <c r="L64" s="1" t="str">
        <f t="shared" si="0"/>
        <v>insert into CHB_DATACHECK_RULE (CHECKRULEID,DATATYPE,CHECKCLASS,CHECKMETHOD,SRCPROPERTY,COMPARETO,OBJVALUE,REMARK,STATUS,NULLABLE) values ('de294A49-6813-5A9E-F060-007F01006A66','CHB_PRD_DECLARE_SUB','com.joyintech.tams.common.svreport.datacheck.service.BaseCheckLib','isNotEmpty','SHORT_TERM','','','最短持有期限（天）要素不可为空。','E','N');</v>
      </c>
    </row>
    <row r="65" spans="1:12" x14ac:dyDescent="0.15">
      <c r="A65" s="9" t="s">
        <v>409</v>
      </c>
      <c r="B65" s="4" t="s">
        <v>410</v>
      </c>
      <c r="C65" s="4" t="s">
        <v>277</v>
      </c>
      <c r="D65" s="4" t="s">
        <v>21</v>
      </c>
      <c r="E65" s="4" t="s">
        <v>353</v>
      </c>
      <c r="F65" s="4" t="s">
        <v>23</v>
      </c>
      <c r="G65" s="4" t="s">
        <v>30</v>
      </c>
      <c r="H65" s="4" t="s">
        <v>354</v>
      </c>
      <c r="I65" s="9" t="s">
        <v>29</v>
      </c>
      <c r="J65" s="9" t="s">
        <v>712</v>
      </c>
      <c r="K65" s="9" t="s">
        <v>26</v>
      </c>
      <c r="L65" s="1" t="str">
        <f t="shared" si="0"/>
        <v>insert into CHB_DATACHECK_RULE (CHECKRULEID,DATATYPE,CHECKCLASS,CHECKMETHOD,SRCPROPERTY,COMPARETO,OBJVALUE,REMARK,STATUS,NULLABLE) values ('de294A49-6813-5A9E-F060-007F01006B11','CHB_PRD_DECLARE_SUB','com.joyintech.tams.common.svreport.datacheck.service.BaseCheckLib','isCustomizedStringForWhitelist','PROD_NAME','inWhitelistNoSymbol','^[\u4e00-\u9fa5\ue815-\ue864\uff01-\uff5e\uffe0-\uffe5\u3000-\u3003\u3005-\u3017\u301d-\u301e\u2010\u2013-\u2016\u2018-\u2019\u201c-\u201d\u2025-\u2026\u2030\u2032-\u2033\u2035\u203b\u00b7\u0030-\u0039\u0041-\u005a\u0061-\u007a\u2160-\u216b\u0020-\u0026\u0028-\u007B\u007D\u007E]{0,}$','产品名称必须填写白名单中的文字，仅可由汉字、阿拉伯数字、英文字母组成，建议名称中不要含有任何符号。','E','Y');</v>
      </c>
    </row>
    <row r="66" spans="1:12" x14ac:dyDescent="0.15">
      <c r="A66" s="9" t="s">
        <v>411</v>
      </c>
      <c r="B66" s="4" t="s">
        <v>412</v>
      </c>
      <c r="C66" s="4" t="s">
        <v>277</v>
      </c>
      <c r="D66" s="4" t="s">
        <v>21</v>
      </c>
      <c r="E66" s="4" t="s">
        <v>353</v>
      </c>
      <c r="F66" s="4" t="s">
        <v>31</v>
      </c>
      <c r="H66" s="4" t="s">
        <v>413</v>
      </c>
      <c r="I66" s="9" t="s">
        <v>29</v>
      </c>
      <c r="J66" s="9" t="s">
        <v>33</v>
      </c>
      <c r="K66" s="9" t="s">
        <v>26</v>
      </c>
      <c r="L66" s="1" t="str">
        <f t="shared" si="0"/>
        <v>insert into CHB_DATACHECK_RULE (CHECKRULEID,DATATYPE,CHECKCLASS,CHECKMETHOD,SRCPROPERTY,COMPARETO,OBJVALUE,REMARK,STATUS,NULLABLE) values ('de294A49-6813-5A9E-F060-007F01006B12','CHB_PRD_DECLARE_SUB','com.joyintech.tams.common.svreport.datacheck.service.BaseCheckLib','isCustomizedStringForWhitelist','PROD_INS_ID','','^[\u0030-\u0039\u0041-\u005a\u0061-\u007a\u0020-\u0026\u0028-\u007B\u007D\u007E]{0,}$','行内标识码只能含有白名单内的阿拉伯数字，英文字母，半角符号，全角符号。','E','Y');</v>
      </c>
    </row>
    <row r="67" spans="1:12" x14ac:dyDescent="0.15">
      <c r="A67" s="9" t="s">
        <v>414</v>
      </c>
      <c r="B67" s="4" t="s">
        <v>415</v>
      </c>
      <c r="C67" s="4" t="s">
        <v>277</v>
      </c>
      <c r="D67" s="4" t="s">
        <v>21</v>
      </c>
      <c r="E67" s="4" t="s">
        <v>353</v>
      </c>
      <c r="F67" s="4" t="s">
        <v>38</v>
      </c>
      <c r="H67" s="4" t="s">
        <v>354</v>
      </c>
      <c r="I67" s="9" t="s">
        <v>29</v>
      </c>
      <c r="J67" s="9" t="s">
        <v>41</v>
      </c>
      <c r="K67" s="9" t="s">
        <v>26</v>
      </c>
      <c r="L67" s="1" t="str">
        <f t="shared" si="0"/>
        <v>insert into CHB_DATACHECK_RULE (CHECKRULEID,DATATYPE,CHECKCLASS,CHECKMETHOD,SRCPROPERTY,COMPARETO,OBJVALUE,REMARK,STATUS,NULLABLE) values ('de294A49-6813-5A9E-F060-007F01006B13','CHB_PRD_DECLARE_SUB','com.joyintech.tams.common.svreport.datacheck.service.BaseCheckLib','isCustomizedStringForWhitelist','APPROVER_ID','','^[\u4e00-\u9fa5\ue815-\ue864\uff01-\uff5e\uffe0-\uffe5\u3000-\u3003\u3005-\u3017\u301d-\u301e\u2010\u2013-\u2016\u2018-\u2019\u201c-\u201d\u2025-\u2026\u2030\u2032-\u2033\u2035\u203b\u00b7\u0030-\u0039\u0041-\u005a\u0061-\u007a\u2160-\u216b\u0020-\u0026\u0028-\u007B\u007D\u007E]{0,}$','产品审批人身份证号必须填写白名单中的文字。','E','Y');</v>
      </c>
    </row>
    <row r="68" spans="1:12" x14ac:dyDescent="0.15">
      <c r="A68" s="9" t="s">
        <v>416</v>
      </c>
      <c r="B68" s="4" t="s">
        <v>417</v>
      </c>
      <c r="C68" s="4" t="s">
        <v>277</v>
      </c>
      <c r="D68" s="4" t="s">
        <v>21</v>
      </c>
      <c r="E68" s="4" t="s">
        <v>353</v>
      </c>
      <c r="F68" s="4" t="s">
        <v>42</v>
      </c>
      <c r="H68" s="4" t="s">
        <v>354</v>
      </c>
      <c r="I68" s="9" t="s">
        <v>29</v>
      </c>
      <c r="J68" s="9" t="s">
        <v>45</v>
      </c>
      <c r="K68" s="9" t="s">
        <v>26</v>
      </c>
      <c r="L68" s="1" t="str">
        <f t="shared" si="0"/>
        <v>insert into CHB_DATACHECK_RULE (CHECKRULEID,DATATYPE,CHECKCLASS,CHECKMETHOD,SRCPROPERTY,COMPARETO,OBJVALUE,REMARK,STATUS,NULLABLE) values ('de294A49-6813-5A9E-F060-007F01006B14','CHB_PRD_DECLARE_SUB','com.joyintech.tams.common.svreport.datacheck.service.BaseCheckLib','isCustomizedStringForWhitelist','DESIGNER_ID','','^[\u4e00-\u9fa5\ue815-\ue864\uff01-\uff5e\uffe0-\uffe5\u3000-\u3003\u3005-\u3017\u301d-\u301e\u2010\u2013-\u2016\u2018-\u2019\u201c-\u201d\u2025-\u2026\u2030\u2032-\u2033\u2035\u203b\u00b7\u0030-\u0039\u0041-\u005a\u0061-\u007a\u2160-\u216b\u0020-\u0026\u0028-\u007B\u007D\u007E]{0,}$','产品设计人身份证号必须填写白名单中的文字。','E','Y');</v>
      </c>
    </row>
    <row r="69" spans="1:12" x14ac:dyDescent="0.15">
      <c r="A69" s="9" t="s">
        <v>418</v>
      </c>
      <c r="B69" s="4" t="s">
        <v>419</v>
      </c>
      <c r="C69" s="4" t="s">
        <v>277</v>
      </c>
      <c r="D69" s="4" t="s">
        <v>21</v>
      </c>
      <c r="E69" s="4" t="s">
        <v>353</v>
      </c>
      <c r="F69" s="4" t="s">
        <v>46</v>
      </c>
      <c r="H69" s="4" t="s">
        <v>354</v>
      </c>
      <c r="I69" s="9" t="s">
        <v>29</v>
      </c>
      <c r="J69" s="9" t="s">
        <v>49</v>
      </c>
      <c r="K69" s="9" t="s">
        <v>26</v>
      </c>
      <c r="L69" s="1" t="str">
        <f t="shared" ref="L69:L132" si="1">CONCATENATE("insert into CHB_DATACHECK_RULE (CHECKRULEID,DATATYPE,CHECKCLASS,CHECKMETHOD,SRCPROPERTY,COMPARETO,OBJVALUE,REMARK,STATUS,NULLABLE) values ('",B69,"','",C69,"','",D69,"','",E69,"','",F69,"','",G69,"','",H69,"','",J69,"','",K69,"','",I69,"');")</f>
        <v>insert into CHB_DATACHECK_RULE (CHECKRULEID,DATATYPE,CHECKCLASS,CHECKMETHOD,SRCPROPERTY,COMPARETO,OBJVALUE,REMARK,STATUS,NULLABLE) values ('de294A49-6813-5A9E-F060-007F01006B15','CHB_PRD_DECLARE_SUB','com.joyintech.tams.common.svreport.datacheck.service.BaseCheckLib','isCustomizedStringForWhitelist','MANAGER_ID','','^[\u4e00-\u9fa5\ue815-\ue864\uff01-\uff5e\uffe0-\uffe5\u3000-\u3003\u3005-\u3017\u301d-\u301e\u2010\u2013-\u2016\u2018-\u2019\u201c-\u201d\u2025-\u2026\u2030\u2032-\u2033\u2035\u203b\u00b7\u0030-\u0039\u0041-\u005a\u0061-\u007a\u2160-\u216b\u0020-\u0026\u0028-\u007B\u007D\u007E]{0,}$','投资经理身份证号必须填写白名单中的文字。','E','Y');</v>
      </c>
    </row>
    <row r="70" spans="1:12" x14ac:dyDescent="0.15">
      <c r="A70" s="9" t="s">
        <v>420</v>
      </c>
      <c r="B70" s="4" t="s">
        <v>421</v>
      </c>
      <c r="C70" s="4" t="s">
        <v>277</v>
      </c>
      <c r="D70" s="4" t="s">
        <v>21</v>
      </c>
      <c r="E70" s="4" t="s">
        <v>353</v>
      </c>
      <c r="F70" s="4" t="s">
        <v>50</v>
      </c>
      <c r="H70" s="4" t="s">
        <v>354</v>
      </c>
      <c r="I70" s="9" t="s">
        <v>29</v>
      </c>
      <c r="J70" s="9" t="s">
        <v>54</v>
      </c>
      <c r="K70" s="9" t="s">
        <v>26</v>
      </c>
      <c r="L70" s="1" t="str">
        <f t="shared" si="1"/>
        <v>insert into CHB_DATACHECK_RULE (CHECKRULEID,DATATYPE,CHECKCLASS,CHECKMETHOD,SRCPROPERTY,COMPARETO,OBJVALUE,REMARK,STATUS,NULLABLE) values ('de294A49-6813-5A9E-F060-007F01006B16','CHB_PRD_DECLARE_SUB','com.joyintech.tams.common.svreport.datacheck.service.BaseCheckLib','isCustomizedStringForWhitelist','LIAISON_NAME','','^[\u4e00-\u9fa5\ue815-\ue864\uff01-\uff5e\uffe0-\uffe5\u3000-\u3003\u3005-\u3017\u301d-\u301e\u2010\u2013-\u2016\u2018-\u2019\u201c-\u201d\u2025-\u2026\u2030\u2032-\u2033\u2035\u203b\u00b7\u0030-\u0039\u0041-\u005a\u0061-\u007a\u2160-\u216b\u0020-\u0026\u0028-\u007B\u007D\u007E]{0,}$','业务联络人姓名必须填写白名单中的文字。','E','Y');</v>
      </c>
    </row>
    <row r="71" spans="1:12" x14ac:dyDescent="0.15">
      <c r="A71" s="9" t="s">
        <v>422</v>
      </c>
      <c r="B71" s="4" t="s">
        <v>423</v>
      </c>
      <c r="C71" s="4" t="s">
        <v>277</v>
      </c>
      <c r="D71" s="4" t="s">
        <v>21</v>
      </c>
      <c r="E71" s="4" t="s">
        <v>353</v>
      </c>
      <c r="F71" s="4" t="s">
        <v>110</v>
      </c>
      <c r="H71" s="4" t="s">
        <v>354</v>
      </c>
      <c r="I71" s="9" t="s">
        <v>29</v>
      </c>
      <c r="J71" s="9" t="s">
        <v>115</v>
      </c>
      <c r="K71" s="9" t="s">
        <v>26</v>
      </c>
      <c r="L71" s="1" t="str">
        <f t="shared" si="1"/>
        <v>insert into CHB_DATACHECK_RULE (CHECKRULEID,DATATYPE,CHECKCLASS,CHECKMETHOD,SRCPROPERTY,COMPARETO,OBJVALUE,REMARK,STATUS,NULLABLE) values ('de294A49-6813-5A9E-F060-007F01006B17','CHB_PRD_DECLARE_SUB','com.joyintech.tams.common.svreport.datacheck.service.BaseCheckLib','isCustomizedStringForWhitelist','MNAME','','^[\u4e00-\u9fa5\ue815-\ue864\uff01-\uff5e\uffe0-\uffe5\u3000-\u3003\u3005-\u3017\u301d-\u301e\u2010\u2013-\u2016\u2018-\u2019\u201c-\u201d\u2025-\u2026\u2030\u2032-\u2033\u2035\u203b\u00b7\u0030-\u0039\u0041-\u005a\u0061-\u007a\u2160-\u216b\u0020-\u0026\u0028-\u007B\u007D\u007E]{0,}$','实际管理人名称必须填写白名单中的文字。','E','Y');</v>
      </c>
    </row>
    <row r="72" spans="1:12" x14ac:dyDescent="0.15">
      <c r="A72" s="9" t="s">
        <v>424</v>
      </c>
      <c r="B72" s="4" t="s">
        <v>425</v>
      </c>
      <c r="C72" s="4" t="s">
        <v>277</v>
      </c>
      <c r="D72" s="4" t="s">
        <v>21</v>
      </c>
      <c r="E72" s="4" t="s">
        <v>353</v>
      </c>
      <c r="F72" s="4" t="s">
        <v>188</v>
      </c>
      <c r="H72" s="4" t="s">
        <v>354</v>
      </c>
      <c r="I72" s="9" t="s">
        <v>29</v>
      </c>
      <c r="J72" s="9" t="s">
        <v>192</v>
      </c>
      <c r="K72" s="9" t="s">
        <v>26</v>
      </c>
      <c r="L72" s="1" t="str">
        <f t="shared" si="1"/>
        <v>insert into CHB_DATACHECK_RULE (CHECKRULEID,DATATYPE,CHECKCLASS,CHECKMETHOD,SRCPROPERTY,COMPARETO,OBJVALUE,REMARK,STATUS,NULLABLE) values ('de294A49-6813-5A9E-F060-007F01006B18','CHB_PRD_DECLARE_SUB','com.joyintech.tams.common.svreport.datacheck.service.BaseCheckLib','isCustomizedStringForWhitelist','IN_DEP_CODE','','^[\u4e00-\u9fa5\ue815-\ue864\uff01-\uff5e\uffe0-\uffe5\u3000-\u3003\u3005-\u3017\u301d-\u301e\u2010\u2013-\u2016\u2018-\u2019\u201c-\u201d\u2025-\u2026\u2030\u2032-\u2033\u2035\u203b\u00b7\u0030-\u0039\u0041-\u005a\u0061-\u007a\u2160-\u216b\u0020-\u0026\u0028-\u007B\u007D\u007E]{0,}$','境内托管机构代码必须填写白名单中的文字。','E','Y');</v>
      </c>
    </row>
    <row r="73" spans="1:12" x14ac:dyDescent="0.15">
      <c r="A73" s="9" t="s">
        <v>426</v>
      </c>
      <c r="B73" s="4" t="s">
        <v>427</v>
      </c>
      <c r="C73" s="4" t="s">
        <v>277</v>
      </c>
      <c r="D73" s="4" t="s">
        <v>21</v>
      </c>
      <c r="E73" s="4" t="s">
        <v>353</v>
      </c>
      <c r="F73" s="4" t="s">
        <v>216</v>
      </c>
      <c r="H73" s="4" t="s">
        <v>354</v>
      </c>
      <c r="I73" s="9" t="s">
        <v>29</v>
      </c>
      <c r="J73" s="9" t="s">
        <v>217</v>
      </c>
      <c r="K73" s="9" t="s">
        <v>26</v>
      </c>
      <c r="L73" s="1" t="str">
        <f t="shared" si="1"/>
        <v>insert into CHB_DATACHECK_RULE (CHECKRULEID,DATATYPE,CHECKCLASS,CHECKMETHOD,SRCPROPERTY,COMPARETO,OBJVALUE,REMARK,STATUS,NULLABLE) values ('de294A49-6813-5A9E-F060-007F01006B20','CHB_PRD_DECLARE_SUB','com.joyintech.tams.common.svreport.datacheck.service.BaseCheckLib','isCustomizedStringForWhitelist','PROD_BRAND','','^[\u4e00-\u9fa5\ue815-\ue864\uff01-\uff5e\uffe0-\uffe5\u3000-\u3003\u3005-\u3017\u301d-\u301e\u2010\u2013-\u2016\u2018-\u2019\u201c-\u201d\u2025-\u2026\u2030\u2032-\u2033\u2035\u203b\u00b7\u0030-\u0039\u0041-\u005a\u0061-\u007a\u2160-\u216b\u0020-\u0026\u0028-\u007B\u007D\u007E]{0,}$','产品品牌必须填写白名单中的文字。','E','Y');</v>
      </c>
    </row>
    <row r="74" spans="1:12" x14ac:dyDescent="0.15">
      <c r="A74" s="9" t="s">
        <v>428</v>
      </c>
      <c r="B74" s="4" t="s">
        <v>429</v>
      </c>
      <c r="C74" s="4" t="s">
        <v>277</v>
      </c>
      <c r="D74" s="4" t="s">
        <v>21</v>
      </c>
      <c r="E74" s="4" t="s">
        <v>353</v>
      </c>
      <c r="F74" s="4" t="s">
        <v>230</v>
      </c>
      <c r="H74" s="4" t="s">
        <v>354</v>
      </c>
      <c r="I74" s="9" t="s">
        <v>29</v>
      </c>
      <c r="J74" s="9" t="s">
        <v>234</v>
      </c>
      <c r="K74" s="9" t="s">
        <v>26</v>
      </c>
      <c r="L74" s="1" t="str">
        <f t="shared" si="1"/>
        <v>insert into CHB_DATACHECK_RULE (CHECKRULEID,DATATYPE,CHECKCLASS,CHECKMETHOD,SRCPROPERTY,COMPARETO,OBJVALUE,REMARK,STATUS,NULLABLE) values ('de294A49-6813-5A9E-F060-007F01006B21','CHB_PRD_DECLARE_SUB','com.joyintech.tams.common.svreport.datacheck.service.BaseCheckLib','isCustomizedStringForWhitelist','COOPERATION_NAME','','^[\u4e00-\u9fa5\ue815-\ue864\uff01-\uff5e\uffe0-\uffe5\u3000-\u3003\u3005-\u3017\u301d-\u301e\u2010\u2013-\u2016\u2018-\u2019\u201c-\u201d\u2025-\u2026\u2030\u2032-\u2033\u2035\u203b\u00b7\u0030-\u0039\u0041-\u005a\u0061-\u007a\u2160-\u216b\u0020-\u0026\u0028-\u007B\u007D\u007E]{0,}$','合作机构名称必须填写白名单中的文字。','E','Y');</v>
      </c>
    </row>
    <row r="75" spans="1:12" x14ac:dyDescent="0.15">
      <c r="A75" s="9" t="s">
        <v>430</v>
      </c>
      <c r="B75" s="4" t="s">
        <v>431</v>
      </c>
      <c r="C75" s="4" t="s">
        <v>277</v>
      </c>
      <c r="D75" s="4" t="s">
        <v>21</v>
      </c>
      <c r="E75" s="4" t="s">
        <v>353</v>
      </c>
      <c r="F75" s="4" t="s">
        <v>254</v>
      </c>
      <c r="H75" s="4" t="s">
        <v>354</v>
      </c>
      <c r="I75" s="9" t="s">
        <v>29</v>
      </c>
      <c r="J75" s="9" t="s">
        <v>257</v>
      </c>
      <c r="K75" s="9" t="s">
        <v>26</v>
      </c>
      <c r="L75" s="1" t="str">
        <f t="shared" si="1"/>
        <v>insert into CHB_DATACHECK_RULE (CHECKRULEID,DATATYPE,CHECKCLASS,CHECKMETHOD,SRCPROPERTY,COMPARETO,OBJVALUE,REMARK,STATUS,NULLABLE) values ('de294A49-6813-5A9E-F060-007F01006B22','CHB_PRD_DECLARE_SUB','com.joyintech.tams.common.svreport.datacheck.service.BaseCheckLib','isCustomizedStringForWhitelist','INV_TYPE_RAT','','^[\u4e00-\u9fa5\ue815-\ue864\uff01-\uff5e\uffe0-\uffe5\u3000-\u3003\u3005-\u3017\u301d-\u301e\u2010\u2013-\u2016\u2018-\u2019\u201c-\u201d\u2025-\u2026\u2030\u2032-\u2033\u2035\u203b\u00b7\u0030-\u0039\u0041-\u005a\u0061-\u007a\u2160-\u216b\u0020-\u0026\u0028-\u007B\u007D\u007E]{0,}$','投资资产种类及比例必须填写白名单中的文字。','E','Y');</v>
      </c>
    </row>
    <row r="76" spans="1:12" x14ac:dyDescent="0.15">
      <c r="A76" s="9" t="s">
        <v>432</v>
      </c>
      <c r="B76" s="4" t="s">
        <v>433</v>
      </c>
      <c r="C76" s="4" t="s">
        <v>277</v>
      </c>
      <c r="D76" s="4" t="s">
        <v>21</v>
      </c>
      <c r="E76" s="4" t="s">
        <v>353</v>
      </c>
      <c r="F76" s="4" t="s">
        <v>8</v>
      </c>
      <c r="H76" s="4" t="s">
        <v>354</v>
      </c>
      <c r="I76" s="9" t="s">
        <v>29</v>
      </c>
      <c r="J76" s="9" t="s">
        <v>261</v>
      </c>
      <c r="K76" s="9" t="s">
        <v>26</v>
      </c>
      <c r="L76" s="1" t="str">
        <f t="shared" si="1"/>
        <v>insert into CHB_DATACHECK_RULE (CHECKRULEID,DATATYPE,CHECKCLASS,CHECKMETHOD,SRCPROPERTY,COMPARETO,OBJVALUE,REMARK,STATUS,NULLABLE) values ('de294A49-6813-5A9E-F060-007F01006B23','CHB_PRD_DECLARE_SUB','com.joyintech.tams.common.svreport.datacheck.service.BaseCheckLib','isCustomizedStringForWhitelist','REMARK','','^[\u4e00-\u9fa5\ue815-\ue864\uff01-\uff5e\uffe0-\uffe5\u3000-\u3003\u3005-\u3017\u301d-\u301e\u2010\u2013-\u2016\u2018-\u2019\u201c-\u201d\u2025-\u2026\u2030\u2032-\u2033\u2035\u203b\u00b7\u0030-\u0039\u0041-\u005a\u0061-\u007a\u2160-\u216b\u0020-\u0026\u0028-\u007B\u007D\u007E]{0,}$','备注必须填写白名单中的文字。','E','Y');</v>
      </c>
    </row>
    <row r="77" spans="1:12" x14ac:dyDescent="0.15">
      <c r="A77" s="9" t="s">
        <v>434</v>
      </c>
      <c r="B77" s="4" t="s">
        <v>435</v>
      </c>
      <c r="C77" s="4" t="s">
        <v>277</v>
      </c>
      <c r="D77" s="4" t="s">
        <v>21</v>
      </c>
      <c r="E77" s="4" t="s">
        <v>36</v>
      </c>
      <c r="F77" s="4" t="s">
        <v>34</v>
      </c>
      <c r="H77" s="4" t="s">
        <v>436</v>
      </c>
      <c r="I77" s="9" t="s">
        <v>29</v>
      </c>
      <c r="J77" s="9" t="s">
        <v>37</v>
      </c>
      <c r="K77" s="9" t="s">
        <v>26</v>
      </c>
      <c r="L77" s="1" t="str">
        <f t="shared" si="1"/>
        <v>insert into CHB_DATACHECK_RULE (CHECKRULEID,DATATYPE,CHECKCLASS,CHECKMETHOD,SRCPROPERTY,COMPARETO,OBJVALUE,REMARK,STATUS,NULLABLE) values ('de294A49-6813-5A9E-F060-007F01006B24','CHB_PRD_DECLARE_SUB','com.joyintech.tams.common.svreport.datacheck.service.BaseCheckLib','isCustomizedString','ISSUE_PARTY_ID','','^[0-9a-zA-Z]{6}$','发行机构代码要素格式不对。正确的格式：6位英文或数字。','E','Y');</v>
      </c>
    </row>
    <row r="78" spans="1:12" x14ac:dyDescent="0.15">
      <c r="A78" s="9" t="s">
        <v>437</v>
      </c>
      <c r="B78" s="4" t="s">
        <v>438</v>
      </c>
      <c r="C78" s="4" t="s">
        <v>277</v>
      </c>
      <c r="D78" s="4" t="s">
        <v>21</v>
      </c>
      <c r="E78" s="4" t="s">
        <v>36</v>
      </c>
      <c r="F78" s="4" t="s">
        <v>55</v>
      </c>
      <c r="H78" s="4" t="s">
        <v>439</v>
      </c>
      <c r="I78" s="9" t="s">
        <v>29</v>
      </c>
      <c r="J78" s="9" t="s">
        <v>58</v>
      </c>
      <c r="K78" s="9" t="s">
        <v>26</v>
      </c>
      <c r="L78" s="1" t="str">
        <f t="shared" si="1"/>
        <v>insert into CHB_DATACHECK_RULE (CHECKRULEID,DATATYPE,CHECKCLASS,CHECKMETHOD,SRCPROPERTY,COMPARETO,OBJVALUE,REMARK,STATUS,NULLABLE) values ('de294A49-6813-5A9E-F060-007F01006B25','CHB_PRD_DECLARE_SUB','com.joyintech.tams.common.svreport.datacheck.service.BaseCheckLib','isCustomizedString','LIAISON_TEL','','^(0[0-9]{2,3}\-)?([2-9][0-9]{6,7})+(\-[0-9]{1,8})?$','业务联络人座机不合法,合法的模式：XXXX(3或4位)-XXXXXXXX（7或8位）-XXXXX（小于等于8位）分机号码可以不填。','E','Y');</v>
      </c>
    </row>
    <row r="79" spans="1:12" x14ac:dyDescent="0.15">
      <c r="A79" s="9" t="s">
        <v>440</v>
      </c>
      <c r="B79" s="4" t="s">
        <v>441</v>
      </c>
      <c r="C79" s="4" t="s">
        <v>277</v>
      </c>
      <c r="D79" s="4" t="s">
        <v>21</v>
      </c>
      <c r="E79" s="4" t="s">
        <v>36</v>
      </c>
      <c r="F79" s="4" t="s">
        <v>59</v>
      </c>
      <c r="H79" s="4" t="s">
        <v>61</v>
      </c>
      <c r="I79" s="9" t="s">
        <v>29</v>
      </c>
      <c r="J79" s="9" t="s">
        <v>62</v>
      </c>
      <c r="K79" s="9" t="s">
        <v>26</v>
      </c>
      <c r="L79" s="1" t="str">
        <f t="shared" si="1"/>
        <v>insert into CHB_DATACHECK_RULE (CHECKRULEID,DATATYPE,CHECKCLASS,CHECKMETHOD,SRCPROPERTY,COMPARETO,OBJVALUE,REMARK,STATUS,NULLABLE) values ('de294A49-6813-5A9E-F060-007F01006B26','CHB_PRD_DECLARE_SUB','com.joyintech.tams.common.svreport.datacheck.service.BaseCheckLib','isCustomizedString','LIAISON_MOBILE','','^1\d{10}$','业务联络人手机不合法,合法的模式：13488996666（11位）。','E','Y');</v>
      </c>
    </row>
    <row r="80" spans="1:12" x14ac:dyDescent="0.15">
      <c r="A80" s="9" t="s">
        <v>442</v>
      </c>
      <c r="B80" s="4" t="s">
        <v>443</v>
      </c>
      <c r="C80" s="4" t="s">
        <v>277</v>
      </c>
      <c r="D80" s="4" t="s">
        <v>21</v>
      </c>
      <c r="E80" s="4" t="s">
        <v>36</v>
      </c>
      <c r="F80" s="4" t="s">
        <v>63</v>
      </c>
      <c r="H80" s="4" t="s">
        <v>444</v>
      </c>
      <c r="I80" s="9" t="s">
        <v>29</v>
      </c>
      <c r="J80" s="9" t="s">
        <v>66</v>
      </c>
      <c r="K80" s="9" t="s">
        <v>26</v>
      </c>
      <c r="L80" s="1" t="str">
        <f t="shared" si="1"/>
        <v>insert into CHB_DATACHECK_RULE (CHECKRULEID,DATATYPE,CHECKCLASS,CHECKMETHOD,SRCPROPERTY,COMPARETO,OBJVALUE,REMARK,STATUS,NULLABLE) values ('de294A49-6813-5A9E-F060-007F01006B27','CHB_PRD_DECLARE_SUB','com.joyintech.tams.common.svreport.datacheck.service.BaseCheckLib','isCustomizedString','LIAISON_EMAIL','','^[a-zA-Z0-9_.-]+@[a-zA-Z0-9_.-]+(\.[a-zA-Z0-9_.-]+)*\.[a-zA-Z0-9]{2,6}$','业务联络人邮箱地址不合法,合法email格式如：John@163.com。','E','Y');</v>
      </c>
    </row>
    <row r="81" spans="1:12" x14ac:dyDescent="0.15">
      <c r="A81" s="9" t="s">
        <v>445</v>
      </c>
      <c r="B81" s="4" t="s">
        <v>446</v>
      </c>
      <c r="C81" s="4" t="s">
        <v>277</v>
      </c>
      <c r="D81" s="4" t="s">
        <v>21</v>
      </c>
      <c r="E81" s="4" t="s">
        <v>69</v>
      </c>
      <c r="F81" s="4" t="s">
        <v>148</v>
      </c>
      <c r="G81" s="4" t="s">
        <v>447</v>
      </c>
      <c r="H81" s="4" t="s">
        <v>150</v>
      </c>
      <c r="I81" s="9" t="s">
        <v>29</v>
      </c>
      <c r="J81" s="9" t="s">
        <v>448</v>
      </c>
      <c r="K81" s="9" t="s">
        <v>26</v>
      </c>
      <c r="L81" s="1" t="str">
        <f t="shared" si="1"/>
        <v>insert into CHB_DATACHECK_RULE (CHECKRULEID,DATATYPE,CHECKCLASS,CHECKMETHOD,SRCPROPERTY,COMPARETO,OBJVALUE,REMARK,STATUS,NULLABLE) values ('de294A49-6813-5A9E-F060-007F01006B28','CHB_PRD_DECLARE_SUB','com.joyintech.tams.common.svreport.datacheck.service.BaseCheckLib','inDatadict','SALE_AREA','&lt;','SVR_BUY_PLACE','产品销售区域不在值域范围内并且产品销售区域的多选选项不可重复。','E','Y');</v>
      </c>
    </row>
    <row r="82" spans="1:12" x14ac:dyDescent="0.15">
      <c r="A82" s="9" t="s">
        <v>449</v>
      </c>
      <c r="B82" s="4" t="s">
        <v>450</v>
      </c>
      <c r="C82" s="4" t="s">
        <v>277</v>
      </c>
      <c r="D82" s="4" t="s">
        <v>21</v>
      </c>
      <c r="E82" s="4" t="s">
        <v>69</v>
      </c>
      <c r="F82" s="4" t="s">
        <v>83</v>
      </c>
      <c r="G82" s="4" t="s">
        <v>447</v>
      </c>
      <c r="H82" s="4" t="s">
        <v>88</v>
      </c>
      <c r="I82" s="9" t="s">
        <v>29</v>
      </c>
      <c r="J82" s="9" t="s">
        <v>451</v>
      </c>
      <c r="K82" s="9" t="s">
        <v>26</v>
      </c>
      <c r="L82" s="1" t="str">
        <f t="shared" si="1"/>
        <v>insert into CHB_DATACHECK_RULE (CHECKRULEID,DATATYPE,CHECKCLASS,CHECKMETHOD,SRCPROPERTY,COMPARETO,OBJVALUE,REMARK,STATUS,NULLABLE) values ('de294A49-6813-5A9E-F060-007F01006B29','CHB_PRD_DECLARE_SUB','com.joyintech.tams.common.svreport.datacheck.service.BaseCheckLib','inDatadict','INVEST_COUNTRY','&lt;','SVR_COUNTRY_AREA','产品投资国家或地区不在值域范围内并且产品投资国家或地区的多选选项不可重复。','E','Y');</v>
      </c>
    </row>
    <row r="83" spans="1:12" x14ac:dyDescent="0.15">
      <c r="A83" s="9" t="s">
        <v>452</v>
      </c>
      <c r="B83" s="4" t="s">
        <v>453</v>
      </c>
      <c r="C83" s="4" t="s">
        <v>277</v>
      </c>
      <c r="D83" s="4" t="s">
        <v>21</v>
      </c>
      <c r="E83" s="4" t="s">
        <v>69</v>
      </c>
      <c r="F83" s="4" t="s">
        <v>156</v>
      </c>
      <c r="G83" s="4" t="s">
        <v>447</v>
      </c>
      <c r="H83" s="4" t="s">
        <v>158</v>
      </c>
      <c r="I83" s="9" t="s">
        <v>29</v>
      </c>
      <c r="J83" s="9" t="s">
        <v>454</v>
      </c>
      <c r="K83" s="9" t="s">
        <v>26</v>
      </c>
      <c r="L83" s="1" t="str">
        <f t="shared" si="1"/>
        <v>insert into CHB_DATACHECK_RULE (CHECKRULEID,DATATYPE,CHECKCLASS,CHECKMETHOD,SRCPROPERTY,COMPARETO,OBJVALUE,REMARK,STATUS,NULLABLE) values ('de294A49-6813-5A9E-F060-007F01006B30','CHB_PRD_DECLARE_SUB','com.joyintech.tams.common.svreport.datacheck.service.BaseCheckLib','inDatadict','RAISE_CCY','&lt;','CURRENCY_CHB','募集币种区域不在值域范围内并且募集币种的多选选项不可重复。','E','Y');</v>
      </c>
    </row>
    <row r="84" spans="1:12" x14ac:dyDescent="0.15">
      <c r="A84" s="9" t="s">
        <v>455</v>
      </c>
      <c r="B84" s="4" t="s">
        <v>456</v>
      </c>
      <c r="C84" s="4" t="s">
        <v>277</v>
      </c>
      <c r="D84" s="4" t="s">
        <v>21</v>
      </c>
      <c r="E84" s="4" t="s">
        <v>69</v>
      </c>
      <c r="F84" s="4" t="s">
        <v>159</v>
      </c>
      <c r="G84" s="4" t="s">
        <v>447</v>
      </c>
      <c r="H84" s="4" t="s">
        <v>158</v>
      </c>
      <c r="I84" s="9" t="s">
        <v>29</v>
      </c>
      <c r="J84" s="9" t="s">
        <v>457</v>
      </c>
      <c r="K84" s="9" t="s">
        <v>26</v>
      </c>
      <c r="L84" s="1" t="str">
        <f t="shared" si="1"/>
        <v>insert into CHB_DATACHECK_RULE (CHECKRULEID,DATATYPE,CHECKCLASS,CHECKMETHOD,SRCPROPERTY,COMPARETO,OBJVALUE,REMARK,STATUS,NULLABLE) values ('de294A49-6813-5A9E-F060-007F01006B31','CHB_PRD_DECLARE_SUB','com.joyintech.tams.common.svreport.datacheck.service.BaseCheckLib','inDatadict','CASH_PRIN_CCY','&lt;','CURRENCY_CHB','兑付本金币种不在值域范围内并且兑付本金币种的多选选项不可重复。','E','Y');</v>
      </c>
    </row>
    <row r="85" spans="1:12" x14ac:dyDescent="0.15">
      <c r="A85" s="9" t="s">
        <v>458</v>
      </c>
      <c r="B85" s="4" t="s">
        <v>459</v>
      </c>
      <c r="C85" s="4" t="s">
        <v>277</v>
      </c>
      <c r="D85" s="4" t="s">
        <v>21</v>
      </c>
      <c r="E85" s="4" t="s">
        <v>69</v>
      </c>
      <c r="F85" s="4" t="s">
        <v>161</v>
      </c>
      <c r="G85" s="4" t="s">
        <v>447</v>
      </c>
      <c r="H85" s="4" t="s">
        <v>158</v>
      </c>
      <c r="I85" s="9" t="s">
        <v>29</v>
      </c>
      <c r="J85" s="9" t="s">
        <v>460</v>
      </c>
      <c r="K85" s="9" t="s">
        <v>26</v>
      </c>
      <c r="L85" s="1" t="str">
        <f t="shared" si="1"/>
        <v>insert into CHB_DATACHECK_RULE (CHECKRULEID,DATATYPE,CHECKCLASS,CHECKMETHOD,SRCPROPERTY,COMPARETO,OBJVALUE,REMARK,STATUS,NULLABLE) values ('de294A49-6813-5A9E-F060-007F01006B32','CHB_PRD_DECLARE_SUB','com.joyintech.tams.common.svreport.datacheck.service.BaseCheckLib','inDatadict','CASH_PROF_CCY','&lt;','CURRENCY_CHB','兑付收益币种不在值域范围内并且兑付收益币种的多选选项不可重复。','E','Y');</v>
      </c>
    </row>
    <row r="86" spans="1:12" x14ac:dyDescent="0.15">
      <c r="A86" s="9" t="s">
        <v>461</v>
      </c>
      <c r="B86" s="4" t="s">
        <v>462</v>
      </c>
      <c r="C86" s="4" t="s">
        <v>277</v>
      </c>
      <c r="D86" s="4" t="s">
        <v>21</v>
      </c>
      <c r="E86" s="4" t="s">
        <v>69</v>
      </c>
      <c r="F86" s="4" t="s">
        <v>193</v>
      </c>
      <c r="G86" s="4" t="s">
        <v>447</v>
      </c>
      <c r="H86" s="4" t="s">
        <v>88</v>
      </c>
      <c r="I86" s="9" t="s">
        <v>29</v>
      </c>
      <c r="J86" s="9" t="s">
        <v>463</v>
      </c>
      <c r="K86" s="9" t="s">
        <v>26</v>
      </c>
      <c r="L86" s="1" t="str">
        <f t="shared" si="1"/>
        <v>insert into CHB_DATACHECK_RULE (CHECKRULEID,DATATYPE,CHECKCLASS,CHECKMETHOD,SRCPROPERTY,COMPARETO,OBJVALUE,REMARK,STATUS,NULLABLE) values ('de294A49-6813-5A9E-F060-007F01006B33','CHB_PRD_DECLARE_SUB','com.joyintech.tams.common.svreport.datacheck.service.BaseCheckLib','inDatadict','OUT_DEP_CTRY','&lt;','SVR_COUNTRY_AREA','境外托管机构国别不在值域范围内并且境外托管机构国别的多选选项不可重复。','E','Y');</v>
      </c>
    </row>
    <row r="87" spans="1:12" x14ac:dyDescent="0.15">
      <c r="A87" s="9" t="s">
        <v>464</v>
      </c>
      <c r="B87" s="4" t="s">
        <v>465</v>
      </c>
      <c r="C87" s="4" t="s">
        <v>277</v>
      </c>
      <c r="D87" s="4" t="s">
        <v>21</v>
      </c>
      <c r="E87" s="4" t="s">
        <v>69</v>
      </c>
      <c r="F87" s="4" t="s">
        <v>202</v>
      </c>
      <c r="G87" s="4" t="s">
        <v>447</v>
      </c>
      <c r="H87" s="4" t="s">
        <v>204</v>
      </c>
      <c r="I87" s="9" t="s">
        <v>29</v>
      </c>
      <c r="J87" s="9" t="s">
        <v>466</v>
      </c>
      <c r="K87" s="9" t="s">
        <v>26</v>
      </c>
      <c r="L87" s="1" t="str">
        <f t="shared" si="1"/>
        <v>insert into CHB_DATACHECK_RULE (CHECKRULEID,DATATYPE,CHECKCLASS,CHECKMETHOD,SRCPROPERTY,COMPARETO,OBJVALUE,REMARK,STATUS,NULLABLE) values ('de294A49-6813-5A9E-F060-007F01006B34','CHB_PRD_DECLARE_SUB','com.joyintech.tams.common.svreport.datacheck.service.BaseCheckLib','inDatadict','RISK_TYPE','&lt;','SVR_RISKTYPE','投资者风险偏好不在值域范围内并且投资者风险偏好的多选选项不可重复。','E','Y');</v>
      </c>
    </row>
    <row r="88" spans="1:12" x14ac:dyDescent="0.15">
      <c r="A88" s="9" t="s">
        <v>467</v>
      </c>
      <c r="B88" s="4" t="s">
        <v>468</v>
      </c>
      <c r="C88" s="4" t="s">
        <v>277</v>
      </c>
      <c r="D88" s="4" t="s">
        <v>21</v>
      </c>
      <c r="E88" s="4" t="s">
        <v>69</v>
      </c>
      <c r="F88" s="4" t="s">
        <v>245</v>
      </c>
      <c r="G88" s="4" t="s">
        <v>447</v>
      </c>
      <c r="H88" s="4" t="s">
        <v>248</v>
      </c>
      <c r="I88" s="9" t="s">
        <v>29</v>
      </c>
      <c r="J88" s="9" t="s">
        <v>469</v>
      </c>
      <c r="K88" s="9" t="s">
        <v>26</v>
      </c>
      <c r="L88" s="1" t="str">
        <f t="shared" si="1"/>
        <v>insert into CHB_DATACHECK_RULE (CHECKRULEID,DATATYPE,CHECKCLASS,CHECKMETHOD,SRCPROPERTY,COMPARETO,OBJVALUE,REMARK,STATUS,NULLABLE) values ('de294A49-6813-5A9E-F060-007F01006B35','CHB_PRD_DECLARE_SUB','com.joyintech.tams.common.svreport.datacheck.service.BaseCheckLib','inDatadict','CREDIT_TYPE','&lt;','SVR_CREDIT_TYPE','产品增信机构类型不在值域范围内并且产品增信机构类型的多选选项不可重复。','E','Y');</v>
      </c>
    </row>
    <row r="89" spans="1:12" x14ac:dyDescent="0.15">
      <c r="A89" s="9" t="s">
        <v>470</v>
      </c>
      <c r="B89" s="4" t="s">
        <v>471</v>
      </c>
      <c r="C89" s="4" t="s">
        <v>277</v>
      </c>
      <c r="D89" s="4" t="s">
        <v>21</v>
      </c>
      <c r="E89" s="4" t="s">
        <v>27</v>
      </c>
      <c r="F89" s="4" t="s">
        <v>42</v>
      </c>
      <c r="H89" s="4" t="s">
        <v>57</v>
      </c>
      <c r="I89" s="9" t="s">
        <v>29</v>
      </c>
      <c r="J89" s="9" t="s">
        <v>44</v>
      </c>
      <c r="K89" s="9" t="s">
        <v>26</v>
      </c>
      <c r="L89" s="1" t="str">
        <f t="shared" si="1"/>
        <v>insert into CHB_DATACHECK_RULE (CHECKRULEID,DATATYPE,CHECKCLASS,CHECKMETHOD,SRCPROPERTY,COMPARETO,OBJVALUE,REMARK,STATUS,NULLABLE) values ('de294A49-6813-5A9E-F060-107F01006B14','CHB_PRD_DECLARE_SUB','com.joyintech.tams.common.svreport.datacheck.service.BaseCheckLib','lessThanCharLength','DESIGNER_ID','','31','产品设计人身份证号过长。','E','Y');</v>
      </c>
    </row>
    <row r="90" spans="1:12" x14ac:dyDescent="0.15">
      <c r="A90" s="9" t="s">
        <v>472</v>
      </c>
      <c r="B90" s="4" t="s">
        <v>473</v>
      </c>
      <c r="C90" s="4" t="s">
        <v>277</v>
      </c>
      <c r="D90" s="4" t="s">
        <v>21</v>
      </c>
      <c r="E90" s="4" t="s">
        <v>27</v>
      </c>
      <c r="F90" s="4" t="s">
        <v>46</v>
      </c>
      <c r="H90" s="4" t="s">
        <v>57</v>
      </c>
      <c r="I90" s="9" t="s">
        <v>29</v>
      </c>
      <c r="J90" s="9" t="s">
        <v>48</v>
      </c>
      <c r="K90" s="9" t="s">
        <v>26</v>
      </c>
      <c r="L90" s="1" t="str">
        <f t="shared" si="1"/>
        <v>insert into CHB_DATACHECK_RULE (CHECKRULEID,DATATYPE,CHECKCLASS,CHECKMETHOD,SRCPROPERTY,COMPARETO,OBJVALUE,REMARK,STATUS,NULLABLE) values ('de294A49-6813-5A9E-F060-107F01006B15','CHB_PRD_DECLARE_SUB','com.joyintech.tams.common.svreport.datacheck.service.BaseCheckLib','lessThanCharLength','MANAGER_ID','','31','投资经理身份证号过长。','E','Y');</v>
      </c>
    </row>
    <row r="91" spans="1:12" x14ac:dyDescent="0.15">
      <c r="A91" s="9" t="s">
        <v>474</v>
      </c>
      <c r="B91" s="4" t="s">
        <v>475</v>
      </c>
      <c r="C91" s="4" t="s">
        <v>277</v>
      </c>
      <c r="D91" s="4" t="s">
        <v>21</v>
      </c>
      <c r="E91" s="4" t="s">
        <v>27</v>
      </c>
      <c r="F91" s="4" t="s">
        <v>50</v>
      </c>
      <c r="H91" s="4" t="s">
        <v>52</v>
      </c>
      <c r="I91" s="9" t="s">
        <v>29</v>
      </c>
      <c r="J91" s="9" t="s">
        <v>53</v>
      </c>
      <c r="K91" s="9" t="s">
        <v>26</v>
      </c>
      <c r="L91" s="1" t="str">
        <f t="shared" si="1"/>
        <v>insert into CHB_DATACHECK_RULE (CHECKRULEID,DATATYPE,CHECKCLASS,CHECKMETHOD,SRCPROPERTY,COMPARETO,OBJVALUE,REMARK,STATUS,NULLABLE) values ('de294A49-6813-5A9E-F060-107F01006B16','CHB_PRD_DECLARE_SUB','com.joyintech.tams.common.svreport.datacheck.service.BaseCheckLib','lessThanCharLength','LIAISON_NAME','','33','业务联络人姓名过长。','E','Y');</v>
      </c>
    </row>
    <row r="92" spans="1:12" x14ac:dyDescent="0.15">
      <c r="A92" s="9" t="s">
        <v>476</v>
      </c>
      <c r="B92" s="4" t="s">
        <v>477</v>
      </c>
      <c r="C92" s="4" t="s">
        <v>277</v>
      </c>
      <c r="D92" s="4" t="s">
        <v>21</v>
      </c>
      <c r="E92" s="4" t="s">
        <v>22</v>
      </c>
      <c r="F92" s="4" t="s">
        <v>63</v>
      </c>
      <c r="I92" s="9" t="s">
        <v>24</v>
      </c>
      <c r="J92" s="9" t="s">
        <v>64</v>
      </c>
      <c r="K92" s="9" t="s">
        <v>26</v>
      </c>
      <c r="L92" s="1" t="str">
        <f t="shared" si="1"/>
        <v>insert into CHB_DATACHECK_RULE (CHECKRULEID,DATATYPE,CHECKCLASS,CHECKMETHOD,SRCPROPERTY,COMPARETO,OBJVALUE,REMARK,STATUS,NULLABLE) values ('de294A49-6813-5A9E-F060-107F01006B26','CHB_PRD_DECLARE_SUB','com.joyintech.tams.common.svreport.datacheck.service.BaseCheckLib','isNotEmpty','LIAISON_EMAIL','','','业务联络人邮箱要素不可为空。','E','N');</v>
      </c>
    </row>
    <row r="93" spans="1:12" x14ac:dyDescent="0.15">
      <c r="A93" s="9" t="s">
        <v>478</v>
      </c>
      <c r="B93" s="4" t="s">
        <v>479</v>
      </c>
      <c r="C93" s="4" t="s">
        <v>277</v>
      </c>
      <c r="D93" s="4" t="s">
        <v>21</v>
      </c>
      <c r="E93" s="4" t="s">
        <v>22</v>
      </c>
      <c r="F93" s="4" t="s">
        <v>67</v>
      </c>
      <c r="I93" s="9" t="s">
        <v>24</v>
      </c>
      <c r="J93" s="9" t="s">
        <v>68</v>
      </c>
      <c r="K93" s="9" t="s">
        <v>26</v>
      </c>
      <c r="L93" s="1" t="str">
        <f t="shared" si="1"/>
        <v>insert into CHB_DATACHECK_RULE (CHECKRULEID,DATATYPE,CHECKCLASS,CHECKMETHOD,SRCPROPERTY,COMPARETO,OBJVALUE,REMARK,STATUS,NULLABLE) values ('de294A49-6813-5A9E-F060-107F01006B27','CHB_PRD_DECLARE_SUB','com.joyintech.tams.common.svreport.datacheck.service.BaseCheckLib','isNotEmpty','PROFIT_TYPE','','','产品收益类型要素不可为空。','E','N');</v>
      </c>
    </row>
    <row r="94" spans="1:12" x14ac:dyDescent="0.15">
      <c r="A94" s="9" t="s">
        <v>480</v>
      </c>
      <c r="B94" s="4" t="s">
        <v>481</v>
      </c>
      <c r="C94" s="4" t="s">
        <v>277</v>
      </c>
      <c r="D94" s="4" t="s">
        <v>21</v>
      </c>
      <c r="E94" s="4" t="s">
        <v>22</v>
      </c>
      <c r="F94" s="4" t="s">
        <v>31</v>
      </c>
      <c r="I94" s="9" t="s">
        <v>24</v>
      </c>
      <c r="J94" s="9" t="s">
        <v>32</v>
      </c>
      <c r="K94" s="9" t="s">
        <v>26</v>
      </c>
      <c r="L94" s="1" t="str">
        <f t="shared" si="1"/>
        <v>insert into CHB_DATACHECK_RULE (CHECKRULEID,DATATYPE,CHECKCLASS,CHECKMETHOD,SRCPROPERTY,COMPARETO,OBJVALUE,REMARK,STATUS,NULLABLE) values ('de2E4A49-6813-5A9E-F060-007F01006A66','CHB_PRD_DECLARE_SUB','com.joyintech.tams.common.svreport.datacheck.service.BaseCheckLib','isNotEmpty','PROD_INS_ID','','','行内标识码要素不可为空。','E','N');</v>
      </c>
    </row>
    <row r="95" spans="1:12" x14ac:dyDescent="0.15">
      <c r="A95" s="9" t="s">
        <v>482</v>
      </c>
      <c r="B95" s="4" t="s">
        <v>483</v>
      </c>
      <c r="C95" s="4" t="s">
        <v>277</v>
      </c>
      <c r="D95" s="4" t="s">
        <v>21</v>
      </c>
      <c r="E95" s="4" t="s">
        <v>27</v>
      </c>
      <c r="F95" s="4" t="s">
        <v>31</v>
      </c>
      <c r="H95" s="4" t="s">
        <v>484</v>
      </c>
      <c r="I95" s="9" t="s">
        <v>29</v>
      </c>
      <c r="J95" s="9" t="s">
        <v>485</v>
      </c>
      <c r="K95" s="9" t="s">
        <v>26</v>
      </c>
      <c r="L95" s="1" t="str">
        <f t="shared" si="1"/>
        <v>insert into CHB_DATACHECK_RULE (CHECKRULEID,DATATYPE,CHECKCLASS,CHECKMETHOD,SRCPROPERTY,COMPARETO,OBJVALUE,REMARK,STATUS,NULLABLE) values ('de2E4A49-6813-5A9E-F060-107F01006A66','CHB_PRD_DECLARE_SUB','com.joyintech.tams.common.svreport.datacheck.service.BaseCheckLib','lessThanCharLength','PROD_INS_ID','','101','行内标识码超长（最大长100）。','E','Y');</v>
      </c>
    </row>
    <row r="96" spans="1:12" x14ac:dyDescent="0.15">
      <c r="A96" s="9" t="s">
        <v>486</v>
      </c>
      <c r="B96" s="4" t="s">
        <v>487</v>
      </c>
      <c r="C96" s="4" t="s">
        <v>277</v>
      </c>
      <c r="D96" s="4" t="s">
        <v>21</v>
      </c>
      <c r="E96" s="4" t="s">
        <v>27</v>
      </c>
      <c r="F96" s="4" t="s">
        <v>133</v>
      </c>
      <c r="G96" s="4" t="s">
        <v>70</v>
      </c>
      <c r="H96" s="4" t="s">
        <v>87</v>
      </c>
      <c r="I96" s="9" t="s">
        <v>29</v>
      </c>
      <c r="J96" s="9" t="s">
        <v>405</v>
      </c>
      <c r="K96" s="9" t="s">
        <v>26</v>
      </c>
      <c r="L96" s="1" t="str">
        <f t="shared" si="1"/>
        <v>insert into CHB_DATACHECK_RULE (CHECKRULEID,DATATYPE,CHECKCLASS,CHECKMETHOD,SRCPROPERTY,COMPARETO,OBJVALUE,REMARK,STATUS,NULLABLE) values ('de304A49-6813-5A9E-F060-007F01006A66','CHB_PRD_DECLARE_SUB','com.joyintech.tams.common.svreport.datacheck.service.BaseCheckLib','lessThanCharLength','SHORT_TERM','==','0','最短持有期限（天）要素必须为空。','E','Y');</v>
      </c>
    </row>
    <row r="97" spans="1:12" x14ac:dyDescent="0.15">
      <c r="A97" s="9" t="s">
        <v>488</v>
      </c>
      <c r="B97" s="4" t="s">
        <v>489</v>
      </c>
      <c r="C97" s="4" t="s">
        <v>277</v>
      </c>
      <c r="D97" s="4" t="s">
        <v>21</v>
      </c>
      <c r="E97" s="4" t="s">
        <v>27</v>
      </c>
      <c r="F97" s="4" t="s">
        <v>183</v>
      </c>
      <c r="G97" s="4" t="s">
        <v>70</v>
      </c>
      <c r="H97" s="4" t="s">
        <v>87</v>
      </c>
      <c r="I97" s="9" t="s">
        <v>29</v>
      </c>
      <c r="J97" s="9" t="s">
        <v>185</v>
      </c>
      <c r="K97" s="9" t="s">
        <v>26</v>
      </c>
      <c r="L97" s="1" t="str">
        <f t="shared" si="1"/>
        <v>insert into CHB_DATACHECK_RULE (CHECKRULEID,DATATYPE,CHECKCLASS,CHECKMETHOD,SRCPROPERTY,COMPARETO,OBJVALUE,REMARK,STATUS,NULLABLE) values ('de304A71-6813-5A9E-F060-007F01006A66','CHB_PRD_DECLARE_SUB','com.joyintech.tams.common.svreport.datacheck.service.BaseCheckLib','lessThanCharLength','IN_DEP_NAME','==','0','境内托管机构名称要素必须为空','E','Y');</v>
      </c>
    </row>
    <row r="98" spans="1:12" x14ac:dyDescent="0.15">
      <c r="A98" s="9" t="s">
        <v>490</v>
      </c>
      <c r="B98" s="4" t="s">
        <v>491</v>
      </c>
      <c r="C98" s="4" t="s">
        <v>277</v>
      </c>
      <c r="D98" s="4" t="s">
        <v>21</v>
      </c>
      <c r="E98" s="4" t="s">
        <v>27</v>
      </c>
      <c r="F98" s="4" t="s">
        <v>188</v>
      </c>
      <c r="G98" s="4" t="s">
        <v>70</v>
      </c>
      <c r="H98" s="4" t="s">
        <v>87</v>
      </c>
      <c r="I98" s="9" t="s">
        <v>29</v>
      </c>
      <c r="J98" s="9" t="s">
        <v>189</v>
      </c>
      <c r="K98" s="9" t="s">
        <v>26</v>
      </c>
      <c r="L98" s="1" t="str">
        <f t="shared" si="1"/>
        <v>insert into CHB_DATACHECK_RULE (CHECKRULEID,DATATYPE,CHECKCLASS,CHECKMETHOD,SRCPROPERTY,COMPARETO,OBJVALUE,REMARK,STATUS,NULLABLE) values ('de304A73-6813-5A9E-F060-007F01006A66','CHB_PRD_DECLARE_SUB','com.joyintech.tams.common.svreport.datacheck.service.BaseCheckLib','lessThanCharLength','IN_DEP_CODE','==','0','境内托管机构代码要素必须为空','E','Y');</v>
      </c>
    </row>
    <row r="99" spans="1:12" x14ac:dyDescent="0.15">
      <c r="A99" s="9" t="s">
        <v>492</v>
      </c>
      <c r="B99" s="4" t="s">
        <v>493</v>
      </c>
      <c r="C99" s="4" t="s">
        <v>277</v>
      </c>
      <c r="D99" s="4" t="s">
        <v>21</v>
      </c>
      <c r="E99" s="4" t="s">
        <v>128</v>
      </c>
      <c r="F99" s="4" t="s">
        <v>133</v>
      </c>
      <c r="G99" s="4" t="s">
        <v>137</v>
      </c>
      <c r="H99" s="4" t="s">
        <v>87</v>
      </c>
      <c r="I99" s="9" t="s">
        <v>29</v>
      </c>
      <c r="J99" s="9" t="s">
        <v>138</v>
      </c>
      <c r="K99" s="9" t="s">
        <v>26</v>
      </c>
      <c r="L99" s="1" t="str">
        <f t="shared" si="1"/>
        <v>insert into CHB_DATACHECK_RULE (CHECKRULEID,DATATYPE,CHECKCLASS,CHECKMETHOD,SRCPROPERTY,COMPARETO,OBJVALUE,REMARK,STATUS,NULLABLE) values ('de314A49-6813-5A9E-F060-007F01006A66','CHB_PRD_DECLARE_SUB','com.joyintech.tams.common.svreport.datacheck.service.BaseCheckLib','compareValueAsNumber','SHORT_TERM','&gt;','0','最短持有期限（天）必须大于0。','E','Y');</v>
      </c>
    </row>
    <row r="100" spans="1:12" x14ac:dyDescent="0.15">
      <c r="A100" s="9" t="s">
        <v>494</v>
      </c>
      <c r="B100" s="4" t="s">
        <v>495</v>
      </c>
      <c r="C100" s="4" t="s">
        <v>277</v>
      </c>
      <c r="D100" s="4" t="s">
        <v>21</v>
      </c>
      <c r="E100" s="4" t="s">
        <v>128</v>
      </c>
      <c r="F100" s="4" t="s">
        <v>151</v>
      </c>
      <c r="G100" s="4" t="s">
        <v>137</v>
      </c>
      <c r="H100" s="4" t="s">
        <v>87</v>
      </c>
      <c r="I100" s="9" t="s">
        <v>29</v>
      </c>
      <c r="J100" s="9" t="s">
        <v>155</v>
      </c>
      <c r="K100" s="9" t="s">
        <v>26</v>
      </c>
      <c r="L100" s="1" t="str">
        <f t="shared" si="1"/>
        <v>insert into CHB_DATACHECK_RULE (CHECKRULEID,DATATYPE,CHECKCLASS,CHECKMETHOD,SRCPROPERTY,COMPARETO,OBJVALUE,REMARK,STATUS,NULLABLE) values ('de314A58-6813-5A9E-F060-007F01006A66','CHB_PRD_DECLARE_SUB','com.joyintech.tams.common.svreport.datacheck.service.BaseCheckLib','compareValueAsNumber','SALE_AMT_STR','&gt;','0','起点销售金额必须大于0。','E','Y');</v>
      </c>
    </row>
    <row r="101" spans="1:12" x14ac:dyDescent="0.15">
      <c r="A101" s="9" t="s">
        <v>496</v>
      </c>
      <c r="B101" s="4" t="s">
        <v>497</v>
      </c>
      <c r="C101" s="4" t="s">
        <v>277</v>
      </c>
      <c r="D101" s="4" t="s">
        <v>21</v>
      </c>
      <c r="E101" s="4" t="s">
        <v>128</v>
      </c>
      <c r="F101" s="4" t="s">
        <v>179</v>
      </c>
      <c r="G101" s="4" t="s">
        <v>137</v>
      </c>
      <c r="H101" s="4" t="s">
        <v>87</v>
      </c>
      <c r="I101" s="9" t="s">
        <v>29</v>
      </c>
      <c r="J101" s="9" t="s">
        <v>182</v>
      </c>
      <c r="K101" s="9" t="s">
        <v>26</v>
      </c>
      <c r="L101" s="1" t="str">
        <f t="shared" si="1"/>
        <v>insert into CHB_DATACHECK_RULE (CHECKRULEID,DATATYPE,CHECKCLASS,CHECKMETHOD,SRCPROPERTY,COMPARETO,OBJVALUE,REMARK,STATUS,NULLABLE) values ('de314A60-6813-5A9E-F060-007F01006A66','CHB_PRD_DECLARE_SUB','com.joyintech.tams.common.svreport.datacheck.service.BaseCheckLib','compareValueAsNumber','RAISE_AMT_PLAN','&gt;','0','计划募集金额（元）必须大于0','E','Y');</v>
      </c>
    </row>
    <row r="102" spans="1:12" x14ac:dyDescent="0.15">
      <c r="A102" s="9" t="s">
        <v>269</v>
      </c>
      <c r="B102" s="4" t="s">
        <v>498</v>
      </c>
      <c r="C102" s="4" t="s">
        <v>277</v>
      </c>
      <c r="D102" s="4" t="s">
        <v>21</v>
      </c>
      <c r="E102" s="4" t="s">
        <v>174</v>
      </c>
      <c r="F102" s="4" t="s">
        <v>172</v>
      </c>
      <c r="G102" s="4" t="s">
        <v>70</v>
      </c>
      <c r="H102" s="4" t="s">
        <v>499</v>
      </c>
      <c r="I102" s="9" t="s">
        <v>29</v>
      </c>
      <c r="J102" s="9" t="s">
        <v>500</v>
      </c>
      <c r="K102" s="9" t="s">
        <v>26</v>
      </c>
      <c r="L102" s="1" t="str">
        <f t="shared" si="1"/>
        <v>insert into CHB_DATACHECK_RULE (CHECKRULEID,DATATYPE,CHECKCLASS,CHECKMETHOD,SRCPROPERTY,COMPARETO,OBJVALUE,REMARK,STATUS,NULLABLE) values ('de314A61-6813-5A9E-F060-007F01006A66','CHB_PRD_DECLARE_SUB','com.joyintech.tams.common.svreport.datacheck.service.BaseCheckLib','isValidDate','RAISE_PSTRDATE','==','yyyy-MM-dd','募集起始日期（从）必须为日期格式（YYYY-MM-DD）且为正确的日期。','E','Y');</v>
      </c>
    </row>
    <row r="103" spans="1:12" x14ac:dyDescent="0.15">
      <c r="A103" s="9" t="s">
        <v>501</v>
      </c>
      <c r="B103" s="4" t="s">
        <v>502</v>
      </c>
      <c r="C103" s="4" t="s">
        <v>277</v>
      </c>
      <c r="D103" s="4" t="s">
        <v>21</v>
      </c>
      <c r="E103" s="4" t="s">
        <v>22</v>
      </c>
      <c r="F103" s="4" t="s">
        <v>172</v>
      </c>
      <c r="I103" s="9" t="s">
        <v>24</v>
      </c>
      <c r="J103" s="9" t="s">
        <v>173</v>
      </c>
      <c r="K103" s="9" t="s">
        <v>26</v>
      </c>
      <c r="L103" s="1" t="str">
        <f t="shared" si="1"/>
        <v>insert into CHB_DATACHECK_RULE (CHECKRULEID,DATATYPE,CHECKCLASS,CHECKMETHOD,SRCPROPERTY,COMPARETO,OBJVALUE,REMARK,STATUS,NULLABLE) values ('de314A61-6813-5A9E-F060-107F01006A66','CHB_PRD_DECLARE_SUB','com.joyintech.tams.common.svreport.datacheck.service.BaseCheckLib','isNotEmpty','RAISE_PSTRDATE','','','募集起始日期（从）要素不可为空。','E','N');</v>
      </c>
    </row>
    <row r="104" spans="1:12" x14ac:dyDescent="0.15">
      <c r="A104" s="9" t="s">
        <v>484</v>
      </c>
      <c r="B104" s="4" t="s">
        <v>503</v>
      </c>
      <c r="C104" s="4" t="s">
        <v>277</v>
      </c>
      <c r="D104" s="4" t="s">
        <v>21</v>
      </c>
      <c r="E104" s="4" t="s">
        <v>174</v>
      </c>
      <c r="F104" s="4" t="s">
        <v>175</v>
      </c>
      <c r="G104" s="4" t="s">
        <v>70</v>
      </c>
      <c r="H104" s="4" t="s">
        <v>499</v>
      </c>
      <c r="I104" s="9" t="s">
        <v>29</v>
      </c>
      <c r="J104" s="9" t="s">
        <v>504</v>
      </c>
      <c r="K104" s="9" t="s">
        <v>26</v>
      </c>
      <c r="L104" s="1" t="str">
        <f t="shared" si="1"/>
        <v>insert into CHB_DATACHECK_RULE (CHECKRULEID,DATATYPE,CHECKCLASS,CHECKMETHOD,SRCPROPERTY,COMPARETO,OBJVALUE,REMARK,STATUS,NULLABLE) values ('de314A62-6813-5A9E-F060-007F01006A66','CHB_PRD_DECLARE_SUB','com.joyintech.tams.common.svreport.datacheck.service.BaseCheckLib','isValidDate','RAISE_PENDDATE','==','yyyy-MM-dd','募集起始日期（到）必须为日期格式（YYYY-MM-DD）且为正确的日期。','E','Y');</v>
      </c>
    </row>
    <row r="105" spans="1:12" x14ac:dyDescent="0.15">
      <c r="A105" s="9" t="s">
        <v>505</v>
      </c>
      <c r="B105" s="4" t="s">
        <v>506</v>
      </c>
      <c r="C105" s="4" t="s">
        <v>277</v>
      </c>
      <c r="D105" s="4" t="s">
        <v>21</v>
      </c>
      <c r="E105" s="4" t="s">
        <v>22</v>
      </c>
      <c r="F105" s="4" t="s">
        <v>175</v>
      </c>
      <c r="I105" s="9" t="s">
        <v>24</v>
      </c>
      <c r="J105" s="9" t="s">
        <v>176</v>
      </c>
      <c r="K105" s="9" t="s">
        <v>26</v>
      </c>
      <c r="L105" s="1" t="str">
        <f t="shared" si="1"/>
        <v>insert into CHB_DATACHECK_RULE (CHECKRULEID,DATATYPE,CHECKCLASS,CHECKMETHOD,SRCPROPERTY,COMPARETO,OBJVALUE,REMARK,STATUS,NULLABLE) values ('de314A62-6813-5A9E-F060-107F01006A66','CHB_PRD_DECLARE_SUB','com.joyintech.tams.common.svreport.datacheck.service.BaseCheckLib','isNotEmpty','RAISE_PENDDATE','','','募集起始日期（到）要素不可为空。','E','N');</v>
      </c>
    </row>
    <row r="106" spans="1:12" x14ac:dyDescent="0.15">
      <c r="A106" s="9" t="s">
        <v>507</v>
      </c>
      <c r="B106" s="4" t="s">
        <v>508</v>
      </c>
      <c r="C106" s="4" t="s">
        <v>277</v>
      </c>
      <c r="D106" s="4" t="s">
        <v>21</v>
      </c>
      <c r="E106" s="4" t="s">
        <v>22</v>
      </c>
      <c r="F106" s="4" t="s">
        <v>139</v>
      </c>
      <c r="I106" s="9" t="s">
        <v>24</v>
      </c>
      <c r="J106" s="9" t="s">
        <v>140</v>
      </c>
      <c r="K106" s="9" t="s">
        <v>26</v>
      </c>
      <c r="L106" s="1" t="str">
        <f t="shared" si="1"/>
        <v>insert into CHB_DATACHECK_RULE (CHECKRULEID,DATATYPE,CHECKCLASS,CHECKMETHOD,SRCPROPERTY,COMPARETO,OBJVALUE,REMARK,STATUS,NULLABLE) values ('de324A49-6813-5A9E-F060-007F01006A65','CHB_PRD_DECLARE_SUB','com.joyintech.tams.common.svreport.datacheck.service.BaseCheckLib','isNotEmpty','IS_FREE_REDEM','','','最短持有期后是否自由赎回要素不可为空','E','N');</v>
      </c>
    </row>
    <row r="107" spans="1:12" x14ac:dyDescent="0.15">
      <c r="A107" s="9" t="s">
        <v>509</v>
      </c>
      <c r="B107" s="4" t="s">
        <v>510</v>
      </c>
      <c r="C107" s="4" t="s">
        <v>277</v>
      </c>
      <c r="D107" s="4" t="s">
        <v>21</v>
      </c>
      <c r="E107" s="4" t="s">
        <v>27</v>
      </c>
      <c r="F107" s="4" t="s">
        <v>139</v>
      </c>
      <c r="G107" s="4" t="s">
        <v>70</v>
      </c>
      <c r="H107" s="4" t="s">
        <v>87</v>
      </c>
      <c r="I107" s="9" t="s">
        <v>29</v>
      </c>
      <c r="J107" s="9" t="s">
        <v>511</v>
      </c>
      <c r="K107" s="9" t="s">
        <v>26</v>
      </c>
      <c r="L107" s="1" t="str">
        <f t="shared" si="1"/>
        <v>insert into CHB_DATACHECK_RULE (CHECKRULEID,DATATYPE,CHECKCLASS,CHECKMETHOD,SRCPROPERTY,COMPARETO,OBJVALUE,REMARK,STATUS,NULLABLE) values ('de324A49-6813-5A9E-F060-107F01006A65','CHB_PRD_DECLARE_SUB','com.joyintech.tams.common.svreport.datacheck.service.BaseCheckLib','lessThanCharLength','IS_FREE_REDEM','==','0','最短持有期后是否自由赎回要素必须为空。','E','Y');</v>
      </c>
    </row>
    <row r="108" spans="1:12" x14ac:dyDescent="0.15">
      <c r="A108" s="9" t="s">
        <v>512</v>
      </c>
      <c r="B108" s="4" t="s">
        <v>513</v>
      </c>
      <c r="C108" s="4" t="s">
        <v>277</v>
      </c>
      <c r="D108" s="4" t="s">
        <v>21</v>
      </c>
      <c r="E108" s="4" t="s">
        <v>27</v>
      </c>
      <c r="F108" s="4" t="s">
        <v>139</v>
      </c>
      <c r="G108" s="4" t="s">
        <v>70</v>
      </c>
      <c r="H108" s="4" t="s">
        <v>87</v>
      </c>
      <c r="I108" s="9" t="s">
        <v>29</v>
      </c>
      <c r="J108" s="9" t="s">
        <v>141</v>
      </c>
      <c r="K108" s="9" t="s">
        <v>26</v>
      </c>
      <c r="L108" s="1" t="str">
        <f t="shared" si="1"/>
        <v>insert into CHB_DATACHECK_RULE (CHECKRULEID,DATATYPE,CHECKCLASS,CHECKMETHOD,SRCPROPERTY,COMPARETO,OBJVALUE,REMARK,STATUS,NULLABLE) values ('de334A49-6813-5A9E-F060-007F01006A65','CHB_PRD_DECLARE_SUB','com.joyintech.tams.common.svreport.datacheck.service.BaseCheckLib','lessThanCharLength','IS_FREE_REDEM','==','0','最短持有期后是否自由赎回要素必须为空','E','Y');</v>
      </c>
    </row>
    <row r="109" spans="1:12" x14ac:dyDescent="0.15">
      <c r="A109" s="9" t="s">
        <v>514</v>
      </c>
      <c r="B109" s="4" t="s">
        <v>515</v>
      </c>
      <c r="C109" s="4" t="s">
        <v>277</v>
      </c>
      <c r="D109" s="4" t="s">
        <v>21</v>
      </c>
      <c r="E109" s="4" t="s">
        <v>22</v>
      </c>
      <c r="F109" s="4" t="s">
        <v>144</v>
      </c>
      <c r="I109" s="9" t="s">
        <v>24</v>
      </c>
      <c r="J109" s="9" t="s">
        <v>145</v>
      </c>
      <c r="K109" s="9" t="s">
        <v>26</v>
      </c>
      <c r="L109" s="1" t="str">
        <f t="shared" si="1"/>
        <v>insert into CHB_DATACHECK_RULE (CHECKRULEID,DATATYPE,CHECKCLASS,CHECKMETHOD,SRCPROPERTY,COMPARETO,OBJVALUE,REMARK,STATUS,NULLABLE) values ('de344A49-6813-5A9E-F060-007F01006A65','CHB_PRD_DECLARE_SUB','com.joyintech.tams.common.svreport.datacheck.service.BaseCheckLib','isNotEmpty','CASH_MANA_CATE','','','是否现金管理类要素不可为空','E','N');</v>
      </c>
    </row>
    <row r="110" spans="1:12" x14ac:dyDescent="0.15">
      <c r="A110" s="9" t="s">
        <v>516</v>
      </c>
      <c r="B110" s="4" t="s">
        <v>517</v>
      </c>
      <c r="C110" s="4" t="s">
        <v>277</v>
      </c>
      <c r="D110" s="4" t="s">
        <v>21</v>
      </c>
      <c r="E110" s="4" t="s">
        <v>27</v>
      </c>
      <c r="F110" s="4" t="s">
        <v>144</v>
      </c>
      <c r="G110" s="4" t="s">
        <v>70</v>
      </c>
      <c r="H110" s="4" t="s">
        <v>87</v>
      </c>
      <c r="I110" s="9" t="s">
        <v>29</v>
      </c>
      <c r="J110" s="9" t="s">
        <v>146</v>
      </c>
      <c r="K110" s="9" t="s">
        <v>26</v>
      </c>
      <c r="L110" s="1" t="str">
        <f t="shared" si="1"/>
        <v>insert into CHB_DATACHECK_RULE (CHECKRULEID,DATATYPE,CHECKCLASS,CHECKMETHOD,SRCPROPERTY,COMPARETO,OBJVALUE,REMARK,STATUS,NULLABLE) values ('de374A49-6813-5A9E-F060-007F01006A65','CHB_PRD_DECLARE_SUB','com.joyintech.tams.common.svreport.datacheck.service.BaseCheckLib','lessThanCharLength','CASH_MANA_CATE','==','0','是否现金管理类要素必须为空','E','Y');</v>
      </c>
    </row>
    <row r="111" spans="1:12" x14ac:dyDescent="0.15">
      <c r="A111" s="9" t="s">
        <v>518</v>
      </c>
      <c r="B111" s="4" t="s">
        <v>519</v>
      </c>
      <c r="C111" s="4" t="s">
        <v>277</v>
      </c>
      <c r="D111" s="4" t="s">
        <v>21</v>
      </c>
      <c r="E111" s="4" t="s">
        <v>69</v>
      </c>
      <c r="F111" s="4" t="s">
        <v>102</v>
      </c>
      <c r="G111" s="4" t="s">
        <v>70</v>
      </c>
      <c r="H111" s="4" t="s">
        <v>104</v>
      </c>
      <c r="I111" s="9" t="s">
        <v>29</v>
      </c>
      <c r="J111" s="9" t="s">
        <v>105</v>
      </c>
      <c r="K111" s="9" t="s">
        <v>26</v>
      </c>
      <c r="L111" s="1" t="str">
        <f t="shared" si="1"/>
        <v>insert into CHB_DATACHECK_RULE (CHECKRULEID,DATATYPE,CHECKCLASS,CHECKMETHOD,SRCPROPERTY,COMPARETO,OBJVALUE,REMARK,STATUS,NULLABLE) values ('de384A49-6813-5A9E-F060-007F01006A65','CHB_PRD_DECLARE_SUB','com.joyintech.tams.common.svreport.datacheck.service.BaseCheckLib','inDatadict','CMMODE','==','SVR_CMMODE','产品资产配置方式不在值域范围内。','E','Y');</v>
      </c>
    </row>
    <row r="112" spans="1:12" x14ac:dyDescent="0.15">
      <c r="A112" s="9" t="s">
        <v>520</v>
      </c>
      <c r="B112" s="4" t="s">
        <v>521</v>
      </c>
      <c r="C112" s="4" t="s">
        <v>277</v>
      </c>
      <c r="D112" s="4" t="s">
        <v>21</v>
      </c>
      <c r="E112" s="4" t="s">
        <v>22</v>
      </c>
      <c r="F112" s="4" t="s">
        <v>102</v>
      </c>
      <c r="I112" s="9" t="s">
        <v>24</v>
      </c>
      <c r="J112" s="9" t="s">
        <v>103</v>
      </c>
      <c r="K112" s="9" t="s">
        <v>26</v>
      </c>
      <c r="L112" s="1" t="str">
        <f t="shared" si="1"/>
        <v>insert into CHB_DATACHECK_RULE (CHECKRULEID,DATATYPE,CHECKCLASS,CHECKMETHOD,SRCPROPERTY,COMPARETO,OBJVALUE,REMARK,STATUS,NULLABLE) values ('de384A49-6813-5A9E-F060-107F01006A65','CHB_PRD_DECLARE_SUB','com.joyintech.tams.common.svreport.datacheck.service.BaseCheckLib','isNotEmpty','CMMODE','','','产品资产配置方式要素不可为空。','E','N');</v>
      </c>
    </row>
    <row r="113" spans="1:12" x14ac:dyDescent="0.15">
      <c r="A113" s="9" t="s">
        <v>522</v>
      </c>
      <c r="B113" s="4" t="s">
        <v>523</v>
      </c>
      <c r="C113" s="4" t="s">
        <v>277</v>
      </c>
      <c r="D113" s="4" t="s">
        <v>21</v>
      </c>
      <c r="E113" s="4" t="s">
        <v>69</v>
      </c>
      <c r="F113" s="4" t="s">
        <v>106</v>
      </c>
      <c r="G113" s="4" t="s">
        <v>70</v>
      </c>
      <c r="H113" s="4" t="s">
        <v>108</v>
      </c>
      <c r="I113" s="9" t="s">
        <v>29</v>
      </c>
      <c r="J113" s="9" t="s">
        <v>109</v>
      </c>
      <c r="K113" s="9" t="s">
        <v>26</v>
      </c>
      <c r="L113" s="1" t="str">
        <f t="shared" si="1"/>
        <v>insert into CHB_DATACHECK_RULE (CHECKRULEID,DATATYPE,CHECKCLASS,CHECKMETHOD,SRCPROPERTY,COMPARETO,OBJVALUE,REMARK,STATUS,NULLABLE) values ('de394A49-6813-5A9E-F060-007F01006A65','CHB_PRD_DECLARE_SUB','com.joyintech.tams.common.svreport.datacheck.service.BaseCheckLib','inDatadict','PMMODE','==','SVR_PROD_MANAGE','产品管理模式不在值域范围内。','E','Y');</v>
      </c>
    </row>
    <row r="114" spans="1:12" x14ac:dyDescent="0.15">
      <c r="A114" s="9" t="s">
        <v>524</v>
      </c>
      <c r="B114" s="4" t="s">
        <v>525</v>
      </c>
      <c r="C114" s="4" t="s">
        <v>277</v>
      </c>
      <c r="D114" s="4" t="s">
        <v>21</v>
      </c>
      <c r="E114" s="4" t="s">
        <v>22</v>
      </c>
      <c r="F114" s="4" t="s">
        <v>106</v>
      </c>
      <c r="I114" s="9" t="s">
        <v>24</v>
      </c>
      <c r="J114" s="9" t="s">
        <v>107</v>
      </c>
      <c r="K114" s="9" t="s">
        <v>26</v>
      </c>
      <c r="L114" s="1" t="str">
        <f t="shared" si="1"/>
        <v>insert into CHB_DATACHECK_RULE (CHECKRULEID,DATATYPE,CHECKCLASS,CHECKMETHOD,SRCPROPERTY,COMPARETO,OBJVALUE,REMARK,STATUS,NULLABLE) values ('de394A49-6813-5A9E-F060-107F01006A65','CHB_PRD_DECLARE_SUB','com.joyintech.tams.common.svreport.datacheck.service.BaseCheckLib','isNotEmpty','PMMODE','','','产品管理模式要素不可为空。','E','N');</v>
      </c>
    </row>
    <row r="115" spans="1:12" x14ac:dyDescent="0.15">
      <c r="A115" s="9" t="s">
        <v>526</v>
      </c>
      <c r="B115" s="4" t="s">
        <v>527</v>
      </c>
      <c r="C115" s="4" t="s">
        <v>277</v>
      </c>
      <c r="D115" s="4" t="s">
        <v>21</v>
      </c>
      <c r="E115" s="4" t="s">
        <v>27</v>
      </c>
      <c r="F115" s="4" t="s">
        <v>216</v>
      </c>
      <c r="H115" s="4" t="s">
        <v>113</v>
      </c>
      <c r="I115" s="9" t="s">
        <v>29</v>
      </c>
      <c r="J115" s="9" t="s">
        <v>528</v>
      </c>
      <c r="K115" s="9" t="s">
        <v>26</v>
      </c>
      <c r="L115" s="1" t="str">
        <f t="shared" si="1"/>
        <v>insert into CHB_DATACHECK_RULE (CHECKRULEID,DATATYPE,CHECKCLASS,CHECKMETHOD,SRCPROPERTY,COMPARETO,OBJVALUE,REMARK,STATUS,NULLABLE) values ('de3F4B49-6813-5A9E-F060-007F01006A66','CHB_PRD_DECLARE_SUB','com.joyintech.tams.common.svreport.datacheck.service.BaseCheckLib','lessThanCharLength','PROD_BRAND','','121','产品品牌过长（最大长120）。','E','Y');</v>
      </c>
    </row>
    <row r="116" spans="1:12" x14ac:dyDescent="0.15">
      <c r="A116" s="9" t="s">
        <v>529</v>
      </c>
      <c r="B116" s="4" t="s">
        <v>530</v>
      </c>
      <c r="C116" s="4" t="s">
        <v>277</v>
      </c>
      <c r="D116" s="4" t="s">
        <v>21</v>
      </c>
      <c r="E116" s="4" t="s">
        <v>22</v>
      </c>
      <c r="F116" s="4" t="s">
        <v>110</v>
      </c>
      <c r="I116" s="9" t="s">
        <v>24</v>
      </c>
      <c r="J116" s="9" t="s">
        <v>111</v>
      </c>
      <c r="K116" s="9" t="s">
        <v>26</v>
      </c>
      <c r="L116" s="1" t="str">
        <f t="shared" si="1"/>
        <v>insert into CHB_DATACHECK_RULE (CHECKRULEID,DATATYPE,CHECKCLASS,CHECKMETHOD,SRCPROPERTY,COMPARETO,OBJVALUE,REMARK,STATUS,NULLABLE) values ('de404A49-6813-5A9E-F060-007F01006A65','CHB_PRD_DECLARE_SUB','com.joyintech.tams.common.svreport.datacheck.service.BaseCheckLib','isNotEmpty','MNAME','','','实际管理人名称要素不可为空','E','N');</v>
      </c>
    </row>
    <row r="117" spans="1:12" x14ac:dyDescent="0.15">
      <c r="A117" s="9" t="s">
        <v>531</v>
      </c>
      <c r="B117" s="4" t="s">
        <v>532</v>
      </c>
      <c r="C117" s="4" t="s">
        <v>277</v>
      </c>
      <c r="D117" s="4" t="s">
        <v>21</v>
      </c>
      <c r="E117" s="4" t="s">
        <v>27</v>
      </c>
      <c r="F117" s="4" t="s">
        <v>110</v>
      </c>
      <c r="G117" s="4" t="s">
        <v>70</v>
      </c>
      <c r="H117" s="4" t="s">
        <v>87</v>
      </c>
      <c r="I117" s="9" t="s">
        <v>29</v>
      </c>
      <c r="J117" s="9" t="s">
        <v>112</v>
      </c>
      <c r="K117" s="9" t="s">
        <v>26</v>
      </c>
      <c r="L117" s="1" t="str">
        <f t="shared" si="1"/>
        <v>insert into CHB_DATACHECK_RULE (CHECKRULEID,DATATYPE,CHECKCLASS,CHECKMETHOD,SRCPROPERTY,COMPARETO,OBJVALUE,REMARK,STATUS,NULLABLE) values ('de434A49-6813-5A9E-F060-007F01006A65','CHB_PRD_DECLARE_SUB','com.joyintech.tams.common.svreport.datacheck.service.BaseCheckLib','lessThanCharLength','MNAME','==','0','实际管理人名称要素必须为空','E','Y');</v>
      </c>
    </row>
    <row r="118" spans="1:12" x14ac:dyDescent="0.15">
      <c r="A118" s="9" t="s">
        <v>533</v>
      </c>
      <c r="B118" s="4" t="s">
        <v>534</v>
      </c>
      <c r="C118" s="4" t="s">
        <v>277</v>
      </c>
      <c r="D118" s="4" t="s">
        <v>21</v>
      </c>
      <c r="E118" s="4" t="s">
        <v>69</v>
      </c>
      <c r="F118" s="4" t="s">
        <v>116</v>
      </c>
      <c r="G118" s="4" t="s">
        <v>70</v>
      </c>
      <c r="H118" s="4" t="s">
        <v>118</v>
      </c>
      <c r="I118" s="9" t="s">
        <v>29</v>
      </c>
      <c r="J118" s="9" t="s">
        <v>119</v>
      </c>
      <c r="K118" s="9" t="s">
        <v>26</v>
      </c>
      <c r="L118" s="1" t="str">
        <f t="shared" si="1"/>
        <v>insert into CHB_DATACHECK_RULE (CHECKRULEID,DATATYPE,CHECKCLASS,CHECKMETHOD,SRCPROPERTY,COMPARETO,OBJVALUE,REMARK,STATUS,NULLABLE) values ('de444A49-6813-5A9E-F060-007F01006A65','CHB_PRD_DECLARE_SUB','com.joyintech.tams.common.svreport.datacheck.service.BaseCheckLib','inDatadict','PRICED_MODE','==','SVR_PRODVALUETYPE','产品定价方式不在值域范围内。','E','Y');</v>
      </c>
    </row>
    <row r="119" spans="1:12" x14ac:dyDescent="0.15">
      <c r="A119" s="9" t="s">
        <v>535</v>
      </c>
      <c r="B119" s="4" t="s">
        <v>536</v>
      </c>
      <c r="C119" s="4" t="s">
        <v>277</v>
      </c>
      <c r="D119" s="4" t="s">
        <v>21</v>
      </c>
      <c r="E119" s="4" t="s">
        <v>22</v>
      </c>
      <c r="F119" s="4" t="s">
        <v>116</v>
      </c>
      <c r="I119" s="9" t="s">
        <v>24</v>
      </c>
      <c r="J119" s="9" t="s">
        <v>117</v>
      </c>
      <c r="K119" s="9" t="s">
        <v>26</v>
      </c>
      <c r="L119" s="1" t="str">
        <f t="shared" si="1"/>
        <v>insert into CHB_DATACHECK_RULE (CHECKRULEID,DATATYPE,CHECKCLASS,CHECKMETHOD,SRCPROPERTY,COMPARETO,OBJVALUE,REMARK,STATUS,NULLABLE) values ('de444A49-6813-5A9E-F060-17F01006A65 ','CHB_PRD_DECLARE_SUB','com.joyintech.tams.common.svreport.datacheck.service.BaseCheckLib','isNotEmpty','PRICED_MODE','','','产品定价方式要素不可为空。','E','N');</v>
      </c>
    </row>
    <row r="120" spans="1:12" x14ac:dyDescent="0.15">
      <c r="A120" s="9" t="s">
        <v>537</v>
      </c>
      <c r="B120" s="4" t="s">
        <v>538</v>
      </c>
      <c r="C120" s="4" t="s">
        <v>277</v>
      </c>
      <c r="D120" s="4" t="s">
        <v>21</v>
      </c>
      <c r="E120" s="4" t="s">
        <v>69</v>
      </c>
      <c r="F120" s="4" t="s">
        <v>120</v>
      </c>
      <c r="G120" s="4" t="s">
        <v>70</v>
      </c>
      <c r="H120" s="4" t="s">
        <v>122</v>
      </c>
      <c r="I120" s="9" t="s">
        <v>29</v>
      </c>
      <c r="J120" s="9" t="s">
        <v>123</v>
      </c>
      <c r="K120" s="9" t="s">
        <v>26</v>
      </c>
      <c r="L120" s="1" t="str">
        <f t="shared" si="1"/>
        <v>insert into CHB_DATACHECK_RULE (CHECKRULEID,DATATYPE,CHECKCLASS,CHECKMETHOD,SRCPROPERTY,COMPARETO,OBJVALUE,REMARK,STATUS,NULLABLE) values ('de454A49-6813-5A9E-F060-007F01006A65','CHB_PRD_DECLARE_SUB','com.joyintech.tams.common.svreport.datacheck.service.BaseCheckLib','inDatadict','IVSTORIENTATION','==','INVEST_TYPE','产品投资性质不在值域范围内。','E','Y');</v>
      </c>
    </row>
    <row r="121" spans="1:12" x14ac:dyDescent="0.15">
      <c r="A121" s="9" t="s">
        <v>539</v>
      </c>
      <c r="B121" s="4" t="s">
        <v>540</v>
      </c>
      <c r="C121" s="4" t="s">
        <v>277</v>
      </c>
      <c r="D121" s="4" t="s">
        <v>21</v>
      </c>
      <c r="E121" s="4" t="s">
        <v>22</v>
      </c>
      <c r="F121" s="4" t="s">
        <v>120</v>
      </c>
      <c r="I121" s="9" t="s">
        <v>24</v>
      </c>
      <c r="J121" s="9" t="s">
        <v>121</v>
      </c>
      <c r="K121" s="9" t="s">
        <v>26</v>
      </c>
      <c r="L121" s="1" t="str">
        <f t="shared" si="1"/>
        <v>insert into CHB_DATACHECK_RULE (CHECKRULEID,DATATYPE,CHECKCLASS,CHECKMETHOD,SRCPROPERTY,COMPARETO,OBJVALUE,REMARK,STATUS,NULLABLE) values ('de454A49-6813-5A9E-F060-107F01006A65','CHB_PRD_DECLARE_SUB','com.joyintech.tams.common.svreport.datacheck.service.BaseCheckLib','isNotEmpty','IVSTORIENTATION','','','产品投资性质要素不可为空。','E','N');</v>
      </c>
    </row>
    <row r="122" spans="1:12" x14ac:dyDescent="0.15">
      <c r="A122" s="9" t="s">
        <v>541</v>
      </c>
      <c r="B122" s="4" t="s">
        <v>542</v>
      </c>
      <c r="C122" s="4" t="s">
        <v>277</v>
      </c>
      <c r="D122" s="4" t="s">
        <v>21</v>
      </c>
      <c r="E122" s="4" t="s">
        <v>69</v>
      </c>
      <c r="F122" s="4" t="s">
        <v>209</v>
      </c>
      <c r="G122" s="4" t="s">
        <v>70</v>
      </c>
      <c r="H122" s="4" t="s">
        <v>211</v>
      </c>
      <c r="I122" s="9" t="s">
        <v>29</v>
      </c>
      <c r="J122" s="9" t="s">
        <v>212</v>
      </c>
      <c r="K122" s="9" t="s">
        <v>26</v>
      </c>
      <c r="L122" s="1" t="str">
        <f t="shared" si="1"/>
        <v>insert into CHB_DATACHECK_RULE (CHECKRULEID,DATATYPE,CHECKCLASS,CHECKMETHOD,SRCPROPERTY,COMPARETO,OBJVALUE,REMARK,STATUS,NULLABLE) values ('de464101-6813-5A9E-F060-007F01006A65','CHB_PRD_DECLARE_SUB','com.joyintech.tams.common.svreport.datacheck.service.BaseCheckLib','inDatadict','TERM_RIGHT_FLAG','==','SVR_HAVE_OR_NOT','发行机构提前终止权标识不在值域范围内。','E','Y');</v>
      </c>
    </row>
    <row r="123" spans="1:12" x14ac:dyDescent="0.15">
      <c r="A123" s="9" t="s">
        <v>543</v>
      </c>
      <c r="B123" s="4" t="s">
        <v>544</v>
      </c>
      <c r="C123" s="4" t="s">
        <v>277</v>
      </c>
      <c r="D123" s="4" t="s">
        <v>21</v>
      </c>
      <c r="E123" s="4" t="s">
        <v>22</v>
      </c>
      <c r="F123" s="4" t="s">
        <v>209</v>
      </c>
      <c r="I123" s="9" t="s">
        <v>24</v>
      </c>
      <c r="J123" s="9" t="s">
        <v>210</v>
      </c>
      <c r="K123" s="9" t="s">
        <v>26</v>
      </c>
      <c r="L123" s="1" t="str">
        <f t="shared" si="1"/>
        <v>insert into CHB_DATACHECK_RULE (CHECKRULEID,DATATYPE,CHECKCLASS,CHECKMETHOD,SRCPROPERTY,COMPARETO,OBJVALUE,REMARK,STATUS,NULLABLE) values ('de464101-6813-5A9E-F060-107F01006A65','CHB_PRD_DECLARE_SUB','com.joyintech.tams.common.svreport.datacheck.service.BaseCheckLib','isNotEmpty','TERM_RIGHT_FLAG','','','发行机构提前终止权标识要素不可为空。','E','N');</v>
      </c>
    </row>
    <row r="124" spans="1:12" x14ac:dyDescent="0.15">
      <c r="A124" s="9" t="s">
        <v>113</v>
      </c>
      <c r="B124" s="4" t="s">
        <v>545</v>
      </c>
      <c r="C124" s="4" t="s">
        <v>277</v>
      </c>
      <c r="D124" s="4" t="s">
        <v>21</v>
      </c>
      <c r="E124" s="4" t="s">
        <v>69</v>
      </c>
      <c r="F124" s="4" t="s">
        <v>226</v>
      </c>
      <c r="G124" s="4" t="s">
        <v>70</v>
      </c>
      <c r="H124" s="4" t="s">
        <v>228</v>
      </c>
      <c r="I124" s="9" t="s">
        <v>29</v>
      </c>
      <c r="J124" s="9" t="s">
        <v>229</v>
      </c>
      <c r="K124" s="9" t="s">
        <v>26</v>
      </c>
      <c r="L124" s="1" t="str">
        <f t="shared" si="1"/>
        <v>insert into CHB_DATACHECK_RULE (CHECKRULEID,DATATYPE,CHECKCLASS,CHECKMETHOD,SRCPROPERTY,COMPARETO,OBJVALUE,REMARK,STATUS,NULLABLE) values ('de464A49-6813-5A9E-F060-007F01006A65','CHB_PRD_DECLARE_SUB','com.joyintech.tams.common.svreport.datacheck.service.BaseCheckLib','inDatadict','CONT_MODE','==','SVR_CONTMODE','合作模式不在值域范围内。','E','Y');</v>
      </c>
    </row>
    <row r="125" spans="1:12" x14ac:dyDescent="0.15">
      <c r="A125" s="9" t="s">
        <v>546</v>
      </c>
      <c r="B125" s="4" t="s">
        <v>547</v>
      </c>
      <c r="C125" s="4" t="s">
        <v>277</v>
      </c>
      <c r="D125" s="4" t="s">
        <v>21</v>
      </c>
      <c r="E125" s="4" t="s">
        <v>22</v>
      </c>
      <c r="F125" s="4" t="s">
        <v>226</v>
      </c>
      <c r="I125" s="9" t="s">
        <v>24</v>
      </c>
      <c r="J125" s="9" t="s">
        <v>227</v>
      </c>
      <c r="K125" s="9" t="s">
        <v>26</v>
      </c>
      <c r="L125" s="1" t="str">
        <f t="shared" si="1"/>
        <v>insert into CHB_DATACHECK_RULE (CHECKRULEID,DATATYPE,CHECKCLASS,CHECKMETHOD,SRCPROPERTY,COMPARETO,OBJVALUE,REMARK,STATUS,NULLABLE) values ('de464A49-6813-5A9E-F060-107F01006A65','CHB_PRD_DECLARE_SUB','com.joyintech.tams.common.svreport.datacheck.service.BaseCheckLib','isNotEmpty','CONT_MODE','','','合作模式要素不可为空。','E','N');</v>
      </c>
    </row>
    <row r="126" spans="1:12" x14ac:dyDescent="0.15">
      <c r="A126" s="9" t="s">
        <v>548</v>
      </c>
      <c r="B126" s="4" t="s">
        <v>549</v>
      </c>
      <c r="C126" s="4" t="s">
        <v>277</v>
      </c>
      <c r="D126" s="4" t="s">
        <v>21</v>
      </c>
      <c r="E126" s="4" t="s">
        <v>69</v>
      </c>
      <c r="F126" s="4" t="s">
        <v>235</v>
      </c>
      <c r="G126" s="4" t="s">
        <v>70</v>
      </c>
      <c r="H126" s="4" t="s">
        <v>237</v>
      </c>
      <c r="I126" s="9" t="s">
        <v>29</v>
      </c>
      <c r="J126" s="9" t="s">
        <v>238</v>
      </c>
      <c r="K126" s="9" t="s">
        <v>26</v>
      </c>
      <c r="L126" s="1" t="str">
        <f t="shared" si="1"/>
        <v>insert into CHB_DATACHECK_RULE (CHECKRULEID,DATATYPE,CHECKCLASS,CHECKMETHOD,SRCPROPERTY,COMPARETO,OBJVALUE,REMARK,STATUS,NULLABLE) values ('de464A63-6813-5A9E-F060-007F01006A65','CHB_PRD_DECLARE_SUB','com.joyintech.tams.common.svreport.datacheck.service.BaseCheckLib','inDatadict','INVEST_PRIN_DATE','==','SVR_AMTDATETYPE','投资本金到账日不在值域范围内。','E','Y');</v>
      </c>
    </row>
    <row r="127" spans="1:12" x14ac:dyDescent="0.15">
      <c r="A127" s="9" t="s">
        <v>550</v>
      </c>
      <c r="B127" s="4" t="s">
        <v>551</v>
      </c>
      <c r="C127" s="4" t="s">
        <v>277</v>
      </c>
      <c r="D127" s="4" t="s">
        <v>21</v>
      </c>
      <c r="E127" s="4" t="s">
        <v>22</v>
      </c>
      <c r="F127" s="4" t="s">
        <v>235</v>
      </c>
      <c r="I127" s="9" t="s">
        <v>24</v>
      </c>
      <c r="J127" s="9" t="s">
        <v>236</v>
      </c>
      <c r="K127" s="9" t="s">
        <v>26</v>
      </c>
      <c r="L127" s="1" t="str">
        <f t="shared" si="1"/>
        <v>insert into CHB_DATACHECK_RULE (CHECKRULEID,DATATYPE,CHECKCLASS,CHECKMETHOD,SRCPROPERTY,COMPARETO,OBJVALUE,REMARK,STATUS,NULLABLE) values ('de464A63-6813-5A9E-F060-107F01006A65','CHB_PRD_DECLARE_SUB','com.joyintech.tams.common.svreport.datacheck.service.BaseCheckLib','isNotEmpty','INVEST_PRIN_DATE','','','投资本金到账日要素不可为空。','E','N');</v>
      </c>
    </row>
    <row r="128" spans="1:12" x14ac:dyDescent="0.15">
      <c r="A128" s="9" t="s">
        <v>552</v>
      </c>
      <c r="B128" s="4" t="s">
        <v>553</v>
      </c>
      <c r="C128" s="4" t="s">
        <v>277</v>
      </c>
      <c r="D128" s="4" t="s">
        <v>21</v>
      </c>
      <c r="E128" s="4" t="s">
        <v>69</v>
      </c>
      <c r="F128" s="4" t="s">
        <v>239</v>
      </c>
      <c r="G128" s="4" t="s">
        <v>70</v>
      </c>
      <c r="H128" s="4" t="s">
        <v>237</v>
      </c>
      <c r="I128" s="9" t="s">
        <v>29</v>
      </c>
      <c r="J128" s="9" t="s">
        <v>241</v>
      </c>
      <c r="K128" s="9" t="s">
        <v>26</v>
      </c>
      <c r="L128" s="1" t="str">
        <f t="shared" si="1"/>
        <v>insert into CHB_DATACHECK_RULE (CHECKRULEID,DATATYPE,CHECKCLASS,CHECKMETHOD,SRCPROPERTY,COMPARETO,OBJVALUE,REMARK,STATUS,NULLABLE) values ('de464A64-6813-5A9E-F060-007F01006A65','CHB_PRD_DECLARE_SUB','com.joyintech.tams.common.svreport.datacheck.service.BaseCheckLib','inDatadict','INVEST_PROF_DATE','==','SVR_AMTDATETYPE','投资收益到账日不在值域范围内。','E','Y');</v>
      </c>
    </row>
    <row r="129" spans="1:12" x14ac:dyDescent="0.15">
      <c r="A129" s="9" t="s">
        <v>554</v>
      </c>
      <c r="B129" s="4" t="s">
        <v>555</v>
      </c>
      <c r="C129" s="4" t="s">
        <v>277</v>
      </c>
      <c r="D129" s="4" t="s">
        <v>21</v>
      </c>
      <c r="E129" s="4" t="s">
        <v>22</v>
      </c>
      <c r="F129" s="4" t="s">
        <v>239</v>
      </c>
      <c r="I129" s="9" t="s">
        <v>24</v>
      </c>
      <c r="J129" s="9" t="s">
        <v>240</v>
      </c>
      <c r="K129" s="9" t="s">
        <v>26</v>
      </c>
      <c r="L129" s="1" t="str">
        <f t="shared" si="1"/>
        <v>insert into CHB_DATACHECK_RULE (CHECKRULEID,DATATYPE,CHECKCLASS,CHECKMETHOD,SRCPROPERTY,COMPARETO,OBJVALUE,REMARK,STATUS,NULLABLE) values ('de464A64-6813-5A9E-F060-107F01006A65','CHB_PRD_DECLARE_SUB','com.joyintech.tams.common.svreport.datacheck.service.BaseCheckLib','isNotEmpty','INVEST_PROF_DATE','','','投资收益到账日要素不可为空。','E','N');</v>
      </c>
    </row>
    <row r="130" spans="1:12" x14ac:dyDescent="0.15">
      <c r="A130" s="9" t="s">
        <v>556</v>
      </c>
      <c r="B130" s="4" t="s">
        <v>557</v>
      </c>
      <c r="C130" s="4" t="s">
        <v>277</v>
      </c>
      <c r="D130" s="4" t="s">
        <v>21</v>
      </c>
      <c r="E130" s="4" t="s">
        <v>22</v>
      </c>
      <c r="F130" s="4" t="s">
        <v>183</v>
      </c>
      <c r="I130" s="9" t="s">
        <v>24</v>
      </c>
      <c r="J130" s="9" t="s">
        <v>184</v>
      </c>
      <c r="K130" s="9" t="s">
        <v>26</v>
      </c>
      <c r="L130" s="1" t="str">
        <f t="shared" si="1"/>
        <v>insert into CHB_DATACHECK_RULE (CHECKRULEID,DATATYPE,CHECKCLASS,CHECKMETHOD,SRCPROPERTY,COMPARETO,OBJVALUE,REMARK,STATUS,NULLABLE) values ('de464A69-6813-5A9E-F060-007F01006A65','CHB_PRD_DECLARE_SUB','com.joyintech.tams.common.svreport.datacheck.service.BaseCheckLib','isNotEmpty','IN_DEP_NAME','','','境内托管机构名称要素不可为空','E','N');</v>
      </c>
    </row>
    <row r="131" spans="1:12" x14ac:dyDescent="0.15">
      <c r="A131" s="9" t="s">
        <v>558</v>
      </c>
      <c r="B131" s="4" t="s">
        <v>559</v>
      </c>
      <c r="C131" s="4" t="s">
        <v>277</v>
      </c>
      <c r="D131" s="4" t="s">
        <v>21</v>
      </c>
      <c r="E131" s="4" t="s">
        <v>85</v>
      </c>
      <c r="F131" s="4" t="s">
        <v>193</v>
      </c>
      <c r="G131" s="4" t="s">
        <v>86</v>
      </c>
      <c r="H131" s="4" t="s">
        <v>195</v>
      </c>
      <c r="I131" s="9" t="s">
        <v>29</v>
      </c>
      <c r="J131" s="9" t="s">
        <v>560</v>
      </c>
      <c r="K131" s="9" t="s">
        <v>26</v>
      </c>
      <c r="L131" s="1" t="str">
        <f t="shared" si="1"/>
        <v>insert into CHB_DATACHECK_RULE (CHECKRULEID,DATATYPE,CHECKCLASS,CHECKMETHOD,SRCPROPERTY,COMPARETO,OBJVALUE,REMARK,STATUS,NULLABLE) values ('de464A70-6813-5A9E-F060-007F01006A65','CHB_PRD_DECLARE_SUB','com.joyintech.tams.common.svreport.datacheck.service.BaseCheckLib','compareValue','OUT_DEP_CTRY','!=','CHN','境外托管机构国别不能填写中国。','E','Y');</v>
      </c>
    </row>
    <row r="132" spans="1:12" x14ac:dyDescent="0.15">
      <c r="A132" s="9" t="s">
        <v>561</v>
      </c>
      <c r="B132" s="4" t="s">
        <v>562</v>
      </c>
      <c r="C132" s="4" t="s">
        <v>277</v>
      </c>
      <c r="D132" s="4" t="s">
        <v>21</v>
      </c>
      <c r="E132" s="4" t="s">
        <v>69</v>
      </c>
      <c r="F132" s="4" t="s">
        <v>206</v>
      </c>
      <c r="G132" s="4" t="s">
        <v>70</v>
      </c>
      <c r="H132" s="4" t="s">
        <v>207</v>
      </c>
      <c r="I132" s="9" t="s">
        <v>29</v>
      </c>
      <c r="J132" s="9" t="s">
        <v>208</v>
      </c>
      <c r="K132" s="9" t="s">
        <v>26</v>
      </c>
      <c r="L132" s="1" t="str">
        <f t="shared" si="1"/>
        <v>insert into CHB_DATACHECK_RULE (CHECKRULEID,DATATYPE,CHECKCLASS,CHECKMETHOD,SRCPROPERTY,COMPARETO,OBJVALUE,REMARK,STATUS,NULLABLE) values ('de464A83-6813-5A9E-F060-007F01006A65','CHB_PRD_DECLARE_SUB','com.joyintech.tams.common.svreport.datacheck.service.BaseCheckLib','inDatadict','RISK_LEVEL','==','PRODUCT_RISK_GRADE','产品风险等级不在值域范围内。','E','Y');</v>
      </c>
    </row>
    <row r="133" spans="1:12" x14ac:dyDescent="0.15">
      <c r="A133" s="9" t="s">
        <v>563</v>
      </c>
      <c r="B133" s="4" t="s">
        <v>564</v>
      </c>
      <c r="C133" s="4" t="s">
        <v>277</v>
      </c>
      <c r="D133" s="4" t="s">
        <v>21</v>
      </c>
      <c r="E133" s="4" t="s">
        <v>22</v>
      </c>
      <c r="F133" s="4" t="s">
        <v>206</v>
      </c>
      <c r="I133" s="9" t="s">
        <v>24</v>
      </c>
      <c r="J133" s="9" t="s">
        <v>205</v>
      </c>
      <c r="K133" s="9" t="s">
        <v>26</v>
      </c>
      <c r="L133" s="1" t="str">
        <f t="shared" ref="L133:L167" si="2">CONCATENATE("insert into CHB_DATACHECK_RULE (CHECKRULEID,DATATYPE,CHECKCLASS,CHECKMETHOD,SRCPROPERTY,COMPARETO,OBJVALUE,REMARK,STATUS,NULLABLE) values ('",B133,"','",C133,"','",D133,"','",E133,"','",F133,"','",G133,"','",H133,"','",J133,"','",K133,"','",I133,"');")</f>
        <v>insert into CHB_DATACHECK_RULE (CHECKRULEID,DATATYPE,CHECKCLASS,CHECKMETHOD,SRCPROPERTY,COMPARETO,OBJVALUE,REMARK,STATUS,NULLABLE) values ('de464A83-6813-5A9E-F060-107F01006A65','CHB_PRD_DECLARE_SUB','com.joyintech.tams.common.svreport.datacheck.service.BaseCheckLib','isNotEmpty','RISK_LEVEL','','','产品风险等级要素不可为空。','E','N');</v>
      </c>
    </row>
    <row r="134" spans="1:12" x14ac:dyDescent="0.15">
      <c r="A134" s="9" t="s">
        <v>565</v>
      </c>
      <c r="B134" s="4" t="s">
        <v>566</v>
      </c>
      <c r="C134" s="4" t="s">
        <v>277</v>
      </c>
      <c r="D134" s="4" t="s">
        <v>21</v>
      </c>
      <c r="E134" s="4" t="s">
        <v>69</v>
      </c>
      <c r="F134" s="4" t="s">
        <v>213</v>
      </c>
      <c r="G134" s="4" t="s">
        <v>70</v>
      </c>
      <c r="H134" s="4" t="s">
        <v>77</v>
      </c>
      <c r="I134" s="9" t="s">
        <v>29</v>
      </c>
      <c r="J134" s="9" t="s">
        <v>215</v>
      </c>
      <c r="K134" s="9" t="s">
        <v>26</v>
      </c>
      <c r="L134" s="1" t="str">
        <f t="shared" si="2"/>
        <v>insert into CHB_DATACHECK_RULE (CHECKRULEID,DATATYPE,CHECKCLASS,CHECKMETHOD,SRCPROPERTY,COMPARETO,OBJVALUE,REMARK,STATUS,NULLABLE) values ('de464A84-6813-5A9E-F060-007F01006A65','CHB_PRD_DECLARE_SUB','com.joyintech.tams.common.svreport.datacheck.service.BaseCheckLib','inDatadict','CUS_REDEEM_FLAG','==','YES_NO','客户赎回权标识不在值域范围内。','E','Y');</v>
      </c>
    </row>
    <row r="135" spans="1:12" x14ac:dyDescent="0.15">
      <c r="A135" s="9" t="s">
        <v>567</v>
      </c>
      <c r="B135" s="4" t="s">
        <v>568</v>
      </c>
      <c r="C135" s="4" t="s">
        <v>277</v>
      </c>
      <c r="D135" s="4" t="s">
        <v>21</v>
      </c>
      <c r="E135" s="4" t="s">
        <v>69</v>
      </c>
      <c r="F135" s="4" t="s">
        <v>242</v>
      </c>
      <c r="G135" s="4" t="s">
        <v>70</v>
      </c>
      <c r="H135" s="4" t="s">
        <v>77</v>
      </c>
      <c r="I135" s="9" t="s">
        <v>29</v>
      </c>
      <c r="J135" s="9" t="s">
        <v>244</v>
      </c>
      <c r="K135" s="9" t="s">
        <v>26</v>
      </c>
      <c r="L135" s="1" t="str">
        <f t="shared" si="2"/>
        <v>insert into CHB_DATACHECK_RULE (CHECKRULEID,DATATYPE,CHECKCLASS,CHECKMETHOD,SRCPROPERTY,COMPARETO,OBJVALUE,REMARK,STATUS,NULLABLE) values ('de464A85-6813-5A9E-F060-007F01006A65','CHB_PRD_DECLARE_SUB','com.joyintech.tams.common.svreport.datacheck.service.BaseCheckLib','inDatadict','CREDIT_FLAG','==','YES_NO','产品增信标识不在值域范围内。','E','Y');</v>
      </c>
    </row>
    <row r="136" spans="1:12" x14ac:dyDescent="0.15">
      <c r="A136" s="9" t="s">
        <v>569</v>
      </c>
      <c r="B136" s="4" t="s">
        <v>570</v>
      </c>
      <c r="C136" s="4" t="s">
        <v>277</v>
      </c>
      <c r="D136" s="4" t="s">
        <v>21</v>
      </c>
      <c r="E136" s="4" t="s">
        <v>22</v>
      </c>
      <c r="F136" s="4" t="s">
        <v>242</v>
      </c>
      <c r="I136" s="9" t="s">
        <v>24</v>
      </c>
      <c r="J136" s="9" t="s">
        <v>243</v>
      </c>
      <c r="K136" s="9" t="s">
        <v>26</v>
      </c>
      <c r="L136" s="1" t="str">
        <f t="shared" si="2"/>
        <v>insert into CHB_DATACHECK_RULE (CHECKRULEID,DATATYPE,CHECKCLASS,CHECKMETHOD,SRCPROPERTY,COMPARETO,OBJVALUE,REMARK,STATUS,NULLABLE) values ('de464A85-6813-5A9E-F060-107F01006A65','CHB_PRD_DECLARE_SUB','com.joyintech.tams.common.svreport.datacheck.service.BaseCheckLib','isNotEmpty','CREDIT_FLAG','','','产品增信标识要素不可为空。','E','N');</v>
      </c>
    </row>
    <row r="137" spans="1:12" x14ac:dyDescent="0.15">
      <c r="A137" s="9" t="s">
        <v>571</v>
      </c>
      <c r="B137" s="4" t="s">
        <v>572</v>
      </c>
      <c r="C137" s="4" t="s">
        <v>277</v>
      </c>
      <c r="D137" s="4" t="s">
        <v>21</v>
      </c>
      <c r="E137" s="4" t="s">
        <v>22</v>
      </c>
      <c r="F137" s="4" t="s">
        <v>249</v>
      </c>
      <c r="I137" s="9" t="s">
        <v>24</v>
      </c>
      <c r="J137" s="9" t="s">
        <v>250</v>
      </c>
      <c r="K137" s="9" t="s">
        <v>26</v>
      </c>
      <c r="L137" s="1" t="str">
        <f t="shared" si="2"/>
        <v>insert into CHB_DATACHECK_RULE (CHECKRULEID,DATATYPE,CHECKCLASS,CHECKMETHOD,SRCPROPERTY,COMPARETO,OBJVALUE,REMARK,STATUS,NULLABLE) values ('de464A88-6813-5A9E-F060-007F01006A65','CHB_PRD_DECLARE_SUB','com.joyintech.tams.common.svreport.datacheck.service.BaseCheckLib','isNotEmpty','CREDIT_MODE','','','产品增信形式要素不可为空','E','N');</v>
      </c>
    </row>
    <row r="138" spans="1:12" x14ac:dyDescent="0.15">
      <c r="A138" s="9" t="s">
        <v>573</v>
      </c>
      <c r="B138" s="4" t="s">
        <v>574</v>
      </c>
      <c r="C138" s="4" t="s">
        <v>277</v>
      </c>
      <c r="D138" s="4" t="s">
        <v>21</v>
      </c>
      <c r="E138" s="4" t="s">
        <v>22</v>
      </c>
      <c r="F138" s="4" t="s">
        <v>213</v>
      </c>
      <c r="I138" s="9" t="s">
        <v>24</v>
      </c>
      <c r="J138" s="9" t="s">
        <v>214</v>
      </c>
      <c r="K138" s="9" t="s">
        <v>26</v>
      </c>
      <c r="L138" s="1" t="str">
        <f t="shared" si="2"/>
        <v>insert into CHB_DATACHECK_RULE (CHECKRULEID,DATATYPE,CHECKCLASS,CHECKMETHOD,SRCPROPERTY,COMPARETO,OBJVALUE,REMARK,STATUS,NULLABLE) values ('de469111-6813-5A9E-F060-007F01006A65','CHB_PRD_DECLARE_SUB','com.joyintech.tams.common.svreport.datacheck.service.BaseCheckLib','isNotEmpty','CUS_REDEEM_FLAG','','','客户赎回权标识要素不可为空。','E','N');</v>
      </c>
    </row>
    <row r="139" spans="1:12" x14ac:dyDescent="0.15">
      <c r="A139" s="9" t="s">
        <v>575</v>
      </c>
      <c r="B139" s="4" t="s">
        <v>576</v>
      </c>
      <c r="C139" s="4" t="s">
        <v>277</v>
      </c>
      <c r="D139" s="4" t="s">
        <v>21</v>
      </c>
      <c r="E139" s="4" t="s">
        <v>22</v>
      </c>
      <c r="F139" s="4" t="s">
        <v>230</v>
      </c>
      <c r="I139" s="9" t="s">
        <v>24</v>
      </c>
      <c r="J139" s="9" t="s">
        <v>231</v>
      </c>
      <c r="K139" s="9" t="s">
        <v>26</v>
      </c>
      <c r="L139" s="1" t="str">
        <f t="shared" si="2"/>
        <v>insert into CHB_DATACHECK_RULE (CHECKRULEID,DATATYPE,CHECKCLASS,CHECKMETHOD,SRCPROPERTY,COMPARETO,OBJVALUE,REMARK,STATUS,NULLABLE) values ('de474A49-6813-5A9E-F060-007F01006A65','CHB_PRD_DECLARE_SUB','com.joyintech.tams.common.svreport.datacheck.service.BaseCheckLib','isNotEmpty','COOPERATION_NAME','','','合作机构名称要素不可为空','E','N');</v>
      </c>
    </row>
    <row r="140" spans="1:12" x14ac:dyDescent="0.15">
      <c r="A140" s="9" t="s">
        <v>577</v>
      </c>
      <c r="B140" s="4" t="s">
        <v>578</v>
      </c>
      <c r="C140" s="4" t="s">
        <v>277</v>
      </c>
      <c r="D140" s="4" t="s">
        <v>21</v>
      </c>
      <c r="E140" s="4" t="s">
        <v>27</v>
      </c>
      <c r="F140" s="4" t="s">
        <v>230</v>
      </c>
      <c r="G140" s="4" t="s">
        <v>70</v>
      </c>
      <c r="H140" s="4" t="s">
        <v>87</v>
      </c>
      <c r="I140" s="9" t="s">
        <v>29</v>
      </c>
      <c r="J140" s="9" t="s">
        <v>232</v>
      </c>
      <c r="K140" s="9" t="s">
        <v>26</v>
      </c>
      <c r="L140" s="1" t="str">
        <f t="shared" si="2"/>
        <v>insert into CHB_DATACHECK_RULE (CHECKRULEID,DATATYPE,CHECKCLASS,CHECKMETHOD,SRCPROPERTY,COMPARETO,OBJVALUE,REMARK,STATUS,NULLABLE) values ('de484A49-6813-5A9E-F060-007F01006A65','CHB_PRD_DECLARE_SUB','com.joyintech.tams.common.svreport.datacheck.service.BaseCheckLib','lessThanCharLength','COOPERATION_NAME','==','0','合作机构名称要素必须为空','E','Y');</v>
      </c>
    </row>
    <row r="141" spans="1:12" x14ac:dyDescent="0.15">
      <c r="A141" s="9" t="s">
        <v>579</v>
      </c>
      <c r="B141" s="4" t="s">
        <v>580</v>
      </c>
      <c r="C141" s="4" t="s">
        <v>277</v>
      </c>
      <c r="D141" s="4" t="s">
        <v>21</v>
      </c>
      <c r="E141" s="4" t="s">
        <v>27</v>
      </c>
      <c r="F141" s="4" t="s">
        <v>254</v>
      </c>
      <c r="H141" s="4" t="s">
        <v>256</v>
      </c>
      <c r="I141" s="9" t="s">
        <v>29</v>
      </c>
      <c r="J141" s="9" t="s">
        <v>581</v>
      </c>
      <c r="K141" s="9" t="s">
        <v>26</v>
      </c>
      <c r="L141" s="1" t="str">
        <f t="shared" si="2"/>
        <v>insert into CHB_DATACHECK_RULE (CHECKRULEID,DATATYPE,CHECKCLASS,CHECKMETHOD,SRCPROPERTY,COMPARETO,OBJVALUE,REMARK,STATUS,NULLABLE) values ('de494A49-6813-5A9E-F060-007F01006A65','CHB_PRD_DECLARE_SUB','com.joyintech.tams.common.svreport.datacheck.service.BaseCheckLib','lessThanCharLength','INV_TYPE_RAT','','301','投资资产种类及比例超长（最大长）300','E','Y');</v>
      </c>
    </row>
    <row r="142" spans="1:12" x14ac:dyDescent="0.15">
      <c r="A142" s="9" t="s">
        <v>582</v>
      </c>
      <c r="B142" s="4" t="s">
        <v>583</v>
      </c>
      <c r="C142" s="4" t="s">
        <v>277</v>
      </c>
      <c r="D142" s="4" t="s">
        <v>21</v>
      </c>
      <c r="E142" s="4" t="s">
        <v>22</v>
      </c>
      <c r="F142" s="4" t="s">
        <v>254</v>
      </c>
      <c r="I142" s="9" t="s">
        <v>24</v>
      </c>
      <c r="J142" s="9" t="s">
        <v>255</v>
      </c>
      <c r="K142" s="9" t="s">
        <v>26</v>
      </c>
      <c r="L142" s="1" t="str">
        <f t="shared" si="2"/>
        <v>insert into CHB_DATACHECK_RULE (CHECKRULEID,DATATYPE,CHECKCLASS,CHECKMETHOD,SRCPROPERTY,COMPARETO,OBJVALUE,REMARK,STATUS,NULLABLE) values ('de494A49-6813-5A9E-F060-107F01006A65','CHB_PRD_DECLARE_SUB','com.joyintech.tams.common.svreport.datacheck.service.BaseCheckLib','isNotEmpty','INV_TYPE_RAT','','','投资资产种类及比例要素不可为空。','E','N');</v>
      </c>
    </row>
    <row r="143" spans="1:12" x14ac:dyDescent="0.15">
      <c r="A143" s="9" t="s">
        <v>584</v>
      </c>
      <c r="B143" s="4" t="s">
        <v>585</v>
      </c>
      <c r="C143" s="4" t="s">
        <v>277</v>
      </c>
      <c r="D143" s="4" t="s">
        <v>21</v>
      </c>
      <c r="E143" s="4" t="s">
        <v>27</v>
      </c>
      <c r="F143" s="4" t="s">
        <v>188</v>
      </c>
      <c r="G143" s="4" t="s">
        <v>70</v>
      </c>
      <c r="H143" s="4" t="s">
        <v>190</v>
      </c>
      <c r="I143" s="9" t="s">
        <v>29</v>
      </c>
      <c r="J143" s="9" t="s">
        <v>191</v>
      </c>
      <c r="K143" s="9" t="s">
        <v>26</v>
      </c>
      <c r="L143" s="1" t="str">
        <f t="shared" si="2"/>
        <v>insert into CHB_DATACHECK_RULE (CHECKRULEID,DATATYPE,CHECKCLASS,CHECKMETHOD,SRCPROPERTY,COMPARETO,OBJVALUE,REMARK,STATUS,NULLABLE) values ('de494A74-6813-5A9E-F060-007F01006A65','CHB_PRD_DECLARE_SUB','com.joyintech.tams.common.svreport.datacheck.service.BaseCheckLib','lessThanCharLength','IN_DEP_CODE','==','13','境内托管机构代码要素超长','E','Y');</v>
      </c>
    </row>
    <row r="144" spans="1:12" x14ac:dyDescent="0.15">
      <c r="A144" s="9" t="s">
        <v>586</v>
      </c>
      <c r="B144" s="4" t="s">
        <v>587</v>
      </c>
      <c r="C144" s="4" t="s">
        <v>277</v>
      </c>
      <c r="D144" s="4" t="s">
        <v>21</v>
      </c>
      <c r="E144" s="4" t="s">
        <v>134</v>
      </c>
      <c r="F144" s="4" t="s">
        <v>218</v>
      </c>
      <c r="H144" s="4" t="s">
        <v>220</v>
      </c>
      <c r="I144" s="9" t="s">
        <v>29</v>
      </c>
      <c r="J144" s="9" t="s">
        <v>221</v>
      </c>
      <c r="K144" s="9" t="s">
        <v>26</v>
      </c>
      <c r="L144" s="1" t="str">
        <f t="shared" si="2"/>
        <v>insert into CHB_DATACHECK_RULE (CHECKRULEID,DATATYPE,CHECKCLASS,CHECKMETHOD,SRCPROPERTY,COMPARETO,OBJVALUE,REMARK,STATUS,NULLABLE) values ('de4E4A49-6813-5A9E-F060-007F01006A66','CHB_PRD_DECLARE_SUB','com.joyintech.tams.common.svreport.datacheck.service.BaseCheckLib','isNumber','PROD_STAGE','','6,0','产品期次必须为n..6格式。','E','Y');</v>
      </c>
    </row>
    <row r="145" spans="1:12" x14ac:dyDescent="0.15">
      <c r="A145" s="9" t="s">
        <v>588</v>
      </c>
      <c r="B145" s="4" t="s">
        <v>589</v>
      </c>
      <c r="C145" s="4" t="s">
        <v>277</v>
      </c>
      <c r="D145" s="4" t="s">
        <v>21</v>
      </c>
      <c r="E145" s="4" t="s">
        <v>22</v>
      </c>
      <c r="F145" s="4" t="s">
        <v>218</v>
      </c>
      <c r="I145" s="9" t="s">
        <v>24</v>
      </c>
      <c r="J145" s="9" t="s">
        <v>219</v>
      </c>
      <c r="K145" s="9" t="s">
        <v>26</v>
      </c>
      <c r="L145" s="1" t="str">
        <f t="shared" si="2"/>
        <v>insert into CHB_DATACHECK_RULE (CHECKRULEID,DATATYPE,CHECKCLASS,CHECKMETHOD,SRCPROPERTY,COMPARETO,OBJVALUE,REMARK,STATUS,NULLABLE) values ('de4E4A49-6813-5A9E-F060-107F01006A66','CHB_PRD_DECLARE_SUB','com.joyintech.tams.common.svreport.datacheck.service.BaseCheckLib','isNotEmpty','PROD_STAGE','','','产品期次要素不可为空。','E','N');</v>
      </c>
    </row>
    <row r="146" spans="1:12" x14ac:dyDescent="0.15">
      <c r="A146" s="9" t="s">
        <v>590</v>
      </c>
      <c r="B146" s="4" t="s">
        <v>591</v>
      </c>
      <c r="C146" s="4" t="s">
        <v>277</v>
      </c>
      <c r="D146" s="4" t="s">
        <v>21</v>
      </c>
      <c r="E146" s="4" t="s">
        <v>124</v>
      </c>
      <c r="F146" s="4" t="s">
        <v>125</v>
      </c>
      <c r="H146" s="4" t="s">
        <v>126</v>
      </c>
      <c r="I146" s="9" t="s">
        <v>29</v>
      </c>
      <c r="J146" s="9" t="s">
        <v>127</v>
      </c>
      <c r="K146" s="9" t="s">
        <v>26</v>
      </c>
      <c r="L146" s="1" t="str">
        <f t="shared" si="2"/>
        <v>insert into CHB_DATACHECK_RULE (CHECKRULEID,DATATYPE,CHECKCLASS,CHECKMETHOD,SRCPROPERTY,COMPARETO,OBJVALUE,REMARK,STATUS,NULLABLE) values ('de4E4A50-6813-5A9E-F060-007F01006A66','CHB_PRD_DECLARE_SUB','com.joyintech.tams.common.svreport.datacheck.service.BaseCheckLib','isNumber2','YIELD','','8,5','业绩比较基准%必须为n..(8,5)格式','E','Y');</v>
      </c>
    </row>
    <row r="147" spans="1:12" x14ac:dyDescent="0.15">
      <c r="A147" s="9" t="s">
        <v>592</v>
      </c>
      <c r="B147" s="4" t="s">
        <v>593</v>
      </c>
      <c r="C147" s="4" t="s">
        <v>277</v>
      </c>
      <c r="D147" s="4" t="s">
        <v>21</v>
      </c>
      <c r="E147" s="4" t="s">
        <v>128</v>
      </c>
      <c r="F147" s="4" t="s">
        <v>125</v>
      </c>
      <c r="G147" s="4" t="s">
        <v>166</v>
      </c>
      <c r="H147" s="4" t="s">
        <v>87</v>
      </c>
      <c r="I147" s="9" t="s">
        <v>29</v>
      </c>
      <c r="J147" s="9" t="s">
        <v>129</v>
      </c>
      <c r="K147" s="9" t="s">
        <v>26</v>
      </c>
      <c r="L147" s="1" t="str">
        <f t="shared" si="2"/>
        <v>insert into CHB_DATACHECK_RULE (CHECKRULEID,DATATYPE,CHECKCLASS,CHECKMETHOD,SRCPROPERTY,COMPARETO,OBJVALUE,REMARK,STATUS,NULLABLE) values ('de4E4A50-6813-5A9E-F060-107F01006A66','CHB_PRD_DECLARE_SUB','com.joyintech.tams.common.svreport.datacheck.service.BaseCheckLib','compareValueAsNumber','YIELD','&gt;=','0','业绩比较基准必须大于等于0。','E','Y');</v>
      </c>
    </row>
    <row r="148" spans="1:12" x14ac:dyDescent="0.15">
      <c r="A148" s="9" t="s">
        <v>594</v>
      </c>
      <c r="B148" s="4" t="s">
        <v>595</v>
      </c>
      <c r="C148" s="4" t="s">
        <v>277</v>
      </c>
      <c r="D148" s="4" t="s">
        <v>21</v>
      </c>
      <c r="E148" s="4" t="s">
        <v>124</v>
      </c>
      <c r="F148" s="4" t="s">
        <v>151</v>
      </c>
      <c r="H148" s="4" t="s">
        <v>153</v>
      </c>
      <c r="I148" s="9" t="s">
        <v>29</v>
      </c>
      <c r="J148" s="9" t="s">
        <v>154</v>
      </c>
      <c r="K148" s="9" t="s">
        <v>26</v>
      </c>
      <c r="L148" s="1" t="str">
        <f t="shared" si="2"/>
        <v>insert into CHB_DATACHECK_RULE (CHECKRULEID,DATATYPE,CHECKCLASS,CHECKMETHOD,SRCPROPERTY,COMPARETO,OBJVALUE,REMARK,STATUS,NULLABLE) values ('de4E4A57-6813-5A9E-F060-007F01006A66','CHB_PRD_DECLARE_SUB','com.joyintech.tams.common.svreport.datacheck.service.BaseCheckLib','isNumber2','SALE_AMT_STR','','15,2','起点销售金额必须为n（15,2）格式。','E','Y');</v>
      </c>
    </row>
    <row r="149" spans="1:12" x14ac:dyDescent="0.15">
      <c r="A149" s="9" t="s">
        <v>596</v>
      </c>
      <c r="B149" s="4" t="s">
        <v>597</v>
      </c>
      <c r="C149" s="4" t="s">
        <v>277</v>
      </c>
      <c r="D149" s="4" t="s">
        <v>21</v>
      </c>
      <c r="E149" s="4" t="s">
        <v>22</v>
      </c>
      <c r="F149" s="4" t="s">
        <v>151</v>
      </c>
      <c r="I149" s="9" t="s">
        <v>24</v>
      </c>
      <c r="J149" s="9" t="s">
        <v>152</v>
      </c>
      <c r="K149" s="9" t="s">
        <v>26</v>
      </c>
      <c r="L149" s="1" t="str">
        <f t="shared" si="2"/>
        <v>insert into CHB_DATACHECK_RULE (CHECKRULEID,DATATYPE,CHECKCLASS,CHECKMETHOD,SRCPROPERTY,COMPARETO,OBJVALUE,REMARK,STATUS,NULLABLE) values ('de4E4A57-6813-5A9E-F060-107F01006A66','CHB_PRD_DECLARE_SUB','com.joyintech.tams.common.svreport.datacheck.service.BaseCheckLib','isNotEmpty','SALE_AMT_STR','','','起点销售金额要素不可为空。','E','N');</v>
      </c>
    </row>
    <row r="150" spans="1:12" x14ac:dyDescent="0.15">
      <c r="A150" s="9" t="s">
        <v>598</v>
      </c>
      <c r="B150" s="4" t="s">
        <v>599</v>
      </c>
      <c r="C150" s="4" t="s">
        <v>277</v>
      </c>
      <c r="D150" s="4" t="s">
        <v>21</v>
      </c>
      <c r="E150" s="4" t="s">
        <v>124</v>
      </c>
      <c r="F150" s="4" t="s">
        <v>179</v>
      </c>
      <c r="H150" s="4" t="s">
        <v>153</v>
      </c>
      <c r="I150" s="9" t="s">
        <v>29</v>
      </c>
      <c r="J150" s="9" t="s">
        <v>181</v>
      </c>
      <c r="K150" s="9" t="s">
        <v>26</v>
      </c>
      <c r="L150" s="1" t="str">
        <f t="shared" si="2"/>
        <v>insert into CHB_DATACHECK_RULE (CHECKRULEID,DATATYPE,CHECKCLASS,CHECKMETHOD,SRCPROPERTY,COMPARETO,OBJVALUE,REMARK,STATUS,NULLABLE) values ('de4E4A59-6813-5A9E-F060-007F01006A66','CHB_PRD_DECLARE_SUB','com.joyintech.tams.common.svreport.datacheck.service.BaseCheckLib','isNumber2','RAISE_AMT_PLAN','','15,2','计划募集金额（元）必须为n(15,2)格式','E','Y');</v>
      </c>
    </row>
    <row r="151" spans="1:12" x14ac:dyDescent="0.15">
      <c r="A151" s="9" t="s">
        <v>600</v>
      </c>
      <c r="B151" s="4" t="s">
        <v>601</v>
      </c>
      <c r="C151" s="4" t="s">
        <v>277</v>
      </c>
      <c r="D151" s="4" t="s">
        <v>21</v>
      </c>
      <c r="E151" s="4" t="s">
        <v>22</v>
      </c>
      <c r="F151" s="4" t="s">
        <v>179</v>
      </c>
      <c r="I151" s="9" t="s">
        <v>24</v>
      </c>
      <c r="J151" s="9" t="s">
        <v>180</v>
      </c>
      <c r="K151" s="9" t="s">
        <v>26</v>
      </c>
      <c r="L151" s="1" t="str">
        <f t="shared" si="2"/>
        <v>insert into CHB_DATACHECK_RULE (CHECKRULEID,DATATYPE,CHECKCLASS,CHECKMETHOD,SRCPROPERTY,COMPARETO,OBJVALUE,REMARK,STATUS,NULLABLE) values ('de4E4A59-6813-5A9E-F060-107F01006A66','CHB_PRD_DECLARE_SUB','com.joyintech.tams.common.svreport.datacheck.service.BaseCheckLib','isNotEmpty','RAISE_AMT_PLAN','','','计划募集金额（元）要素不可为空。','E','N');</v>
      </c>
    </row>
    <row r="152" spans="1:12" x14ac:dyDescent="0.15">
      <c r="A152" s="9" t="s">
        <v>602</v>
      </c>
      <c r="B152" s="4" t="s">
        <v>603</v>
      </c>
      <c r="C152" s="4" t="s">
        <v>277</v>
      </c>
      <c r="D152" s="4" t="s">
        <v>21</v>
      </c>
      <c r="E152" s="4" t="s">
        <v>124</v>
      </c>
      <c r="F152" s="4" t="s">
        <v>163</v>
      </c>
      <c r="H152" s="4" t="s">
        <v>126</v>
      </c>
      <c r="I152" s="9" t="s">
        <v>29</v>
      </c>
      <c r="J152" s="9" t="s">
        <v>165</v>
      </c>
      <c r="K152" s="9" t="s">
        <v>26</v>
      </c>
      <c r="L152" s="1" t="str">
        <f t="shared" si="2"/>
        <v>insert into CHB_DATACHECK_RULE (CHECKRULEID,DATATYPE,CHECKCLASS,CHECKMETHOD,SRCPROPERTY,COMPARETO,OBJVALUE,REMARK,STATUS,NULLABLE) values ('de4E4A65-6813-5A9E-F060-007F01006A66','CHB_PRD_DECLARE_SUB','com.joyintech.tams.common.svreport.datacheck.service.BaseCheckLib','isNumber2','SALE_FEE_RATE','','8,5','销售手续费率%以百分数形式表示时必须为n（8,5）格式。','E','Y');</v>
      </c>
    </row>
    <row r="153" spans="1:12" x14ac:dyDescent="0.15">
      <c r="A153" s="9" t="s">
        <v>604</v>
      </c>
      <c r="B153" s="4" t="s">
        <v>605</v>
      </c>
      <c r="C153" s="4" t="s">
        <v>277</v>
      </c>
      <c r="D153" s="4" t="s">
        <v>21</v>
      </c>
      <c r="E153" s="4" t="s">
        <v>22</v>
      </c>
      <c r="F153" s="4" t="s">
        <v>163</v>
      </c>
      <c r="I153" s="9" t="s">
        <v>24</v>
      </c>
      <c r="J153" s="9" t="s">
        <v>164</v>
      </c>
      <c r="K153" s="9" t="s">
        <v>26</v>
      </c>
      <c r="L153" s="1" t="str">
        <f t="shared" si="2"/>
        <v>insert into CHB_DATACHECK_RULE (CHECKRULEID,DATATYPE,CHECKCLASS,CHECKMETHOD,SRCPROPERTY,COMPARETO,OBJVALUE,REMARK,STATUS,NULLABLE) values ('de4E4A65-6813-5A9E-F060-107F01006A66','CHB_PRD_DECLARE_SUB','com.joyintech.tams.common.svreport.datacheck.service.BaseCheckLib','isNotEmpty','SALE_FEE_RATE','','','销售手续费率%要素不可为空。','E','N');</v>
      </c>
    </row>
    <row r="154" spans="1:12" x14ac:dyDescent="0.15">
      <c r="A154" s="9" t="s">
        <v>606</v>
      </c>
      <c r="B154" s="4" t="s">
        <v>607</v>
      </c>
      <c r="C154" s="4" t="s">
        <v>277</v>
      </c>
      <c r="D154" s="4" t="s">
        <v>21</v>
      </c>
      <c r="E154" s="4" t="s">
        <v>128</v>
      </c>
      <c r="F154" s="4" t="s">
        <v>163</v>
      </c>
      <c r="G154" s="4" t="s">
        <v>166</v>
      </c>
      <c r="H154" s="4" t="s">
        <v>87</v>
      </c>
      <c r="I154" s="9" t="s">
        <v>29</v>
      </c>
      <c r="J154" s="9" t="s">
        <v>167</v>
      </c>
      <c r="K154" s="9" t="s">
        <v>26</v>
      </c>
      <c r="L154" s="1" t="str">
        <f t="shared" si="2"/>
        <v>insert into CHB_DATACHECK_RULE (CHECKRULEID,DATATYPE,CHECKCLASS,CHECKMETHOD,SRCPROPERTY,COMPARETO,OBJVALUE,REMARK,STATUS,NULLABLE) values ('de4E4A66-6813-5A9E-F060-007F01006A66','CHB_PRD_DECLARE_SUB','com.joyintech.tams.common.svreport.datacheck.service.BaseCheckLib','compareValueAsNumber','SALE_FEE_RATE','&gt;=','0','销售手续费率%必须大于等于0','E','Y');</v>
      </c>
    </row>
    <row r="155" spans="1:12" x14ac:dyDescent="0.15">
      <c r="A155" s="9" t="s">
        <v>608</v>
      </c>
      <c r="B155" s="4" t="s">
        <v>609</v>
      </c>
      <c r="C155" s="4" t="s">
        <v>277</v>
      </c>
      <c r="D155" s="4" t="s">
        <v>21</v>
      </c>
      <c r="E155" s="4" t="s">
        <v>124</v>
      </c>
      <c r="F155" s="4" t="s">
        <v>222</v>
      </c>
      <c r="H155" s="4" t="s">
        <v>126</v>
      </c>
      <c r="I155" s="9" t="s">
        <v>29</v>
      </c>
      <c r="J155" s="9" t="s">
        <v>224</v>
      </c>
      <c r="K155" s="9" t="s">
        <v>26</v>
      </c>
      <c r="L155" s="1" t="str">
        <f t="shared" si="2"/>
        <v>insert into CHB_DATACHECK_RULE (CHECKRULEID,DATATYPE,CHECKCLASS,CHECKMETHOD,SRCPROPERTY,COMPARETO,OBJVALUE,REMARK,STATUS,NULLABLE) values ('de4E4A67-6813-5A9E-F060-007F01006A66','CHB_PRD_DECLARE_SUB','com.joyintech.tams.common.svreport.datacheck.service.BaseCheckLib','isNumber2','INVEST_FEE_RATE','','8,5','投资管理费率%以百分数形式表示时必须为n（8,5）格式。','E','Y');</v>
      </c>
    </row>
    <row r="156" spans="1:12" x14ac:dyDescent="0.15">
      <c r="A156" s="9" t="s">
        <v>610</v>
      </c>
      <c r="B156" s="4" t="s">
        <v>611</v>
      </c>
      <c r="C156" s="4" t="s">
        <v>277</v>
      </c>
      <c r="D156" s="4" t="s">
        <v>21</v>
      </c>
      <c r="E156" s="4" t="s">
        <v>22</v>
      </c>
      <c r="F156" s="4" t="s">
        <v>222</v>
      </c>
      <c r="I156" s="9" t="s">
        <v>24</v>
      </c>
      <c r="J156" s="9" t="s">
        <v>223</v>
      </c>
      <c r="K156" s="9" t="s">
        <v>26</v>
      </c>
      <c r="L156" s="1" t="str">
        <f t="shared" si="2"/>
        <v>insert into CHB_DATACHECK_RULE (CHECKRULEID,DATATYPE,CHECKCLASS,CHECKMETHOD,SRCPROPERTY,COMPARETO,OBJVALUE,REMARK,STATUS,NULLABLE) values ('de4E4A67-6813-5A9E-F060-107F01006A66','CHB_PRD_DECLARE_SUB','com.joyintech.tams.common.svreport.datacheck.service.BaseCheckLib','isNotEmpty','INVEST_FEE_RATE','','','投资管理费率%要素不可为空。','E','N');</v>
      </c>
    </row>
    <row r="157" spans="1:12" x14ac:dyDescent="0.15">
      <c r="A157" s="9" t="s">
        <v>612</v>
      </c>
      <c r="B157" s="4" t="s">
        <v>613</v>
      </c>
      <c r="C157" s="4" t="s">
        <v>277</v>
      </c>
      <c r="D157" s="4" t="s">
        <v>21</v>
      </c>
      <c r="E157" s="4" t="s">
        <v>128</v>
      </c>
      <c r="F157" s="4" t="s">
        <v>222</v>
      </c>
      <c r="G157" s="4" t="s">
        <v>166</v>
      </c>
      <c r="H157" s="4" t="s">
        <v>87</v>
      </c>
      <c r="I157" s="9" t="s">
        <v>29</v>
      </c>
      <c r="J157" s="9" t="s">
        <v>225</v>
      </c>
      <c r="K157" s="9" t="s">
        <v>26</v>
      </c>
      <c r="L157" s="1" t="str">
        <f t="shared" si="2"/>
        <v>insert into CHB_DATACHECK_RULE (CHECKRULEID,DATATYPE,CHECKCLASS,CHECKMETHOD,SRCPROPERTY,COMPARETO,OBJVALUE,REMARK,STATUS,NULLABLE) values ('de4E4A68-6813-5A9E-F060-007F01006A66','CHB_PRD_DECLARE_SUB','com.joyintech.tams.common.svreport.datacheck.service.BaseCheckLib','compareValueAsNumber','INVEST_FEE_RATE','&gt;=','0','投资管理费率%必须大于等于0','E','Y');</v>
      </c>
    </row>
    <row r="158" spans="1:12" x14ac:dyDescent="0.15">
      <c r="A158" s="9" t="s">
        <v>614</v>
      </c>
      <c r="B158" s="4" t="s">
        <v>615</v>
      </c>
      <c r="C158" s="4" t="s">
        <v>277</v>
      </c>
      <c r="D158" s="4" t="s">
        <v>21</v>
      </c>
      <c r="E158" s="4" t="s">
        <v>22</v>
      </c>
      <c r="F158" s="4" t="s">
        <v>34</v>
      </c>
      <c r="I158" s="9" t="s">
        <v>24</v>
      </c>
      <c r="J158" s="9" t="s">
        <v>35</v>
      </c>
      <c r="K158" s="9" t="s">
        <v>26</v>
      </c>
      <c r="L158" s="1" t="str">
        <f t="shared" si="2"/>
        <v>insert into CHB_DATACHECK_RULE (CHECKRULEID,DATATYPE,CHECKCLASS,CHECKMETHOD,SRCPROPERTY,COMPARETO,OBJVALUE,REMARK,STATUS,NULLABLE) values ('de5E4A49-6813-5A9E-F060-007F01006A66','CHB_PRD_DECLARE_SUB','com.joyintech.tams.common.svreport.datacheck.service.BaseCheckLib','isNotEmpty','ISSUE_PARTY_ID','','','发行机构代码要素不可为空。','E','N');</v>
      </c>
    </row>
    <row r="159" spans="1:12" x14ac:dyDescent="0.15">
      <c r="A159" s="9" t="s">
        <v>616</v>
      </c>
      <c r="B159" s="4" t="s">
        <v>617</v>
      </c>
      <c r="C159" s="4" t="s">
        <v>277</v>
      </c>
      <c r="D159" s="4" t="s">
        <v>21</v>
      </c>
      <c r="E159" s="4" t="s">
        <v>22</v>
      </c>
      <c r="F159" s="4" t="s">
        <v>38</v>
      </c>
      <c r="I159" s="9" t="s">
        <v>24</v>
      </c>
      <c r="J159" s="9" t="s">
        <v>39</v>
      </c>
      <c r="K159" s="9" t="s">
        <v>26</v>
      </c>
      <c r="L159" s="1" t="str">
        <f t="shared" si="2"/>
        <v>insert into CHB_DATACHECK_RULE (CHECKRULEID,DATATYPE,CHECKCLASS,CHECKMETHOD,SRCPROPERTY,COMPARETO,OBJVALUE,REMARK,STATUS,NULLABLE) values ('de6E4A49-6813-5A9E-F060-007F01006A66','CHB_PRD_DECLARE_SUB','com.joyintech.tams.common.svreport.datacheck.service.BaseCheckLib','isNotEmpty','APPROVER_ID','','','产品审批人身份证号要素不可为空。','E','N');</v>
      </c>
    </row>
    <row r="160" spans="1:12" x14ac:dyDescent="0.15">
      <c r="A160" s="9" t="s">
        <v>618</v>
      </c>
      <c r="B160" s="4" t="s">
        <v>619</v>
      </c>
      <c r="C160" s="4" t="s">
        <v>277</v>
      </c>
      <c r="D160" s="4" t="s">
        <v>21</v>
      </c>
      <c r="E160" s="4" t="s">
        <v>27</v>
      </c>
      <c r="F160" s="4" t="s">
        <v>38</v>
      </c>
      <c r="H160" s="4" t="s">
        <v>57</v>
      </c>
      <c r="I160" s="9" t="s">
        <v>29</v>
      </c>
      <c r="J160" s="9" t="s">
        <v>40</v>
      </c>
      <c r="K160" s="9" t="s">
        <v>26</v>
      </c>
      <c r="L160" s="1" t="str">
        <f t="shared" si="2"/>
        <v>insert into CHB_DATACHECK_RULE (CHECKRULEID,DATATYPE,CHECKCLASS,CHECKMETHOD,SRCPROPERTY,COMPARETO,OBJVALUE,REMARK,STATUS,NULLABLE) values ('de6E4A49-6813-5A9E-F060-107F01006A66','CHB_PRD_DECLARE_SUB','com.joyintech.tams.common.svreport.datacheck.service.BaseCheckLib','lessThanCharLength','APPROVER_ID','','31','产品审批人身份证号过长。','E','Y');</v>
      </c>
    </row>
    <row r="161" spans="1:12" x14ac:dyDescent="0.15">
      <c r="A161" s="9" t="s">
        <v>620</v>
      </c>
      <c r="B161" s="4" t="s">
        <v>621</v>
      </c>
      <c r="C161" s="4" t="s">
        <v>277</v>
      </c>
      <c r="D161" s="4" t="s">
        <v>21</v>
      </c>
      <c r="E161" s="4" t="s">
        <v>22</v>
      </c>
      <c r="F161" s="4" t="s">
        <v>42</v>
      </c>
      <c r="I161" s="9" t="s">
        <v>24</v>
      </c>
      <c r="J161" s="9" t="s">
        <v>43</v>
      </c>
      <c r="K161" s="9" t="s">
        <v>26</v>
      </c>
      <c r="L161" s="1" t="str">
        <f t="shared" si="2"/>
        <v>insert into CHB_DATACHECK_RULE (CHECKRULEID,DATATYPE,CHECKCLASS,CHECKMETHOD,SRCPROPERTY,COMPARETO,OBJVALUE,REMARK,STATUS,NULLABLE) values ('de7E4A49-6813-5A9E-F060-007F01006A66','CHB_PRD_DECLARE_SUB','com.joyintech.tams.common.svreport.datacheck.service.BaseCheckLib','isNotEmpty','DESIGNER_ID','','','产品设计人身份证号要素不可为空。','E','N');</v>
      </c>
    </row>
    <row r="162" spans="1:12" x14ac:dyDescent="0.15">
      <c r="A162" s="9" t="s">
        <v>622</v>
      </c>
      <c r="B162" s="4" t="s">
        <v>623</v>
      </c>
      <c r="C162" s="4" t="s">
        <v>277</v>
      </c>
      <c r="D162" s="4" t="s">
        <v>21</v>
      </c>
      <c r="E162" s="4" t="s">
        <v>22</v>
      </c>
      <c r="F162" s="4" t="s">
        <v>46</v>
      </c>
      <c r="I162" s="9" t="s">
        <v>24</v>
      </c>
      <c r="J162" s="9" t="s">
        <v>47</v>
      </c>
      <c r="K162" s="9" t="s">
        <v>26</v>
      </c>
      <c r="L162" s="1" t="str">
        <f t="shared" si="2"/>
        <v>insert into CHB_DATACHECK_RULE (CHECKRULEID,DATATYPE,CHECKCLASS,CHECKMETHOD,SRCPROPERTY,COMPARETO,OBJVALUE,REMARK,STATUS,NULLABLE) values ('de8E4A49-6813-5A9E-F060-007F01006A66','CHB_PRD_DECLARE_SUB','com.joyintech.tams.common.svreport.datacheck.service.BaseCheckLib','isNotEmpty','MANAGER_ID','','','投资经理身份证号要素不可为空。','E','N');</v>
      </c>
    </row>
    <row r="163" spans="1:12" x14ac:dyDescent="0.15">
      <c r="A163" s="9" t="s">
        <v>624</v>
      </c>
      <c r="B163" s="4" t="s">
        <v>625</v>
      </c>
      <c r="C163" s="4" t="s">
        <v>277</v>
      </c>
      <c r="D163" s="4" t="s">
        <v>21</v>
      </c>
      <c r="E163" s="4" t="s">
        <v>626</v>
      </c>
      <c r="F163" s="4" t="s">
        <v>206</v>
      </c>
      <c r="G163" s="4" t="s">
        <v>70</v>
      </c>
      <c r="H163" s="4" t="s">
        <v>266</v>
      </c>
      <c r="I163" s="9" t="s">
        <v>29</v>
      </c>
      <c r="J163" s="9" t="s">
        <v>627</v>
      </c>
      <c r="K163" s="9" t="s">
        <v>26</v>
      </c>
      <c r="L163" s="1" t="str">
        <f t="shared" si="2"/>
        <v>insert into CHB_DATACHECK_RULE (CHECKRULEID,DATATYPE,CHECKCLASS,CHECKMETHOD,SRCPROPERTY,COMPARETO,OBJVALUE,REMARK,STATUS,NULLABLE) values ('de8E4A49-6813-5A9E-F060-107F21206A66','CHB_PRD_DECLARE_SUB','com.joyintech.tams.common.svreport.datacheck.service.BaseCheckLib','inArray','RISK_LEVEL','==','01','产品风险等级必须选择“01 一级（低）”。','E','Y');</v>
      </c>
    </row>
    <row r="164" spans="1:12" x14ac:dyDescent="0.15">
      <c r="A164" s="9" t="s">
        <v>628</v>
      </c>
      <c r="B164" s="4" t="s">
        <v>629</v>
      </c>
      <c r="C164" s="4" t="s">
        <v>277</v>
      </c>
      <c r="D164" s="4" t="s">
        <v>21</v>
      </c>
      <c r="E164" s="4" t="s">
        <v>626</v>
      </c>
      <c r="F164" s="4" t="s">
        <v>206</v>
      </c>
      <c r="G164" s="4" t="s">
        <v>70</v>
      </c>
      <c r="H164" s="4" t="s">
        <v>630</v>
      </c>
      <c r="I164" s="9" t="s">
        <v>29</v>
      </c>
      <c r="J164" s="9" t="s">
        <v>631</v>
      </c>
      <c r="K164" s="9" t="s">
        <v>26</v>
      </c>
      <c r="L164" s="1" t="str">
        <f t="shared" si="2"/>
        <v>insert into CHB_DATACHECK_RULE (CHECKRULEID,DATATYPE,CHECKCLASS,CHECKMETHOD,SRCPROPERTY,COMPARETO,OBJVALUE,REMARK,STATUS,NULLABLE) values ('de8E4A49-6813-5A9E-F060-107F21206A67','CHB_PRD_DECLARE_SUB','com.joyintech.tams.common.svreport.datacheck.service.BaseCheckLib','inArray','RISK_LEVEL','==','01,02','产品风险等级必须选择“01 一级（低）”或者“02 二级（中低）”。','E','Y');</v>
      </c>
    </row>
    <row r="165" spans="1:12" x14ac:dyDescent="0.15">
      <c r="A165" s="9" t="s">
        <v>632</v>
      </c>
      <c r="B165" s="4" t="s">
        <v>633</v>
      </c>
      <c r="C165" s="4" t="s">
        <v>277</v>
      </c>
      <c r="D165" s="4" t="s">
        <v>21</v>
      </c>
      <c r="E165" s="4" t="s">
        <v>626</v>
      </c>
      <c r="F165" s="4" t="s">
        <v>206</v>
      </c>
      <c r="G165" s="4" t="s">
        <v>70</v>
      </c>
      <c r="H165" s="4" t="s">
        <v>634</v>
      </c>
      <c r="I165" s="9" t="s">
        <v>29</v>
      </c>
      <c r="J165" s="9" t="s">
        <v>635</v>
      </c>
      <c r="K165" s="9" t="s">
        <v>26</v>
      </c>
      <c r="L165" s="1" t="str">
        <f t="shared" si="2"/>
        <v>insert into CHB_DATACHECK_RULE (CHECKRULEID,DATATYPE,CHECKCLASS,CHECKMETHOD,SRCPROPERTY,COMPARETO,OBJVALUE,REMARK,STATUS,NULLABLE) values ('de8E4A49-6813-5A9E-F060-107F21206A68','CHB_PRD_DECLARE_SUB','com.joyintech.tams.common.svreport.datacheck.service.BaseCheckLib','inArray','RISK_LEVEL','==','01,02,03','产品风险等级必须选择“01 一级（低）”或者“02 二级（中低）”或者“03 三级（中）”。','E','Y');</v>
      </c>
    </row>
    <row r="166" spans="1:12" x14ac:dyDescent="0.15">
      <c r="A166" s="9" t="s">
        <v>636</v>
      </c>
      <c r="B166" s="4" t="s">
        <v>637</v>
      </c>
      <c r="C166" s="4" t="s">
        <v>277</v>
      </c>
      <c r="D166" s="4" t="s">
        <v>21</v>
      </c>
      <c r="E166" s="4" t="s">
        <v>626</v>
      </c>
      <c r="F166" s="4" t="s">
        <v>206</v>
      </c>
      <c r="G166" s="4" t="s">
        <v>70</v>
      </c>
      <c r="H166" s="4" t="s">
        <v>638</v>
      </c>
      <c r="I166" s="9" t="s">
        <v>29</v>
      </c>
      <c r="J166" s="9" t="s">
        <v>639</v>
      </c>
      <c r="K166" s="9" t="s">
        <v>26</v>
      </c>
      <c r="L166" s="1" t="str">
        <f t="shared" si="2"/>
        <v>insert into CHB_DATACHECK_RULE (CHECKRULEID,DATATYPE,CHECKCLASS,CHECKMETHOD,SRCPROPERTY,COMPARETO,OBJVALUE,REMARK,STATUS,NULLABLE) values ('de8E4A49-6813-5A9E-F060-107F21206A69','CHB_PRD_DECLARE_SUB','com.joyintech.tams.common.svreport.datacheck.service.BaseCheckLib','inArray','RISK_LEVEL','==','01,02,03,04','产品风险等级必须选择“01 一级（低）”或者“02 二级（中低）”或者“03 三级（中）”或者“04 四级（中高）”。','E','Y');</v>
      </c>
    </row>
    <row r="167" spans="1:12" x14ac:dyDescent="0.15">
      <c r="A167" s="9" t="s">
        <v>640</v>
      </c>
      <c r="B167" s="4" t="s">
        <v>641</v>
      </c>
      <c r="C167" s="4" t="s">
        <v>277</v>
      </c>
      <c r="D167" s="4" t="s">
        <v>21</v>
      </c>
      <c r="E167" s="4" t="s">
        <v>22</v>
      </c>
      <c r="F167" s="4" t="s">
        <v>50</v>
      </c>
      <c r="I167" s="9" t="s">
        <v>24</v>
      </c>
      <c r="J167" s="9" t="s">
        <v>51</v>
      </c>
      <c r="K167" s="9" t="s">
        <v>26</v>
      </c>
      <c r="L167" s="1" t="str">
        <f t="shared" si="2"/>
        <v>insert into CHB_DATACHECK_RULE (CHECKRULEID,DATATYPE,CHECKCLASS,CHECKMETHOD,SRCPROPERTY,COMPARETO,OBJVALUE,REMARK,STATUS,NULLABLE) values ('de9E4A49-6813-5A9E-F060-007F01006A66','CHB_PRD_DECLARE_SUB','com.joyintech.tams.common.svreport.datacheck.service.BaseCheckLib','isNotEmpty','LIAISON_NAME','','','业务联络人姓名要素不可为空。','E','N');</v>
      </c>
    </row>
  </sheetData>
  <mergeCells count="1">
    <mergeCell ref="B3:K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B1" workbookViewId="0">
      <selection activeCell="B3" sqref="B3:I3"/>
    </sheetView>
  </sheetViews>
  <sheetFormatPr defaultColWidth="9" defaultRowHeight="11.25" x14ac:dyDescent="0.15"/>
  <cols>
    <col min="1" max="1" width="9" style="5"/>
    <col min="2" max="3" width="34.875" style="5" bestFit="1" customWidth="1"/>
    <col min="4" max="4" width="20.625" style="5" customWidth="1"/>
    <col min="5" max="5" width="11.875" style="5" customWidth="1"/>
    <col min="6" max="6" width="14" style="5" customWidth="1"/>
    <col min="7" max="7" width="9" style="5"/>
    <col min="8" max="8" width="15.5" style="5" customWidth="1"/>
    <col min="9" max="9" width="17.75" style="5" customWidth="1"/>
    <col min="10" max="257" width="9" style="5"/>
    <col min="258" max="258" width="22.25" style="5" customWidth="1"/>
    <col min="259" max="259" width="9" style="5"/>
    <col min="260" max="260" width="15.5" style="5" customWidth="1"/>
    <col min="261" max="261" width="11.875" style="5" customWidth="1"/>
    <col min="262" max="262" width="14" style="5" customWidth="1"/>
    <col min="263" max="513" width="9" style="5"/>
    <col min="514" max="514" width="22.25" style="5" customWidth="1"/>
    <col min="515" max="515" width="9" style="5"/>
    <col min="516" max="516" width="15.5" style="5" customWidth="1"/>
    <col min="517" max="517" width="11.875" style="5" customWidth="1"/>
    <col min="518" max="518" width="14" style="5" customWidth="1"/>
    <col min="519" max="769" width="9" style="5"/>
    <col min="770" max="770" width="22.25" style="5" customWidth="1"/>
    <col min="771" max="771" width="9" style="5"/>
    <col min="772" max="772" width="15.5" style="5" customWidth="1"/>
    <col min="773" max="773" width="11.875" style="5" customWidth="1"/>
    <col min="774" max="774" width="14" style="5" customWidth="1"/>
    <col min="775" max="1025" width="9" style="5"/>
    <col min="1026" max="1026" width="22.25" style="5" customWidth="1"/>
    <col min="1027" max="1027" width="9" style="5"/>
    <col min="1028" max="1028" width="15.5" style="5" customWidth="1"/>
    <col min="1029" max="1029" width="11.875" style="5" customWidth="1"/>
    <col min="1030" max="1030" width="14" style="5" customWidth="1"/>
    <col min="1031" max="1281" width="9" style="5"/>
    <col min="1282" max="1282" width="22.25" style="5" customWidth="1"/>
    <col min="1283" max="1283" width="9" style="5"/>
    <col min="1284" max="1284" width="15.5" style="5" customWidth="1"/>
    <col min="1285" max="1285" width="11.875" style="5" customWidth="1"/>
    <col min="1286" max="1286" width="14" style="5" customWidth="1"/>
    <col min="1287" max="1537" width="9" style="5"/>
    <col min="1538" max="1538" width="22.25" style="5" customWidth="1"/>
    <col min="1539" max="1539" width="9" style="5"/>
    <col min="1540" max="1540" width="15.5" style="5" customWidth="1"/>
    <col min="1541" max="1541" width="11.875" style="5" customWidth="1"/>
    <col min="1542" max="1542" width="14" style="5" customWidth="1"/>
    <col min="1543" max="1793" width="9" style="5"/>
    <col min="1794" max="1794" width="22.25" style="5" customWidth="1"/>
    <col min="1795" max="1795" width="9" style="5"/>
    <col min="1796" max="1796" width="15.5" style="5" customWidth="1"/>
    <col min="1797" max="1797" width="11.875" style="5" customWidth="1"/>
    <col min="1798" max="1798" width="14" style="5" customWidth="1"/>
    <col min="1799" max="2049" width="9" style="5"/>
    <col min="2050" max="2050" width="22.25" style="5" customWidth="1"/>
    <col min="2051" max="2051" width="9" style="5"/>
    <col min="2052" max="2052" width="15.5" style="5" customWidth="1"/>
    <col min="2053" max="2053" width="11.875" style="5" customWidth="1"/>
    <col min="2054" max="2054" width="14" style="5" customWidth="1"/>
    <col min="2055" max="2305" width="9" style="5"/>
    <col min="2306" max="2306" width="22.25" style="5" customWidth="1"/>
    <col min="2307" max="2307" width="9" style="5"/>
    <col min="2308" max="2308" width="15.5" style="5" customWidth="1"/>
    <col min="2309" max="2309" width="11.875" style="5" customWidth="1"/>
    <col min="2310" max="2310" width="14" style="5" customWidth="1"/>
    <col min="2311" max="2561" width="9" style="5"/>
    <col min="2562" max="2562" width="22.25" style="5" customWidth="1"/>
    <col min="2563" max="2563" width="9" style="5"/>
    <col min="2564" max="2564" width="15.5" style="5" customWidth="1"/>
    <col min="2565" max="2565" width="11.875" style="5" customWidth="1"/>
    <col min="2566" max="2566" width="14" style="5" customWidth="1"/>
    <col min="2567" max="2817" width="9" style="5"/>
    <col min="2818" max="2818" width="22.25" style="5" customWidth="1"/>
    <col min="2819" max="2819" width="9" style="5"/>
    <col min="2820" max="2820" width="15.5" style="5" customWidth="1"/>
    <col min="2821" max="2821" width="11.875" style="5" customWidth="1"/>
    <col min="2822" max="2822" width="14" style="5" customWidth="1"/>
    <col min="2823" max="3073" width="9" style="5"/>
    <col min="3074" max="3074" width="22.25" style="5" customWidth="1"/>
    <col min="3075" max="3075" width="9" style="5"/>
    <col min="3076" max="3076" width="15.5" style="5" customWidth="1"/>
    <col min="3077" max="3077" width="11.875" style="5" customWidth="1"/>
    <col min="3078" max="3078" width="14" style="5" customWidth="1"/>
    <col min="3079" max="3329" width="9" style="5"/>
    <col min="3330" max="3330" width="22.25" style="5" customWidth="1"/>
    <col min="3331" max="3331" width="9" style="5"/>
    <col min="3332" max="3332" width="15.5" style="5" customWidth="1"/>
    <col min="3333" max="3333" width="11.875" style="5" customWidth="1"/>
    <col min="3334" max="3334" width="14" style="5" customWidth="1"/>
    <col min="3335" max="3585" width="9" style="5"/>
    <col min="3586" max="3586" width="22.25" style="5" customWidth="1"/>
    <col min="3587" max="3587" width="9" style="5"/>
    <col min="3588" max="3588" width="15.5" style="5" customWidth="1"/>
    <col min="3589" max="3589" width="11.875" style="5" customWidth="1"/>
    <col min="3590" max="3590" width="14" style="5" customWidth="1"/>
    <col min="3591" max="3841" width="9" style="5"/>
    <col min="3842" max="3842" width="22.25" style="5" customWidth="1"/>
    <col min="3843" max="3843" width="9" style="5"/>
    <col min="3844" max="3844" width="15.5" style="5" customWidth="1"/>
    <col min="3845" max="3845" width="11.875" style="5" customWidth="1"/>
    <col min="3846" max="3846" width="14" style="5" customWidth="1"/>
    <col min="3847" max="4097" width="9" style="5"/>
    <col min="4098" max="4098" width="22.25" style="5" customWidth="1"/>
    <col min="4099" max="4099" width="9" style="5"/>
    <col min="4100" max="4100" width="15.5" style="5" customWidth="1"/>
    <col min="4101" max="4101" width="11.875" style="5" customWidth="1"/>
    <col min="4102" max="4102" width="14" style="5" customWidth="1"/>
    <col min="4103" max="4353" width="9" style="5"/>
    <col min="4354" max="4354" width="22.25" style="5" customWidth="1"/>
    <col min="4355" max="4355" width="9" style="5"/>
    <col min="4356" max="4356" width="15.5" style="5" customWidth="1"/>
    <col min="4357" max="4357" width="11.875" style="5" customWidth="1"/>
    <col min="4358" max="4358" width="14" style="5" customWidth="1"/>
    <col min="4359" max="4609" width="9" style="5"/>
    <col min="4610" max="4610" width="22.25" style="5" customWidth="1"/>
    <col min="4611" max="4611" width="9" style="5"/>
    <col min="4612" max="4612" width="15.5" style="5" customWidth="1"/>
    <col min="4613" max="4613" width="11.875" style="5" customWidth="1"/>
    <col min="4614" max="4614" width="14" style="5" customWidth="1"/>
    <col min="4615" max="4865" width="9" style="5"/>
    <col min="4866" max="4866" width="22.25" style="5" customWidth="1"/>
    <col min="4867" max="4867" width="9" style="5"/>
    <col min="4868" max="4868" width="15.5" style="5" customWidth="1"/>
    <col min="4869" max="4869" width="11.875" style="5" customWidth="1"/>
    <col min="4870" max="4870" width="14" style="5" customWidth="1"/>
    <col min="4871" max="5121" width="9" style="5"/>
    <col min="5122" max="5122" width="22.25" style="5" customWidth="1"/>
    <col min="5123" max="5123" width="9" style="5"/>
    <col min="5124" max="5124" width="15.5" style="5" customWidth="1"/>
    <col min="5125" max="5125" width="11.875" style="5" customWidth="1"/>
    <col min="5126" max="5126" width="14" style="5" customWidth="1"/>
    <col min="5127" max="5377" width="9" style="5"/>
    <col min="5378" max="5378" width="22.25" style="5" customWidth="1"/>
    <col min="5379" max="5379" width="9" style="5"/>
    <col min="5380" max="5380" width="15.5" style="5" customWidth="1"/>
    <col min="5381" max="5381" width="11.875" style="5" customWidth="1"/>
    <col min="5382" max="5382" width="14" style="5" customWidth="1"/>
    <col min="5383" max="5633" width="9" style="5"/>
    <col min="5634" max="5634" width="22.25" style="5" customWidth="1"/>
    <col min="5635" max="5635" width="9" style="5"/>
    <col min="5636" max="5636" width="15.5" style="5" customWidth="1"/>
    <col min="5637" max="5637" width="11.875" style="5" customWidth="1"/>
    <col min="5638" max="5638" width="14" style="5" customWidth="1"/>
    <col min="5639" max="5889" width="9" style="5"/>
    <col min="5890" max="5890" width="22.25" style="5" customWidth="1"/>
    <col min="5891" max="5891" width="9" style="5"/>
    <col min="5892" max="5892" width="15.5" style="5" customWidth="1"/>
    <col min="5893" max="5893" width="11.875" style="5" customWidth="1"/>
    <col min="5894" max="5894" width="14" style="5" customWidth="1"/>
    <col min="5895" max="6145" width="9" style="5"/>
    <col min="6146" max="6146" width="22.25" style="5" customWidth="1"/>
    <col min="6147" max="6147" width="9" style="5"/>
    <col min="6148" max="6148" width="15.5" style="5" customWidth="1"/>
    <col min="6149" max="6149" width="11.875" style="5" customWidth="1"/>
    <col min="6150" max="6150" width="14" style="5" customWidth="1"/>
    <col min="6151" max="6401" width="9" style="5"/>
    <col min="6402" max="6402" width="22.25" style="5" customWidth="1"/>
    <col min="6403" max="6403" width="9" style="5"/>
    <col min="6404" max="6404" width="15.5" style="5" customWidth="1"/>
    <col min="6405" max="6405" width="11.875" style="5" customWidth="1"/>
    <col min="6406" max="6406" width="14" style="5" customWidth="1"/>
    <col min="6407" max="6657" width="9" style="5"/>
    <col min="6658" max="6658" width="22.25" style="5" customWidth="1"/>
    <col min="6659" max="6659" width="9" style="5"/>
    <col min="6660" max="6660" width="15.5" style="5" customWidth="1"/>
    <col min="6661" max="6661" width="11.875" style="5" customWidth="1"/>
    <col min="6662" max="6662" width="14" style="5" customWidth="1"/>
    <col min="6663" max="6913" width="9" style="5"/>
    <col min="6914" max="6914" width="22.25" style="5" customWidth="1"/>
    <col min="6915" max="6915" width="9" style="5"/>
    <col min="6916" max="6916" width="15.5" style="5" customWidth="1"/>
    <col min="6917" max="6917" width="11.875" style="5" customWidth="1"/>
    <col min="6918" max="6918" width="14" style="5" customWidth="1"/>
    <col min="6919" max="7169" width="9" style="5"/>
    <col min="7170" max="7170" width="22.25" style="5" customWidth="1"/>
    <col min="7171" max="7171" width="9" style="5"/>
    <col min="7172" max="7172" width="15.5" style="5" customWidth="1"/>
    <col min="7173" max="7173" width="11.875" style="5" customWidth="1"/>
    <col min="7174" max="7174" width="14" style="5" customWidth="1"/>
    <col min="7175" max="7425" width="9" style="5"/>
    <col min="7426" max="7426" width="22.25" style="5" customWidth="1"/>
    <col min="7427" max="7427" width="9" style="5"/>
    <col min="7428" max="7428" width="15.5" style="5" customWidth="1"/>
    <col min="7429" max="7429" width="11.875" style="5" customWidth="1"/>
    <col min="7430" max="7430" width="14" style="5" customWidth="1"/>
    <col min="7431" max="7681" width="9" style="5"/>
    <col min="7682" max="7682" width="22.25" style="5" customWidth="1"/>
    <col min="7683" max="7683" width="9" style="5"/>
    <col min="7684" max="7684" width="15.5" style="5" customWidth="1"/>
    <col min="7685" max="7685" width="11.875" style="5" customWidth="1"/>
    <col min="7686" max="7686" width="14" style="5" customWidth="1"/>
    <col min="7687" max="7937" width="9" style="5"/>
    <col min="7938" max="7938" width="22.25" style="5" customWidth="1"/>
    <col min="7939" max="7939" width="9" style="5"/>
    <col min="7940" max="7940" width="15.5" style="5" customWidth="1"/>
    <col min="7941" max="7941" width="11.875" style="5" customWidth="1"/>
    <col min="7942" max="7942" width="14" style="5" customWidth="1"/>
    <col min="7943" max="8193" width="9" style="5"/>
    <col min="8194" max="8194" width="22.25" style="5" customWidth="1"/>
    <col min="8195" max="8195" width="9" style="5"/>
    <col min="8196" max="8196" width="15.5" style="5" customWidth="1"/>
    <col min="8197" max="8197" width="11.875" style="5" customWidth="1"/>
    <col min="8198" max="8198" width="14" style="5" customWidth="1"/>
    <col min="8199" max="8449" width="9" style="5"/>
    <col min="8450" max="8450" width="22.25" style="5" customWidth="1"/>
    <col min="8451" max="8451" width="9" style="5"/>
    <col min="8452" max="8452" width="15.5" style="5" customWidth="1"/>
    <col min="8453" max="8453" width="11.875" style="5" customWidth="1"/>
    <col min="8454" max="8454" width="14" style="5" customWidth="1"/>
    <col min="8455" max="8705" width="9" style="5"/>
    <col min="8706" max="8706" width="22.25" style="5" customWidth="1"/>
    <col min="8707" max="8707" width="9" style="5"/>
    <col min="8708" max="8708" width="15.5" style="5" customWidth="1"/>
    <col min="8709" max="8709" width="11.875" style="5" customWidth="1"/>
    <col min="8710" max="8710" width="14" style="5" customWidth="1"/>
    <col min="8711" max="8961" width="9" style="5"/>
    <col min="8962" max="8962" width="22.25" style="5" customWidth="1"/>
    <col min="8963" max="8963" width="9" style="5"/>
    <col min="8964" max="8964" width="15.5" style="5" customWidth="1"/>
    <col min="8965" max="8965" width="11.875" style="5" customWidth="1"/>
    <col min="8966" max="8966" width="14" style="5" customWidth="1"/>
    <col min="8967" max="9217" width="9" style="5"/>
    <col min="9218" max="9218" width="22.25" style="5" customWidth="1"/>
    <col min="9219" max="9219" width="9" style="5"/>
    <col min="9220" max="9220" width="15.5" style="5" customWidth="1"/>
    <col min="9221" max="9221" width="11.875" style="5" customWidth="1"/>
    <col min="9222" max="9222" width="14" style="5" customWidth="1"/>
    <col min="9223" max="9473" width="9" style="5"/>
    <col min="9474" max="9474" width="22.25" style="5" customWidth="1"/>
    <col min="9475" max="9475" width="9" style="5"/>
    <col min="9476" max="9476" width="15.5" style="5" customWidth="1"/>
    <col min="9477" max="9477" width="11.875" style="5" customWidth="1"/>
    <col min="9478" max="9478" width="14" style="5" customWidth="1"/>
    <col min="9479" max="9729" width="9" style="5"/>
    <col min="9730" max="9730" width="22.25" style="5" customWidth="1"/>
    <col min="9731" max="9731" width="9" style="5"/>
    <col min="9732" max="9732" width="15.5" style="5" customWidth="1"/>
    <col min="9733" max="9733" width="11.875" style="5" customWidth="1"/>
    <col min="9734" max="9734" width="14" style="5" customWidth="1"/>
    <col min="9735" max="9985" width="9" style="5"/>
    <col min="9986" max="9986" width="22.25" style="5" customWidth="1"/>
    <col min="9987" max="9987" width="9" style="5"/>
    <col min="9988" max="9988" width="15.5" style="5" customWidth="1"/>
    <col min="9989" max="9989" width="11.875" style="5" customWidth="1"/>
    <col min="9990" max="9990" width="14" style="5" customWidth="1"/>
    <col min="9991" max="10241" width="9" style="5"/>
    <col min="10242" max="10242" width="22.25" style="5" customWidth="1"/>
    <col min="10243" max="10243" width="9" style="5"/>
    <col min="10244" max="10244" width="15.5" style="5" customWidth="1"/>
    <col min="10245" max="10245" width="11.875" style="5" customWidth="1"/>
    <col min="10246" max="10246" width="14" style="5" customWidth="1"/>
    <col min="10247" max="10497" width="9" style="5"/>
    <col min="10498" max="10498" width="22.25" style="5" customWidth="1"/>
    <col min="10499" max="10499" width="9" style="5"/>
    <col min="10500" max="10500" width="15.5" style="5" customWidth="1"/>
    <col min="10501" max="10501" width="11.875" style="5" customWidth="1"/>
    <col min="10502" max="10502" width="14" style="5" customWidth="1"/>
    <col min="10503" max="10753" width="9" style="5"/>
    <col min="10754" max="10754" width="22.25" style="5" customWidth="1"/>
    <col min="10755" max="10755" width="9" style="5"/>
    <col min="10756" max="10756" width="15.5" style="5" customWidth="1"/>
    <col min="10757" max="10757" width="11.875" style="5" customWidth="1"/>
    <col min="10758" max="10758" width="14" style="5" customWidth="1"/>
    <col min="10759" max="11009" width="9" style="5"/>
    <col min="11010" max="11010" width="22.25" style="5" customWidth="1"/>
    <col min="11011" max="11011" width="9" style="5"/>
    <col min="11012" max="11012" width="15.5" style="5" customWidth="1"/>
    <col min="11013" max="11013" width="11.875" style="5" customWidth="1"/>
    <col min="11014" max="11014" width="14" style="5" customWidth="1"/>
    <col min="11015" max="11265" width="9" style="5"/>
    <col min="11266" max="11266" width="22.25" style="5" customWidth="1"/>
    <col min="11267" max="11267" width="9" style="5"/>
    <col min="11268" max="11268" width="15.5" style="5" customWidth="1"/>
    <col min="11269" max="11269" width="11.875" style="5" customWidth="1"/>
    <col min="11270" max="11270" width="14" style="5" customWidth="1"/>
    <col min="11271" max="11521" width="9" style="5"/>
    <col min="11522" max="11522" width="22.25" style="5" customWidth="1"/>
    <col min="11523" max="11523" width="9" style="5"/>
    <col min="11524" max="11524" width="15.5" style="5" customWidth="1"/>
    <col min="11525" max="11525" width="11.875" style="5" customWidth="1"/>
    <col min="11526" max="11526" width="14" style="5" customWidth="1"/>
    <col min="11527" max="11777" width="9" style="5"/>
    <col min="11778" max="11778" width="22.25" style="5" customWidth="1"/>
    <col min="11779" max="11779" width="9" style="5"/>
    <col min="11780" max="11780" width="15.5" style="5" customWidth="1"/>
    <col min="11781" max="11781" width="11.875" style="5" customWidth="1"/>
    <col min="11782" max="11782" width="14" style="5" customWidth="1"/>
    <col min="11783" max="12033" width="9" style="5"/>
    <col min="12034" max="12034" width="22.25" style="5" customWidth="1"/>
    <col min="12035" max="12035" width="9" style="5"/>
    <col min="12036" max="12036" width="15.5" style="5" customWidth="1"/>
    <col min="12037" max="12037" width="11.875" style="5" customWidth="1"/>
    <col min="12038" max="12038" width="14" style="5" customWidth="1"/>
    <col min="12039" max="12289" width="9" style="5"/>
    <col min="12290" max="12290" width="22.25" style="5" customWidth="1"/>
    <col min="12291" max="12291" width="9" style="5"/>
    <col min="12292" max="12292" width="15.5" style="5" customWidth="1"/>
    <col min="12293" max="12293" width="11.875" style="5" customWidth="1"/>
    <col min="12294" max="12294" width="14" style="5" customWidth="1"/>
    <col min="12295" max="12545" width="9" style="5"/>
    <col min="12546" max="12546" width="22.25" style="5" customWidth="1"/>
    <col min="12547" max="12547" width="9" style="5"/>
    <col min="12548" max="12548" width="15.5" style="5" customWidth="1"/>
    <col min="12549" max="12549" width="11.875" style="5" customWidth="1"/>
    <col min="12550" max="12550" width="14" style="5" customWidth="1"/>
    <col min="12551" max="12801" width="9" style="5"/>
    <col min="12802" max="12802" width="22.25" style="5" customWidth="1"/>
    <col min="12803" max="12803" width="9" style="5"/>
    <col min="12804" max="12804" width="15.5" style="5" customWidth="1"/>
    <col min="12805" max="12805" width="11.875" style="5" customWidth="1"/>
    <col min="12806" max="12806" width="14" style="5" customWidth="1"/>
    <col min="12807" max="13057" width="9" style="5"/>
    <col min="13058" max="13058" width="22.25" style="5" customWidth="1"/>
    <col min="13059" max="13059" width="9" style="5"/>
    <col min="13060" max="13060" width="15.5" style="5" customWidth="1"/>
    <col min="13061" max="13061" width="11.875" style="5" customWidth="1"/>
    <col min="13062" max="13062" width="14" style="5" customWidth="1"/>
    <col min="13063" max="13313" width="9" style="5"/>
    <col min="13314" max="13314" width="22.25" style="5" customWidth="1"/>
    <col min="13315" max="13315" width="9" style="5"/>
    <col min="13316" max="13316" width="15.5" style="5" customWidth="1"/>
    <col min="13317" max="13317" width="11.875" style="5" customWidth="1"/>
    <col min="13318" max="13318" width="14" style="5" customWidth="1"/>
    <col min="13319" max="13569" width="9" style="5"/>
    <col min="13570" max="13570" width="22.25" style="5" customWidth="1"/>
    <col min="13571" max="13571" width="9" style="5"/>
    <col min="13572" max="13572" width="15.5" style="5" customWidth="1"/>
    <col min="13573" max="13573" width="11.875" style="5" customWidth="1"/>
    <col min="13574" max="13574" width="14" style="5" customWidth="1"/>
    <col min="13575" max="13825" width="9" style="5"/>
    <col min="13826" max="13826" width="22.25" style="5" customWidth="1"/>
    <col min="13827" max="13827" width="9" style="5"/>
    <col min="13828" max="13828" width="15.5" style="5" customWidth="1"/>
    <col min="13829" max="13829" width="11.875" style="5" customWidth="1"/>
    <col min="13830" max="13830" width="14" style="5" customWidth="1"/>
    <col min="13831" max="14081" width="9" style="5"/>
    <col min="14082" max="14082" width="22.25" style="5" customWidth="1"/>
    <col min="14083" max="14083" width="9" style="5"/>
    <col min="14084" max="14084" width="15.5" style="5" customWidth="1"/>
    <col min="14085" max="14085" width="11.875" style="5" customWidth="1"/>
    <col min="14086" max="14086" width="14" style="5" customWidth="1"/>
    <col min="14087" max="14337" width="9" style="5"/>
    <col min="14338" max="14338" width="22.25" style="5" customWidth="1"/>
    <col min="14339" max="14339" width="9" style="5"/>
    <col min="14340" max="14340" width="15.5" style="5" customWidth="1"/>
    <col min="14341" max="14341" width="11.875" style="5" customWidth="1"/>
    <col min="14342" max="14342" width="14" style="5" customWidth="1"/>
    <col min="14343" max="14593" width="9" style="5"/>
    <col min="14594" max="14594" width="22.25" style="5" customWidth="1"/>
    <col min="14595" max="14595" width="9" style="5"/>
    <col min="14596" max="14596" width="15.5" style="5" customWidth="1"/>
    <col min="14597" max="14597" width="11.875" style="5" customWidth="1"/>
    <col min="14598" max="14598" width="14" style="5" customWidth="1"/>
    <col min="14599" max="14849" width="9" style="5"/>
    <col min="14850" max="14850" width="22.25" style="5" customWidth="1"/>
    <col min="14851" max="14851" width="9" style="5"/>
    <col min="14852" max="14852" width="15.5" style="5" customWidth="1"/>
    <col min="14853" max="14853" width="11.875" style="5" customWidth="1"/>
    <col min="14854" max="14854" width="14" style="5" customWidth="1"/>
    <col min="14855" max="15105" width="9" style="5"/>
    <col min="15106" max="15106" width="22.25" style="5" customWidth="1"/>
    <col min="15107" max="15107" width="9" style="5"/>
    <col min="15108" max="15108" width="15.5" style="5" customWidth="1"/>
    <col min="15109" max="15109" width="11.875" style="5" customWidth="1"/>
    <col min="15110" max="15110" width="14" style="5" customWidth="1"/>
    <col min="15111" max="15361" width="9" style="5"/>
    <col min="15362" max="15362" width="22.25" style="5" customWidth="1"/>
    <col min="15363" max="15363" width="9" style="5"/>
    <col min="15364" max="15364" width="15.5" style="5" customWidth="1"/>
    <col min="15365" max="15365" width="11.875" style="5" customWidth="1"/>
    <col min="15366" max="15366" width="14" style="5" customWidth="1"/>
    <col min="15367" max="15617" width="9" style="5"/>
    <col min="15618" max="15618" width="22.25" style="5" customWidth="1"/>
    <col min="15619" max="15619" width="9" style="5"/>
    <col min="15620" max="15620" width="15.5" style="5" customWidth="1"/>
    <col min="15621" max="15621" width="11.875" style="5" customWidth="1"/>
    <col min="15622" max="15622" width="14" style="5" customWidth="1"/>
    <col min="15623" max="15873" width="9" style="5"/>
    <col min="15874" max="15874" width="22.25" style="5" customWidth="1"/>
    <col min="15875" max="15875" width="9" style="5"/>
    <col min="15876" max="15876" width="15.5" style="5" customWidth="1"/>
    <col min="15877" max="15877" width="11.875" style="5" customWidth="1"/>
    <col min="15878" max="15878" width="14" style="5" customWidth="1"/>
    <col min="15879" max="16129" width="9" style="5"/>
    <col min="16130" max="16130" width="22.25" style="5" customWidth="1"/>
    <col min="16131" max="16131" width="9" style="5"/>
    <col min="16132" max="16132" width="15.5" style="5" customWidth="1"/>
    <col min="16133" max="16133" width="11.875" style="5" customWidth="1"/>
    <col min="16134" max="16134" width="14" style="5" customWidth="1"/>
    <col min="16135" max="16384" width="9" style="5"/>
  </cols>
  <sheetData>
    <row r="1" spans="1:10" s="10" customFormat="1" x14ac:dyDescent="0.15">
      <c r="B1" s="11" t="s">
        <v>262</v>
      </c>
      <c r="C1" s="11" t="s">
        <v>0</v>
      </c>
      <c r="D1" s="11" t="s">
        <v>3</v>
      </c>
      <c r="E1" s="3" t="s">
        <v>4</v>
      </c>
      <c r="F1" s="3" t="s">
        <v>5</v>
      </c>
      <c r="G1" s="3" t="s">
        <v>6</v>
      </c>
      <c r="H1" s="3" t="s">
        <v>8</v>
      </c>
      <c r="I1" s="11" t="s">
        <v>9</v>
      </c>
    </row>
    <row r="2" spans="1:10" s="10" customFormat="1" ht="22.5" x14ac:dyDescent="0.15">
      <c r="A2" s="12" t="s">
        <v>10</v>
      </c>
      <c r="B2" s="11" t="s">
        <v>263</v>
      </c>
      <c r="C2" s="11" t="s">
        <v>264</v>
      </c>
      <c r="D2" s="11" t="s">
        <v>14</v>
      </c>
      <c r="E2" s="3" t="s">
        <v>15</v>
      </c>
      <c r="F2" s="11" t="s">
        <v>16</v>
      </c>
      <c r="G2" s="3" t="s">
        <v>265</v>
      </c>
      <c r="H2" s="3" t="s">
        <v>19</v>
      </c>
      <c r="I2" s="11" t="s">
        <v>20</v>
      </c>
    </row>
    <row r="3" spans="1:10" s="10" customFormat="1" x14ac:dyDescent="0.15">
      <c r="A3" s="5"/>
      <c r="B3" s="14" t="s">
        <v>715</v>
      </c>
      <c r="C3" s="14"/>
      <c r="D3" s="14"/>
      <c r="E3" s="14"/>
      <c r="F3" s="14"/>
      <c r="G3" s="14"/>
      <c r="H3" s="14"/>
      <c r="I3" s="14"/>
      <c r="J3" s="10" t="s">
        <v>714</v>
      </c>
    </row>
    <row r="4" spans="1:10" x14ac:dyDescent="0.15">
      <c r="A4" s="5" t="s">
        <v>710</v>
      </c>
      <c r="B4" s="5" t="s">
        <v>642</v>
      </c>
      <c r="C4" s="5" t="s">
        <v>331</v>
      </c>
      <c r="D4" s="5" t="s">
        <v>626</v>
      </c>
      <c r="E4" s="5" t="s">
        <v>79</v>
      </c>
      <c r="F4" s="5" t="s">
        <v>70</v>
      </c>
      <c r="G4" s="5" t="s">
        <v>643</v>
      </c>
      <c r="H4" s="5" t="s">
        <v>644</v>
      </c>
      <c r="I4" s="5" t="s">
        <v>26</v>
      </c>
      <c r="J4" s="10" t="str">
        <f t="shared" ref="J4:J45" si="0">CONCATENATE("insert into chb_datacheck_condition (CHECKCONDITIONID,CHECKRULEID,CHECKMETHOD,SRCPROPERTY,COMPARETO,OBJVALUE,REMARK,STATUS) values ('",B4,"','",C4,"','",D4,"','",E4,"','",F4,"','",G4,"','",H4,"','",I4,"');")</f>
        <v>insert into chb_datacheck_condition (CHECKCONDITIONID,CHECKRULEID,CHECKMETHOD,SRCPROPERTY,COMPARETO,OBJVALUE,REMARK,STATUS) values ('de3F4B49-6810-5A9E-E150-007F01006A83','de184A49-6813-5A9E-F060-007F01006A65','inArray','INVEST_ARAE','==','02,03','当“资金投向地区”要素选择“02 境外”或“03 境内和境外”时','E');</v>
      </c>
    </row>
    <row r="5" spans="1:10" x14ac:dyDescent="0.15">
      <c r="A5" s="5" t="s">
        <v>711</v>
      </c>
      <c r="B5" s="5" t="s">
        <v>645</v>
      </c>
      <c r="C5" s="5" t="s">
        <v>333</v>
      </c>
      <c r="D5" s="5" t="s">
        <v>85</v>
      </c>
      <c r="E5" s="5" t="s">
        <v>79</v>
      </c>
      <c r="F5" s="5" t="s">
        <v>70</v>
      </c>
      <c r="G5" s="5" t="s">
        <v>268</v>
      </c>
      <c r="H5" s="5" t="s">
        <v>646</v>
      </c>
      <c r="I5" s="5" t="s">
        <v>26</v>
      </c>
      <c r="J5" s="10" t="str">
        <f t="shared" si="0"/>
        <v>insert into chb_datacheck_condition (CHECKCONDITIONID,CHECKRULEID,CHECKMETHOD,SRCPROPERTY,COMPARETO,OBJVALUE,REMARK,STATUS) values ('2F3E4A49-6810-5A9E-E650-A49F01006A16','de184A49-6813-5A9E-F060-107F01006A65','compareValue','INVEST_ARAE','==','02','当“资金投向地区”要素选择“02 境外”时','E');</v>
      </c>
    </row>
    <row r="6" spans="1:10" x14ac:dyDescent="0.15">
      <c r="A6" s="5" t="s">
        <v>283</v>
      </c>
      <c r="B6" s="5" t="s">
        <v>647</v>
      </c>
      <c r="C6" s="5" t="s">
        <v>336</v>
      </c>
      <c r="D6" s="5" t="s">
        <v>85</v>
      </c>
      <c r="E6" s="5" t="s">
        <v>242</v>
      </c>
      <c r="F6" s="5" t="s">
        <v>70</v>
      </c>
      <c r="G6" s="5" t="s">
        <v>266</v>
      </c>
      <c r="H6" s="5" t="s">
        <v>648</v>
      </c>
      <c r="I6" s="5" t="s">
        <v>26</v>
      </c>
      <c r="J6" s="10" t="str">
        <f t="shared" si="0"/>
        <v>insert into chb_datacheck_condition (CHECKCONDITIONID,CHECKRULEID,CHECKMETHOD,SRCPROPERTY,COMPARETO,OBJVALUE,REMARK,STATUS) values ('de3F4B49-6810-5A9E-E650-A49F01006A08','de184A86-6813-5A9E-F060-007F01006A65','compareValue','CREDIT_FLAG','==','01','若“产品增信标识”选择“01 有”时','E');</v>
      </c>
    </row>
    <row r="7" spans="1:10" x14ac:dyDescent="0.15">
      <c r="A7" s="5" t="s">
        <v>285</v>
      </c>
      <c r="B7" s="5" t="s">
        <v>649</v>
      </c>
      <c r="C7" s="5" t="s">
        <v>346</v>
      </c>
      <c r="D7" s="5" t="s">
        <v>626</v>
      </c>
      <c r="E7" s="5" t="s">
        <v>79</v>
      </c>
      <c r="F7" s="5" t="s">
        <v>70</v>
      </c>
      <c r="G7" s="5" t="s">
        <v>643</v>
      </c>
      <c r="H7" s="5" t="s">
        <v>644</v>
      </c>
      <c r="I7" s="5" t="s">
        <v>26</v>
      </c>
      <c r="J7" s="10" t="str">
        <f t="shared" si="0"/>
        <v>insert into chb_datacheck_condition (CHECKCONDITIONID,CHECKRULEID,CHECKMETHOD,SRCPROPERTY,COMPARETO,OBJVALUE,REMARK,STATUS) values ('de3F4B49-6810-5A9E-E650-A49F01006A03','de194A76-6813-5A9E-F060-007F01006A03','inArray','INVEST_ARAE','==','02,03','当“资金投向地区”要素选择“02 境外”或“03 境内和境外”时','E');</v>
      </c>
    </row>
    <row r="8" spans="1:10" x14ac:dyDescent="0.15">
      <c r="A8" s="5" t="s">
        <v>287</v>
      </c>
      <c r="B8" s="5" t="s">
        <v>650</v>
      </c>
      <c r="C8" s="5" t="s">
        <v>348</v>
      </c>
      <c r="D8" s="5" t="s">
        <v>85</v>
      </c>
      <c r="E8" s="5" t="s">
        <v>79</v>
      </c>
      <c r="F8" s="5" t="s">
        <v>70</v>
      </c>
      <c r="G8" s="5" t="s">
        <v>266</v>
      </c>
      <c r="H8" s="5" t="s">
        <v>651</v>
      </c>
      <c r="I8" s="5" t="s">
        <v>26</v>
      </c>
      <c r="J8" s="10" t="str">
        <f t="shared" si="0"/>
        <v>insert into chb_datacheck_condition (CHECKCONDITIONID,CHECKRULEID,CHECKMETHOD,SRCPROPERTY,COMPARETO,OBJVALUE,REMARK,STATUS) values ('de3F4B49-6810-5A9E-E650-A49F01006A04','de194A77-6813-5A9E-F060-007F01006A65','compareValue','INVEST_ARAE','==','01','当“资金投向地区”要素选择“01 境内”时','E');</v>
      </c>
    </row>
    <row r="9" spans="1:10" x14ac:dyDescent="0.15">
      <c r="A9" s="5" t="s">
        <v>289</v>
      </c>
      <c r="B9" s="5" t="s">
        <v>652</v>
      </c>
      <c r="C9" s="5" t="s">
        <v>350</v>
      </c>
      <c r="D9" s="5" t="s">
        <v>626</v>
      </c>
      <c r="E9" s="5" t="s">
        <v>79</v>
      </c>
      <c r="F9" s="5" t="s">
        <v>70</v>
      </c>
      <c r="G9" s="5" t="s">
        <v>643</v>
      </c>
      <c r="H9" s="5" t="s">
        <v>644</v>
      </c>
      <c r="I9" s="5" t="s">
        <v>26</v>
      </c>
      <c r="J9" s="10" t="str">
        <f t="shared" si="0"/>
        <v>insert into chb_datacheck_condition (CHECKCONDITIONID,CHECKRULEID,CHECKMETHOD,SRCPROPERTY,COMPARETO,OBJVALUE,REMARK,STATUS) values ('de3F4B49-6810-5A9E-E650-A49F01006A05','de194A78-6813-5A9E-F060-007F01006A65','inArray','INVEST_ARAE','==','02,03','当“资金投向地区”要素选择“02 境外”或“03 境内和境外”时','E');</v>
      </c>
    </row>
    <row r="10" spans="1:10" x14ac:dyDescent="0.15">
      <c r="A10" s="5" t="s">
        <v>291</v>
      </c>
      <c r="B10" s="5" t="s">
        <v>653</v>
      </c>
      <c r="C10" s="5" t="s">
        <v>356</v>
      </c>
      <c r="D10" s="5" t="s">
        <v>85</v>
      </c>
      <c r="E10" s="5" t="s">
        <v>79</v>
      </c>
      <c r="F10" s="5" t="s">
        <v>70</v>
      </c>
      <c r="G10" s="5" t="s">
        <v>266</v>
      </c>
      <c r="H10" s="5" t="s">
        <v>651</v>
      </c>
      <c r="I10" s="5" t="s">
        <v>26</v>
      </c>
      <c r="J10" s="10" t="str">
        <f t="shared" si="0"/>
        <v>insert into chb_datacheck_condition (CHECKCONDITIONID,CHECKRULEID,CHECKMETHOD,SRCPROPERTY,COMPARETO,OBJVALUE,REMARK,STATUS) values ('de3F4B49-6810-5A9E-E650-A49F01006A07','de194A80-6813-5A9E-F060-007F01006A65','compareValue','INVEST_ARAE','==','01','当“资金投向地区”要素选择“01 境内”时','E');</v>
      </c>
    </row>
    <row r="11" spans="1:10" x14ac:dyDescent="0.15">
      <c r="A11" s="5" t="s">
        <v>293</v>
      </c>
      <c r="B11" s="5" t="s">
        <v>654</v>
      </c>
      <c r="C11" s="5" t="s">
        <v>364</v>
      </c>
      <c r="D11" s="5" t="s">
        <v>85</v>
      </c>
      <c r="E11" s="5" t="s">
        <v>242</v>
      </c>
      <c r="F11" s="5" t="s">
        <v>70</v>
      </c>
      <c r="G11" s="5" t="s">
        <v>268</v>
      </c>
      <c r="H11" s="5" t="s">
        <v>655</v>
      </c>
      <c r="I11" s="5" t="s">
        <v>26</v>
      </c>
      <c r="J11" s="10" t="str">
        <f t="shared" si="0"/>
        <v>insert into chb_datacheck_condition (CHECKCONDITIONID,CHECKRULEID,CHECKMETHOD,SRCPROPERTY,COMPARETO,OBJVALUE,REMARK,STATUS) values ('de3F4B49-6810-5A9E-E650-A49F01006A09','de194A87-6813-5A9E-F060-007F01006A65','compareValue','CREDIT_FLAG','==','02','“产品增信标识”选择 “02 无”时','E');</v>
      </c>
    </row>
    <row r="12" spans="1:10" x14ac:dyDescent="0.15">
      <c r="A12" s="5" t="s">
        <v>295</v>
      </c>
      <c r="B12" s="5" t="s">
        <v>656</v>
      </c>
      <c r="C12" s="5" t="s">
        <v>366</v>
      </c>
      <c r="D12" s="5" t="s">
        <v>85</v>
      </c>
      <c r="E12" s="5" t="s">
        <v>242</v>
      </c>
      <c r="F12" s="5" t="s">
        <v>70</v>
      </c>
      <c r="G12" s="5" t="s">
        <v>268</v>
      </c>
      <c r="H12" s="5" t="s">
        <v>655</v>
      </c>
      <c r="I12" s="5" t="s">
        <v>26</v>
      </c>
      <c r="J12" s="10" t="str">
        <f t="shared" si="0"/>
        <v>insert into chb_datacheck_condition (CHECKCONDITIONID,CHECKRULEID,CHECKMETHOD,SRCPROPERTY,COMPARETO,OBJVALUE,REMARK,STATUS) values ('de3F4B49-6810-5A9E-E650-A49F01006A11','de194A89-6813-5A9E-F060-007F01006A65','compareValue','CREDIT_FLAG','==','02','“产品增信标识”选择 “02 无”时','E');</v>
      </c>
    </row>
    <row r="13" spans="1:10" x14ac:dyDescent="0.15">
      <c r="A13" s="5" t="s">
        <v>297</v>
      </c>
      <c r="B13" s="5" t="s">
        <v>657</v>
      </c>
      <c r="C13" s="5" t="s">
        <v>368</v>
      </c>
      <c r="D13" s="5" t="s">
        <v>85</v>
      </c>
      <c r="E13" s="5" t="s">
        <v>83</v>
      </c>
      <c r="F13" s="5" t="s">
        <v>70</v>
      </c>
      <c r="G13" s="5" t="s">
        <v>269</v>
      </c>
      <c r="H13" s="5" t="s">
        <v>270</v>
      </c>
      <c r="I13" s="5" t="s">
        <v>26</v>
      </c>
      <c r="J13" s="10" t="str">
        <f t="shared" si="0"/>
        <v>insert into chb_datacheck_condition (CHECKCONDITIONID,CHECKRULEID,CHECKMETHOD,SRCPROPERTY,COMPARETO,OBJVALUE,REMARK,STATUS) values ('de3F4B49-6810-5A9E-E650-A49F01006A12','de194A90-6813-5A9E-F060-007F01006A65','compareValue','INVEST_COUNTRY','==','99','当产品投资国家或地区为其他时','E');</v>
      </c>
    </row>
    <row r="14" spans="1:10" x14ac:dyDescent="0.15">
      <c r="A14" s="5" t="s">
        <v>299</v>
      </c>
      <c r="B14" s="5" t="s">
        <v>658</v>
      </c>
      <c r="C14" s="5" t="s">
        <v>370</v>
      </c>
      <c r="D14" s="5" t="s">
        <v>85</v>
      </c>
      <c r="E14" s="5" t="s">
        <v>156</v>
      </c>
      <c r="F14" s="5" t="s">
        <v>70</v>
      </c>
      <c r="G14" s="5" t="s">
        <v>269</v>
      </c>
      <c r="H14" s="5" t="s">
        <v>275</v>
      </c>
      <c r="I14" s="5" t="s">
        <v>26</v>
      </c>
      <c r="J14" s="10" t="str">
        <f t="shared" si="0"/>
        <v>insert into chb_datacheck_condition (CHECKCONDITIONID,CHECKRULEID,CHECKMETHOD,SRCPROPERTY,COMPARETO,OBJVALUE,REMARK,STATUS) values ('de3F4B49-6810-5A9E-E650-A49F01006A13','de194A91-6813-5A9E-F060-007F01006A65','compareValue','RAISE_CCY','==','99','当募集币种为其他时','E');</v>
      </c>
    </row>
    <row r="15" spans="1:10" x14ac:dyDescent="0.15">
      <c r="A15" s="5" t="s">
        <v>301</v>
      </c>
      <c r="B15" s="5" t="s">
        <v>659</v>
      </c>
      <c r="C15" s="5" t="s">
        <v>372</v>
      </c>
      <c r="D15" s="5" t="s">
        <v>85</v>
      </c>
      <c r="E15" s="5" t="s">
        <v>159</v>
      </c>
      <c r="F15" s="5" t="s">
        <v>70</v>
      </c>
      <c r="G15" s="5" t="s">
        <v>269</v>
      </c>
      <c r="H15" s="5" t="s">
        <v>271</v>
      </c>
      <c r="I15" s="5" t="s">
        <v>26</v>
      </c>
      <c r="J15" s="10" t="str">
        <f t="shared" si="0"/>
        <v>insert into chb_datacheck_condition (CHECKCONDITIONID,CHECKRULEID,CHECKMETHOD,SRCPROPERTY,COMPARETO,OBJVALUE,REMARK,STATUS) values ('de3F4B49-6810-5A9E-E650-A49F01006A14','de194A92-6813-5A9E-F060-007F01006A65','compareValue','CASH_PRIN_CCY','==','99','当兑付本金币种为其他时','E');</v>
      </c>
    </row>
    <row r="16" spans="1:10" x14ac:dyDescent="0.15">
      <c r="A16" s="5" t="s">
        <v>190</v>
      </c>
      <c r="B16" s="5" t="s">
        <v>660</v>
      </c>
      <c r="C16" s="5" t="s">
        <v>374</v>
      </c>
      <c r="D16" s="5" t="s">
        <v>85</v>
      </c>
      <c r="E16" s="5" t="s">
        <v>161</v>
      </c>
      <c r="F16" s="5" t="s">
        <v>70</v>
      </c>
      <c r="G16" s="5" t="s">
        <v>269</v>
      </c>
      <c r="H16" s="5" t="s">
        <v>272</v>
      </c>
      <c r="I16" s="5" t="s">
        <v>26</v>
      </c>
      <c r="J16" s="10" t="str">
        <f t="shared" si="0"/>
        <v>insert into chb_datacheck_condition (CHECKCONDITIONID,CHECKRULEID,CHECKMETHOD,SRCPROPERTY,COMPARETO,OBJVALUE,REMARK,STATUS) values ('de3F4B49-6810-5A9E-E650-A49F01006A15','de194A93-6813-5A9E-F060-007F01006A65','compareValue','CASH_PROF_CCY','==','99','当兑付收益币种为其他时','E');</v>
      </c>
    </row>
    <row r="17" spans="1:10" x14ac:dyDescent="0.15">
      <c r="A17" s="5" t="s">
        <v>305</v>
      </c>
      <c r="B17" s="5" t="s">
        <v>661</v>
      </c>
      <c r="C17" s="5" t="s">
        <v>376</v>
      </c>
      <c r="D17" s="5" t="s">
        <v>85</v>
      </c>
      <c r="E17" s="5" t="s">
        <v>139</v>
      </c>
      <c r="F17" s="5" t="s">
        <v>70</v>
      </c>
      <c r="G17" s="5" t="s">
        <v>269</v>
      </c>
      <c r="H17" s="5" t="s">
        <v>276</v>
      </c>
      <c r="I17" s="5" t="s">
        <v>26</v>
      </c>
      <c r="J17" s="10" t="str">
        <f t="shared" si="0"/>
        <v>insert into chb_datacheck_condition (CHECKCONDITIONID,CHECKRULEID,CHECKMETHOD,SRCPROPERTY,COMPARETO,OBJVALUE,REMARK,STATUS) values ('de3F4B49-6810-5A9E-E650-A49F01006A16','de194A94-6813-5A9E-F060-007F01006A65','compareValue','IS_FREE_REDEM','==','99','当最短持有期后是否自由赎回选择 其他时','E');</v>
      </c>
    </row>
    <row r="18" spans="1:10" x14ac:dyDescent="0.15">
      <c r="A18" s="5" t="s">
        <v>307</v>
      </c>
      <c r="B18" s="5" t="s">
        <v>662</v>
      </c>
      <c r="C18" s="5" t="s">
        <v>378</v>
      </c>
      <c r="D18" s="5" t="s">
        <v>85</v>
      </c>
      <c r="E18" s="5" t="s">
        <v>193</v>
      </c>
      <c r="F18" s="5" t="s">
        <v>70</v>
      </c>
      <c r="G18" s="5" t="s">
        <v>269</v>
      </c>
      <c r="H18" s="5" t="s">
        <v>274</v>
      </c>
      <c r="I18" s="5" t="s">
        <v>26</v>
      </c>
      <c r="J18" s="10" t="str">
        <f t="shared" si="0"/>
        <v>insert into chb_datacheck_condition (CHECKCONDITIONID,CHECKRULEID,CHECKMETHOD,SRCPROPERTY,COMPARETO,OBJVALUE,REMARK,STATUS) values ('de3F4B49-6810-5A9E-E650-A49F01006A17','de194A95-6813-5A9E-F060-007F01006A65','compareValue','OUT_DEP_CTRY','==','99','当境外托管机构国别为其他时','E');</v>
      </c>
    </row>
    <row r="19" spans="1:10" x14ac:dyDescent="0.15">
      <c r="A19" s="5" t="s">
        <v>310</v>
      </c>
      <c r="B19" s="5" t="s">
        <v>663</v>
      </c>
      <c r="C19" s="5" t="s">
        <v>380</v>
      </c>
      <c r="D19" s="5" t="s">
        <v>85</v>
      </c>
      <c r="E19" s="5" t="s">
        <v>183</v>
      </c>
      <c r="F19" s="5" t="s">
        <v>70</v>
      </c>
      <c r="G19" s="5" t="s">
        <v>269</v>
      </c>
      <c r="H19" s="5" t="s">
        <v>273</v>
      </c>
      <c r="I19" s="5" t="s">
        <v>26</v>
      </c>
      <c r="J19" s="10" t="str">
        <f t="shared" si="0"/>
        <v>insert into chb_datacheck_condition (CHECKCONDITIONID,CHECKRULEID,CHECKMETHOD,SRCPROPERTY,COMPARETO,OBJVALUE,REMARK,STATUS) values ('de3F4B49-6810-5A9E-E650-A49F01006A18','de194A96-6813-5A9E-F060-007F01006A65','compareValue','IN_DEP_NAME','==','99','当境内托管机构名称为其他时','E');</v>
      </c>
    </row>
    <row r="20" spans="1:10" x14ac:dyDescent="0.15">
      <c r="A20" s="5" t="s">
        <v>312</v>
      </c>
      <c r="B20" s="5" t="s">
        <v>664</v>
      </c>
      <c r="C20" s="5" t="s">
        <v>386</v>
      </c>
      <c r="D20" s="5" t="s">
        <v>85</v>
      </c>
      <c r="E20" s="5" t="s">
        <v>79</v>
      </c>
      <c r="F20" s="5" t="s">
        <v>70</v>
      </c>
      <c r="G20" s="5" t="s">
        <v>266</v>
      </c>
      <c r="H20" s="5" t="s">
        <v>267</v>
      </c>
      <c r="I20" s="5" t="s">
        <v>26</v>
      </c>
      <c r="J20" s="10" t="str">
        <f t="shared" si="0"/>
        <v>insert into chb_datacheck_condition (CHECKCONDITIONID,CHECKRULEID,CHECKMETHOD,SRCPROPERTY,COMPARETO,OBJVALUE,REMARK,STATUS) values ('de3F4B49-6810-5A9E-E350-007F01006A83','de204A49-6813-5A9E-F060-007F01006A65','compareValue','INVEST_ARAE','==','01','当资金投向地区为01 境内时','E');</v>
      </c>
    </row>
    <row r="21" spans="1:10" x14ac:dyDescent="0.15">
      <c r="A21" s="5" t="s">
        <v>315</v>
      </c>
      <c r="B21" s="5" t="s">
        <v>665</v>
      </c>
      <c r="C21" s="5" t="s">
        <v>389</v>
      </c>
      <c r="D21" s="5" t="s">
        <v>626</v>
      </c>
      <c r="E21" s="5" t="s">
        <v>79</v>
      </c>
      <c r="F21" s="5" t="s">
        <v>70</v>
      </c>
      <c r="G21" s="5" t="s">
        <v>666</v>
      </c>
      <c r="H21" s="5" t="s">
        <v>667</v>
      </c>
      <c r="I21" s="5" t="s">
        <v>26</v>
      </c>
      <c r="J21" s="10" t="str">
        <f t="shared" si="0"/>
        <v>insert into chb_datacheck_condition (CHECKCONDITIONID,CHECKRULEID,CHECKMETHOD,SRCPROPERTY,COMPARETO,OBJVALUE,REMARK,STATUS) values ('de3F4B49-6810-5A9E-E550-007F01006A83','de224A49-6813-5A9E-F060-007F01006A65','inArray','INVEST_ARAE','==','01,03','当“资金投向地区”要素选择“01 境内”或“03 境内和境外”时','E');</v>
      </c>
    </row>
    <row r="22" spans="1:10" x14ac:dyDescent="0.15">
      <c r="A22" s="5" t="s">
        <v>318</v>
      </c>
      <c r="B22" s="5" t="s">
        <v>668</v>
      </c>
      <c r="C22" s="5" t="s">
        <v>391</v>
      </c>
      <c r="D22" s="5" t="s">
        <v>85</v>
      </c>
      <c r="E22" s="5" t="s">
        <v>79</v>
      </c>
      <c r="F22" s="5" t="s">
        <v>70</v>
      </c>
      <c r="G22" s="5" t="s">
        <v>268</v>
      </c>
      <c r="H22" s="5" t="s">
        <v>669</v>
      </c>
      <c r="I22" s="5" t="s">
        <v>26</v>
      </c>
      <c r="J22" s="10" t="str">
        <f t="shared" si="0"/>
        <v>insert into chb_datacheck_condition (CHECKCONDITIONID,CHECKRULEID,CHECKMETHOD,SRCPROPERTY,COMPARETO,OBJVALUE,REMARK,STATUS) values ('de3F4B49-6810-5A9E-E650-007F01006A83','de234A49-6813-5A9E-F060-007F01006A65','compareValue','INVEST_ARAE','==','02','当“资金投向地区”要素选择“02境外”时','E');</v>
      </c>
    </row>
    <row r="23" spans="1:10" x14ac:dyDescent="0.15">
      <c r="A23" s="5" t="s">
        <v>320</v>
      </c>
      <c r="B23" s="5" t="s">
        <v>670</v>
      </c>
      <c r="C23" s="5" t="s">
        <v>397</v>
      </c>
      <c r="D23" s="5" t="s">
        <v>626</v>
      </c>
      <c r="E23" s="5" t="s">
        <v>94</v>
      </c>
      <c r="F23" s="5" t="s">
        <v>70</v>
      </c>
      <c r="G23" s="5" t="s">
        <v>671</v>
      </c>
      <c r="H23" s="5" t="s">
        <v>672</v>
      </c>
      <c r="I23" s="5" t="s">
        <v>26</v>
      </c>
      <c r="J23" s="10" t="str">
        <f t="shared" si="0"/>
        <v>insert into chb_datacheck_condition (CHECKCONDITIONID,CHECKRULEID,CHECKMETHOD,SRCPROPERTY,COMPARETO,OBJVALUE,REMARK,STATUS) values ('de3F4B49-6810-1A9E-E650-007F01006A83','de254A49-6813-5A9E-F060-007F01006A65','inArray','OPERATE_MODE','==','03,04','当“产品运作模式”要素选择“03 开放式净值型”或“04 开放式非净值型”时','E');</v>
      </c>
    </row>
    <row r="24" spans="1:10" x14ac:dyDescent="0.15">
      <c r="A24" s="5" t="s">
        <v>322</v>
      </c>
      <c r="B24" s="5" t="s">
        <v>673</v>
      </c>
      <c r="C24" s="5" t="s">
        <v>402</v>
      </c>
      <c r="D24" s="5" t="s">
        <v>626</v>
      </c>
      <c r="E24" s="5" t="s">
        <v>94</v>
      </c>
      <c r="F24" s="5" t="s">
        <v>70</v>
      </c>
      <c r="G24" s="5" t="s">
        <v>630</v>
      </c>
      <c r="H24" s="5" t="s">
        <v>674</v>
      </c>
      <c r="I24" s="5" t="s">
        <v>26</v>
      </c>
      <c r="J24" s="10" t="str">
        <f t="shared" si="0"/>
        <v>insert into chb_datacheck_condition (CHECKCONDITIONID,CHECKRULEID,CHECKMETHOD,SRCPROPERTY,COMPARETO,OBJVALUE,REMARK,STATUS) values ('de3F4B49-6810-2A9E-E750-107F01006A83','de274A49-6813-5A9E-F060-007F01006A65','inArray','OPERATE_MODE','==','01,02','当“产品运作模式”要素选择“01 封闭式净值型”或“02 封闭式非净值型”时','E');</v>
      </c>
    </row>
    <row r="25" spans="1:10" x14ac:dyDescent="0.15">
      <c r="A25" s="5" t="s">
        <v>324</v>
      </c>
      <c r="B25" s="5" t="s">
        <v>675</v>
      </c>
      <c r="C25" s="5" t="s">
        <v>404</v>
      </c>
      <c r="D25" s="5" t="s">
        <v>626</v>
      </c>
      <c r="E25" s="5" t="s">
        <v>94</v>
      </c>
      <c r="F25" s="5" t="s">
        <v>70</v>
      </c>
      <c r="G25" s="5" t="s">
        <v>630</v>
      </c>
      <c r="H25" s="5" t="s">
        <v>674</v>
      </c>
      <c r="I25" s="5" t="s">
        <v>26</v>
      </c>
      <c r="J25" s="10" t="str">
        <f t="shared" si="0"/>
        <v>insert into chb_datacheck_condition (CHECKCONDITIONID,CHECKRULEID,CHECKMETHOD,SRCPROPERTY,COMPARETO,OBJVALUE,REMARK,STATUS) values ('de3F4B49-6810-2A9E-E750-207F01006A83','de284A49-6813-5A9E-F060-007F01006A65','inArray','OPERATE_MODE','==','01,02','当“产品运作模式”要素选择“01 封闭式净值型”或“02 封闭式非净值型”时','E');</v>
      </c>
    </row>
    <row r="26" spans="1:10" x14ac:dyDescent="0.15">
      <c r="A26" s="5" t="s">
        <v>326</v>
      </c>
      <c r="B26" s="5" t="s">
        <v>676</v>
      </c>
      <c r="C26" s="5" t="s">
        <v>407</v>
      </c>
      <c r="D26" s="5" t="s">
        <v>85</v>
      </c>
      <c r="E26" s="5" t="s">
        <v>130</v>
      </c>
      <c r="F26" s="5" t="s">
        <v>70</v>
      </c>
      <c r="G26" s="5" t="s">
        <v>266</v>
      </c>
      <c r="H26" s="5" t="s">
        <v>677</v>
      </c>
      <c r="I26" s="5" t="s">
        <v>26</v>
      </c>
      <c r="J26" s="10" t="str">
        <f t="shared" si="0"/>
        <v>insert into chb_datacheck_condition (CHECKCONDITIONID,CHECKRULEID,CHECKMETHOD,SRCPROPERTY,COMPARETO,OBJVALUE,REMARK,STATUS) values ('de3F4B49-6810-5A9E-E650-207F01006A83','de294A49-6813-5A9E-F060-007F01006A66','compareValue','IS_SHORT_TERM','==','01','当“是否设置最短持有期限”选择“01 是”时','E');</v>
      </c>
    </row>
    <row r="27" spans="1:10" x14ac:dyDescent="0.15">
      <c r="A27" s="5" t="s">
        <v>328</v>
      </c>
      <c r="B27" s="5" t="s">
        <v>678</v>
      </c>
      <c r="C27" s="5" t="s">
        <v>487</v>
      </c>
      <c r="D27" s="5" t="s">
        <v>85</v>
      </c>
      <c r="E27" s="5" t="s">
        <v>130</v>
      </c>
      <c r="F27" s="5" t="s">
        <v>70</v>
      </c>
      <c r="G27" s="5" t="s">
        <v>268</v>
      </c>
      <c r="H27" s="5" t="s">
        <v>679</v>
      </c>
      <c r="I27" s="5" t="s">
        <v>26</v>
      </c>
      <c r="J27" s="10" t="str">
        <f t="shared" si="0"/>
        <v>insert into chb_datacheck_condition (CHECKCONDITIONID,CHECKRULEID,CHECKMETHOD,SRCPROPERTY,COMPARETO,OBJVALUE,REMARK,STATUS) values ('de3F4B49-6810-5A9E-E650-217F01006A83','de304A49-6813-5A9E-F060-007F01006A66','compareValue','IS_SHORT_TERM','==','02','当“是否设置最短持有期限”选择“02 否”时','E');</v>
      </c>
    </row>
    <row r="28" spans="1:10" x14ac:dyDescent="0.15">
      <c r="A28" s="5" t="s">
        <v>330</v>
      </c>
      <c r="B28" s="5" t="s">
        <v>680</v>
      </c>
      <c r="C28" s="5" t="s">
        <v>489</v>
      </c>
      <c r="D28" s="5" t="s">
        <v>85</v>
      </c>
      <c r="E28" s="5" t="s">
        <v>79</v>
      </c>
      <c r="F28" s="5" t="s">
        <v>70</v>
      </c>
      <c r="G28" s="5" t="s">
        <v>268</v>
      </c>
      <c r="H28" s="5" t="s">
        <v>646</v>
      </c>
      <c r="I28" s="5" t="s">
        <v>26</v>
      </c>
      <c r="J28" s="10" t="str">
        <f t="shared" si="0"/>
        <v>insert into chb_datacheck_condition (CHECKCONDITIONID,CHECKRULEID,CHECKMETHOD,SRCPROPERTY,COMPARETO,OBJVALUE,REMARK,STATUS) values ('de3F4B49-6810-5A9E-E650-A41201006A83','de304A71-6813-5A9E-F060-007F01006A66','compareValue','INVEST_ARAE','==','02','当“资金投向地区”要素选择“02 境外”时','E');</v>
      </c>
    </row>
    <row r="29" spans="1:10" x14ac:dyDescent="0.15">
      <c r="A29" s="5" t="s">
        <v>332</v>
      </c>
      <c r="B29" s="5" t="s">
        <v>681</v>
      </c>
      <c r="C29" s="5" t="s">
        <v>491</v>
      </c>
      <c r="D29" s="5" t="s">
        <v>85</v>
      </c>
      <c r="E29" s="5" t="s">
        <v>79</v>
      </c>
      <c r="F29" s="5" t="s">
        <v>70</v>
      </c>
      <c r="G29" s="5" t="s">
        <v>268</v>
      </c>
      <c r="H29" s="5" t="s">
        <v>646</v>
      </c>
      <c r="I29" s="5" t="s">
        <v>26</v>
      </c>
      <c r="J29" s="10" t="str">
        <f t="shared" si="0"/>
        <v>insert into chb_datacheck_condition (CHECKCONDITIONID,CHECKRULEID,CHECKMETHOD,SRCPROPERTY,COMPARETO,OBJVALUE,REMARK,STATUS) values ('de3F4B49-6810-5A9E-E650-A49F01006A01','de304A73-6813-5A9E-F060-007F01006A66','compareValue','INVEST_ARAE','==','02','当“资金投向地区”要素选择“02 境外”时','E');</v>
      </c>
    </row>
    <row r="30" spans="1:10" x14ac:dyDescent="0.15">
      <c r="A30" s="5" t="s">
        <v>335</v>
      </c>
      <c r="B30" s="5" t="s">
        <v>682</v>
      </c>
      <c r="C30" s="5" t="s">
        <v>508</v>
      </c>
      <c r="D30" s="5" t="s">
        <v>85</v>
      </c>
      <c r="E30" s="5" t="s">
        <v>130</v>
      </c>
      <c r="F30" s="5" t="s">
        <v>70</v>
      </c>
      <c r="G30" s="5" t="s">
        <v>266</v>
      </c>
      <c r="H30" s="5" t="s">
        <v>677</v>
      </c>
      <c r="I30" s="5" t="s">
        <v>26</v>
      </c>
      <c r="J30" s="10" t="str">
        <f t="shared" si="0"/>
        <v>insert into chb_datacheck_condition (CHECKCONDITIONID,CHECKRULEID,CHECKMETHOD,SRCPROPERTY,COMPARETO,OBJVALUE,REMARK,STATUS) values ('de3F4B49-6810-5A9E-E650-317F01006A83','de324A49-6813-5A9E-F060-007F01006A65','compareValue','IS_SHORT_TERM','==','01','当“是否设置最短持有期限”选择“01 是”时','E');</v>
      </c>
    </row>
    <row r="31" spans="1:10" x14ac:dyDescent="0.15">
      <c r="A31" s="5" t="s">
        <v>337</v>
      </c>
      <c r="B31" s="5" t="s">
        <v>683</v>
      </c>
      <c r="C31" s="5" t="s">
        <v>510</v>
      </c>
      <c r="D31" s="5" t="s">
        <v>626</v>
      </c>
      <c r="E31" s="5" t="s">
        <v>94</v>
      </c>
      <c r="F31" s="5" t="s">
        <v>70</v>
      </c>
      <c r="G31" s="5" t="s">
        <v>630</v>
      </c>
      <c r="H31" s="5" t="s">
        <v>674</v>
      </c>
      <c r="I31" s="5" t="s">
        <v>26</v>
      </c>
      <c r="J31" s="10" t="str">
        <f t="shared" si="0"/>
        <v>insert into chb_datacheck_condition (CHECKCONDITIONID,CHECKRULEID,CHECKMETHOD,SRCPROPERTY,COMPARETO,OBJVALUE,REMARK,STATUS) values ('de3F4B49-6810-2A9E-E750-007F01006A83','de324A49-6813-5A9E-F060-107F01006A65','inArray','OPERATE_MODE','==','01,02','当“产品运作模式”要素选择“01 封闭式净值型”或“02 封闭式非净值型”时','E');</v>
      </c>
    </row>
    <row r="32" spans="1:10" x14ac:dyDescent="0.15">
      <c r="A32" s="5" t="s">
        <v>339</v>
      </c>
      <c r="B32" s="5" t="s">
        <v>684</v>
      </c>
      <c r="C32" s="5" t="s">
        <v>513</v>
      </c>
      <c r="D32" s="5" t="s">
        <v>85</v>
      </c>
      <c r="E32" s="5" t="s">
        <v>130</v>
      </c>
      <c r="F32" s="5" t="s">
        <v>70</v>
      </c>
      <c r="G32" s="5" t="s">
        <v>268</v>
      </c>
      <c r="H32" s="5" t="s">
        <v>679</v>
      </c>
      <c r="I32" s="5" t="s">
        <v>26</v>
      </c>
      <c r="J32" s="10" t="str">
        <f t="shared" si="0"/>
        <v>insert into chb_datacheck_condition (CHECKCONDITIONID,CHECKRULEID,CHECKMETHOD,SRCPROPERTY,COMPARETO,OBJVALUE,REMARK,STATUS) values ('de3F4B49-6810-5A9E-E650-417F01006A83','de334A49-6813-5A9E-F060-007F01006A65','compareValue','IS_SHORT_TERM','==','02','当“是否设置最短持有期限”选择“02 否”时','E');</v>
      </c>
    </row>
    <row r="33" spans="1:10" x14ac:dyDescent="0.15">
      <c r="A33" s="5" t="s">
        <v>341</v>
      </c>
      <c r="B33" s="5" t="s">
        <v>685</v>
      </c>
      <c r="C33" s="5" t="s">
        <v>515</v>
      </c>
      <c r="D33" s="5" t="s">
        <v>626</v>
      </c>
      <c r="E33" s="5" t="s">
        <v>94</v>
      </c>
      <c r="F33" s="5" t="s">
        <v>70</v>
      </c>
      <c r="G33" s="5" t="s">
        <v>671</v>
      </c>
      <c r="H33" s="5" t="s">
        <v>672</v>
      </c>
      <c r="I33" s="5" t="s">
        <v>26</v>
      </c>
      <c r="J33" s="10" t="str">
        <f t="shared" si="0"/>
        <v>insert into chb_datacheck_condition (CHECKCONDITIONID,CHECKRULEID,CHECKMETHOD,SRCPROPERTY,COMPARETO,OBJVALUE,REMARK,STATUS) values ('de3F4B49-6810-5A9E-E650-517F01006A83','de344A49-6813-5A9E-F060-007F01006A65','inArray','OPERATE_MODE','==','03,04','当“产品运作模式”要素选择“03 开放式净值型”或“04 开放式非净值型”时','E');</v>
      </c>
    </row>
    <row r="34" spans="1:10" x14ac:dyDescent="0.15">
      <c r="A34" s="5" t="s">
        <v>57</v>
      </c>
      <c r="B34" s="5" t="s">
        <v>686</v>
      </c>
      <c r="C34" s="5" t="s">
        <v>517</v>
      </c>
      <c r="D34" s="5" t="s">
        <v>626</v>
      </c>
      <c r="E34" s="5" t="s">
        <v>94</v>
      </c>
      <c r="F34" s="5" t="s">
        <v>70</v>
      </c>
      <c r="G34" s="5" t="s">
        <v>630</v>
      </c>
      <c r="H34" s="5" t="s">
        <v>674</v>
      </c>
      <c r="I34" s="5" t="s">
        <v>26</v>
      </c>
      <c r="J34" s="10" t="str">
        <f t="shared" si="0"/>
        <v>insert into chb_datacheck_condition (CHECKCONDITIONID,CHECKRULEID,CHECKMETHOD,SRCPROPERTY,COMPARETO,OBJVALUE,REMARK,STATUS) values ('de3F4B49-6810-5A9E-E650-817F01006A83','de374A49-6813-5A9E-F060-007F01006A65','inArray','OPERATE_MODE','==','01,02','当“产品运作模式”要素选择“01 封闭式净值型”或“02 封闭式非净值型”时','E');</v>
      </c>
    </row>
    <row r="35" spans="1:10" x14ac:dyDescent="0.15">
      <c r="A35" s="5" t="s">
        <v>344</v>
      </c>
      <c r="B35" s="5" t="s">
        <v>687</v>
      </c>
      <c r="C35" s="5" t="s">
        <v>530</v>
      </c>
      <c r="D35" s="5" t="s">
        <v>626</v>
      </c>
      <c r="E35" s="5" t="s">
        <v>106</v>
      </c>
      <c r="F35" s="5" t="s">
        <v>70</v>
      </c>
      <c r="G35" s="5" t="s">
        <v>643</v>
      </c>
      <c r="H35" s="5" t="s">
        <v>688</v>
      </c>
      <c r="I35" s="5" t="s">
        <v>26</v>
      </c>
      <c r="J35" s="10" t="str">
        <f t="shared" si="0"/>
        <v>insert into chb_datacheck_condition (CHECKCONDITIONID,CHECKRULEID,CHECKMETHOD,SRCPROPERTY,COMPARETO,OBJVALUE,REMARK,STATUS) values ('de3F4B49-6810-5A9E-E650-917F01006A83','de404A49-6813-5A9E-F060-007F01006A65','inArray','PMMODE','==','02,03','当“产品管理模式”要素选择“03 资产管理公司”或“02 其他机构为实际管理人”时','E');</v>
      </c>
    </row>
    <row r="36" spans="1:10" x14ac:dyDescent="0.15">
      <c r="A36" s="5" t="s">
        <v>52</v>
      </c>
      <c r="B36" s="5" t="s">
        <v>689</v>
      </c>
      <c r="C36" s="5" t="s">
        <v>532</v>
      </c>
      <c r="D36" s="5" t="s">
        <v>626</v>
      </c>
      <c r="E36" s="5" t="s">
        <v>106</v>
      </c>
      <c r="F36" s="5" t="s">
        <v>70</v>
      </c>
      <c r="G36" s="5" t="s">
        <v>690</v>
      </c>
      <c r="H36" s="5" t="s">
        <v>691</v>
      </c>
      <c r="I36" s="5" t="s">
        <v>26</v>
      </c>
      <c r="J36" s="10" t="str">
        <f t="shared" si="0"/>
        <v>insert into chb_datacheck_condition (CHECKCONDITIONID,CHECKRULEID,CHECKMETHOD,SRCPROPERTY,COMPARETO,OBJVALUE,REMARK,STATUS) values ('de3F4B49-6810-5A9E-E650-A37F01006A83','de434A49-6813-5A9E-F060-007F01006A65','inArray','PMMODE','==','01,04','当“产品管理模式”要素选择“01 银行为实际管理人” 或“04 特殊目的载体（SPV）”时','E');</v>
      </c>
    </row>
    <row r="37" spans="1:10" x14ac:dyDescent="0.15">
      <c r="A37" s="5" t="s">
        <v>347</v>
      </c>
      <c r="B37" s="5" t="s">
        <v>692</v>
      </c>
      <c r="C37" s="5" t="s">
        <v>557</v>
      </c>
      <c r="D37" s="5" t="s">
        <v>626</v>
      </c>
      <c r="E37" s="5" t="s">
        <v>79</v>
      </c>
      <c r="F37" s="5" t="s">
        <v>70</v>
      </c>
      <c r="G37" s="5" t="s">
        <v>666</v>
      </c>
      <c r="H37" s="5" t="s">
        <v>667</v>
      </c>
      <c r="I37" s="5" t="s">
        <v>26</v>
      </c>
      <c r="J37" s="10" t="str">
        <f t="shared" si="0"/>
        <v>insert into chb_datacheck_condition (CHECKCONDITIONID,CHECKRULEID,CHECKMETHOD,SRCPROPERTY,COMPARETO,OBJVALUE,REMARK,STATUS) values ('de3F4B49-6810-5A9E-E650-A41001006A83','de464A69-6813-5A9E-F060-007F01006A65','inArray','INVEST_ARAE','==','01,03','当“资金投向地区”要素选择“01 境内”或“03 境内和境外”时','E');</v>
      </c>
    </row>
    <row r="38" spans="1:10" x14ac:dyDescent="0.15">
      <c r="A38" s="5" t="s">
        <v>349</v>
      </c>
      <c r="B38" s="5" t="s">
        <v>693</v>
      </c>
      <c r="C38" s="5" t="s">
        <v>559</v>
      </c>
      <c r="D38" s="5" t="s">
        <v>85</v>
      </c>
      <c r="E38" s="5" t="s">
        <v>79</v>
      </c>
      <c r="F38" s="5" t="s">
        <v>70</v>
      </c>
      <c r="G38" s="5" t="s">
        <v>268</v>
      </c>
      <c r="H38" s="5" t="s">
        <v>646</v>
      </c>
      <c r="I38" s="5" t="s">
        <v>26</v>
      </c>
      <c r="J38" s="10" t="str">
        <f t="shared" si="0"/>
        <v>insert into chb_datacheck_condition (CHECKCONDITIONID,CHECKRULEID,CHECKMETHOD,SRCPROPERTY,COMPARETO,OBJVALUE,REMARK,STATUS) values ('de3F4B49-6810-5A9E-E650-A41101006A83','de464A70-6813-5A9E-F060-007F01006A65','compareValue','INVEST_ARAE','==','02','当“资金投向地区”要素选择“02 境外”时','E');</v>
      </c>
    </row>
    <row r="39" spans="1:10" x14ac:dyDescent="0.15">
      <c r="A39" s="5" t="s">
        <v>351</v>
      </c>
      <c r="B39" s="5" t="s">
        <v>694</v>
      </c>
      <c r="C39" s="5" t="s">
        <v>572</v>
      </c>
      <c r="D39" s="5" t="s">
        <v>85</v>
      </c>
      <c r="E39" s="5" t="s">
        <v>242</v>
      </c>
      <c r="F39" s="5" t="s">
        <v>70</v>
      </c>
      <c r="G39" s="5" t="s">
        <v>266</v>
      </c>
      <c r="H39" s="5" t="s">
        <v>648</v>
      </c>
      <c r="I39" s="5" t="s">
        <v>26</v>
      </c>
      <c r="J39" s="10" t="str">
        <f t="shared" si="0"/>
        <v>insert into chb_datacheck_condition (CHECKCONDITIONID,CHECKRULEID,CHECKMETHOD,SRCPROPERTY,COMPARETO,OBJVALUE,REMARK,STATUS) values ('de3F4B49-6810-5A9E-E650-A49F01006A10','de464A88-6813-5A9E-F060-007F01006A65','compareValue','CREDIT_FLAG','==','01','若“产品增信标识”选择“01 有”时','E');</v>
      </c>
    </row>
    <row r="40" spans="1:10" x14ac:dyDescent="0.15">
      <c r="A40" s="5" t="s">
        <v>355</v>
      </c>
      <c r="B40" s="5" t="s">
        <v>695</v>
      </c>
      <c r="C40" s="5" t="s">
        <v>576</v>
      </c>
      <c r="D40" s="5" t="s">
        <v>85</v>
      </c>
      <c r="E40" s="5" t="s">
        <v>226</v>
      </c>
      <c r="F40" s="5" t="s">
        <v>86</v>
      </c>
      <c r="G40" s="5" t="s">
        <v>266</v>
      </c>
      <c r="H40" s="5" t="s">
        <v>696</v>
      </c>
      <c r="I40" s="5" t="s">
        <v>26</v>
      </c>
      <c r="J40" s="10" t="str">
        <f t="shared" si="0"/>
        <v>insert into chb_datacheck_condition (CHECKCONDITIONID,CHECKRULEID,CHECKMETHOD,SRCPROPERTY,COMPARETO,OBJVALUE,REMARK,STATUS) values ('de3F4B49-6810-5A9E-E650-A48F01006A83','de474A49-6813-5A9E-F060-007F01006A65','compareValue','CONT_MODE','!=','01','当“合作模式”要素选择除“01 独立运作”以外的其他选项时','E');</v>
      </c>
    </row>
    <row r="41" spans="1:10" x14ac:dyDescent="0.15">
      <c r="A41" s="5" t="s">
        <v>357</v>
      </c>
      <c r="B41" s="5" t="s">
        <v>697</v>
      </c>
      <c r="C41" s="5" t="s">
        <v>578</v>
      </c>
      <c r="D41" s="5" t="s">
        <v>85</v>
      </c>
      <c r="E41" s="5" t="s">
        <v>226</v>
      </c>
      <c r="F41" s="5" t="s">
        <v>70</v>
      </c>
      <c r="G41" s="5" t="s">
        <v>266</v>
      </c>
      <c r="H41" s="5" t="s">
        <v>698</v>
      </c>
      <c r="I41" s="5" t="s">
        <v>26</v>
      </c>
      <c r="J41" s="10" t="str">
        <f t="shared" si="0"/>
        <v>insert into chb_datacheck_condition (CHECKCONDITIONID,CHECKRULEID,CHECKMETHOD,SRCPROPERTY,COMPARETO,OBJVALUE,REMARK,STATUS) values ('de3F4B49-6810-5A9E-E650-A47F01006A83','de484A49-6813-5A9E-F060-007F01006A65','compareValue','CONT_MODE','==','01','当“合作模式”要素选择 “01 独立运作”时','E');</v>
      </c>
    </row>
    <row r="42" spans="1:10" x14ac:dyDescent="0.15">
      <c r="A42" s="5" t="s">
        <v>359</v>
      </c>
      <c r="B42" s="5" t="s">
        <v>699</v>
      </c>
      <c r="C42" s="5" t="s">
        <v>625</v>
      </c>
      <c r="D42" s="5" t="s">
        <v>700</v>
      </c>
      <c r="E42" s="5" t="s">
        <v>202</v>
      </c>
      <c r="F42" s="5" t="s">
        <v>70</v>
      </c>
      <c r="G42" s="5" t="s">
        <v>266</v>
      </c>
      <c r="H42" s="5" t="s">
        <v>701</v>
      </c>
      <c r="I42" s="5" t="s">
        <v>26</v>
      </c>
      <c r="J42" s="10" t="str">
        <f t="shared" si="0"/>
        <v>insert into chb_datacheck_condition (CHECKCONDITIONID,CHECKRULEID,CHECKMETHOD,SRCPROPERTY,COMPARETO,OBJVALUE,REMARK,STATUS) values ('de3F4B49-6810-5A9E-E650-327F01006A83','de8E4A49-6813-5A9E-F060-107F21206A66','inArrayMin','RISK_TYPE','==','01','当[投资者风险偏好]选择“01 保守型”时','E');</v>
      </c>
    </row>
    <row r="43" spans="1:10" x14ac:dyDescent="0.15">
      <c r="A43" s="5" t="s">
        <v>361</v>
      </c>
      <c r="B43" s="5" t="s">
        <v>702</v>
      </c>
      <c r="C43" s="5" t="s">
        <v>629</v>
      </c>
      <c r="D43" s="5" t="s">
        <v>700</v>
      </c>
      <c r="E43" s="5" t="s">
        <v>202</v>
      </c>
      <c r="F43" s="5" t="s">
        <v>70</v>
      </c>
      <c r="G43" s="5" t="s">
        <v>268</v>
      </c>
      <c r="H43" s="5" t="s">
        <v>703</v>
      </c>
      <c r="I43" s="5" t="s">
        <v>26</v>
      </c>
      <c r="J43" s="10" t="str">
        <f t="shared" si="0"/>
        <v>insert into chb_datacheck_condition (CHECKCONDITIONID,CHECKRULEID,CHECKMETHOD,SRCPROPERTY,COMPARETO,OBJVALUE,REMARK,STATUS) values ('de3F4B49-6810-5A9E-E650-327F01006A84','de8E4A49-6813-5A9E-F060-107F21206A67','inArrayMin','RISK_TYPE','==','02','当[投资者风险偏好]选择“02 稳健型”时','E');</v>
      </c>
    </row>
    <row r="44" spans="1:10" x14ac:dyDescent="0.15">
      <c r="A44" s="5" t="s">
        <v>363</v>
      </c>
      <c r="B44" s="5" t="s">
        <v>704</v>
      </c>
      <c r="C44" s="5" t="s">
        <v>633</v>
      </c>
      <c r="D44" s="5" t="s">
        <v>700</v>
      </c>
      <c r="E44" s="5" t="s">
        <v>202</v>
      </c>
      <c r="F44" s="5" t="s">
        <v>70</v>
      </c>
      <c r="G44" s="5" t="s">
        <v>705</v>
      </c>
      <c r="H44" s="5" t="s">
        <v>706</v>
      </c>
      <c r="I44" s="5" t="s">
        <v>26</v>
      </c>
      <c r="J44" s="10" t="str">
        <f t="shared" si="0"/>
        <v>insert into chb_datacheck_condition (CHECKCONDITIONID,CHECKRULEID,CHECKMETHOD,SRCPROPERTY,COMPARETO,OBJVALUE,REMARK,STATUS) values ('de3F4B49-6810-5A9E-E650-327F01006A85','de8E4A49-6813-5A9E-F060-107F21206A68','inArrayMin','RISK_TYPE','==','03','当[投资者风险偏好]选择“03 平衡型”时','E');</v>
      </c>
    </row>
    <row r="45" spans="1:10" x14ac:dyDescent="0.15">
      <c r="A45" s="5" t="s">
        <v>365</v>
      </c>
      <c r="B45" s="5" t="s">
        <v>707</v>
      </c>
      <c r="C45" s="5" t="s">
        <v>637</v>
      </c>
      <c r="D45" s="5" t="s">
        <v>700</v>
      </c>
      <c r="E45" s="5" t="s">
        <v>202</v>
      </c>
      <c r="F45" s="5" t="s">
        <v>70</v>
      </c>
      <c r="G45" s="5" t="s">
        <v>708</v>
      </c>
      <c r="H45" s="5" t="s">
        <v>709</v>
      </c>
      <c r="I45" s="5" t="s">
        <v>26</v>
      </c>
      <c r="J45" s="10" t="str">
        <f t="shared" si="0"/>
        <v>insert into chb_datacheck_condition (CHECKCONDITIONID,CHECKRULEID,CHECKMETHOD,SRCPROPERTY,COMPARETO,OBJVALUE,REMARK,STATUS) values ('de3F4B49-6810-5A9E-E650-327F01006A86','de8E4A49-6813-5A9E-F060-107F21206A69','inArrayMin','RISK_TYPE','==','04','当[投资者风险偏好]选择“04 成长型”时','E');</v>
      </c>
    </row>
  </sheetData>
  <mergeCells count="1">
    <mergeCell ref="B3:I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规则表配置</vt:lpstr>
      <vt:lpstr>规则条件表</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2021-01-26T10:14:28Z</dcterms:modified>
</cp:coreProperties>
</file>