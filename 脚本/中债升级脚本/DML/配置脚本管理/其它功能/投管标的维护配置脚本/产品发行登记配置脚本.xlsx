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规则配置表" sheetId="1" r:id="rId1"/>
    <sheet name="规则条件表" sheetId="2" r:id="rId2"/>
    <sheet name="校验规则" sheetId="4" r:id="rId3"/>
    <sheet name="参考SQL" sheetId="3" r:id="rId4"/>
  </sheets>
  <definedNames>
    <definedName name="_xlnm._FilterDatabase" localSheetId="0" hidden="1">规则配置表!$A$1:$L$60</definedName>
    <definedName name="_xlnm._FilterDatabase" localSheetId="1" hidden="1">规则条件表!$A$1:$H$23</definedName>
  </definedNames>
  <calcPr calcId="152511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2" i="1"/>
  <c r="J12" i="2" l="1"/>
  <c r="J13" i="2"/>
  <c r="J14" i="2"/>
  <c r="J15" i="2"/>
  <c r="J16" i="2"/>
  <c r="J17" i="2"/>
  <c r="J18" i="2"/>
  <c r="J19" i="2"/>
  <c r="J20" i="2"/>
  <c r="J21" i="2"/>
  <c r="J22" i="2"/>
  <c r="J23" i="2"/>
  <c r="L60" i="1"/>
  <c r="L59" i="1"/>
  <c r="L58" i="1"/>
  <c r="L57" i="1"/>
  <c r="L56" i="1"/>
  <c r="L55" i="1"/>
  <c r="L54" i="1"/>
  <c r="L53" i="1"/>
  <c r="L52" i="1"/>
  <c r="L51" i="1"/>
  <c r="L50" i="1"/>
  <c r="L49" i="1"/>
  <c r="J3" i="2" l="1"/>
  <c r="J4" i="2"/>
  <c r="J5" i="2"/>
  <c r="J6" i="2"/>
  <c r="J7" i="2"/>
  <c r="J8" i="2"/>
  <c r="J9" i="2"/>
  <c r="J10" i="2"/>
  <c r="J11" i="2"/>
  <c r="J2" i="2"/>
  <c r="L48" i="1" l="1"/>
  <c r="L47" i="1"/>
  <c r="L46" i="1"/>
  <c r="L45" i="1"/>
  <c r="L44" i="1"/>
  <c r="L43" i="1"/>
  <c r="L42" i="1"/>
  <c r="L41" i="1"/>
</calcChain>
</file>

<file path=xl/sharedStrings.xml><?xml version="1.0" encoding="utf-8"?>
<sst xmlns="http://schemas.openxmlformats.org/spreadsheetml/2006/main" count="1402" uniqueCount="454">
  <si>
    <t>CHECKRULEID</t>
  </si>
  <si>
    <t>DATATYPE</t>
  </si>
  <si>
    <t>CHECKMETHOD</t>
  </si>
  <si>
    <t>COMMENTS</t>
  </si>
  <si>
    <t>COMPARETO</t>
  </si>
  <si>
    <t>OBJVALUE</t>
  </si>
  <si>
    <t>NULLABLE</t>
  </si>
  <si>
    <t>REMARK</t>
  </si>
  <si>
    <t>STATUS</t>
  </si>
  <si>
    <t>isNotEmpty</t>
  </si>
  <si>
    <t>N</t>
  </si>
  <si>
    <t>E</t>
  </si>
  <si>
    <t>lessThanCharLength</t>
  </si>
  <si>
    <t>101</t>
  </si>
  <si>
    <t>Y</t>
  </si>
  <si>
    <t>isCustomizedStringForWhitelist</t>
  </si>
  <si>
    <t>inDatadict</t>
  </si>
  <si>
    <t>isNumber2</t>
  </si>
  <si>
    <t>8,5</t>
  </si>
  <si>
    <t>compareValueAsNumber</t>
  </si>
  <si>
    <t>&gt;=</t>
  </si>
  <si>
    <t>0</t>
  </si>
  <si>
    <t>isValidDate</t>
  </si>
  <si>
    <t>==</t>
  </si>
  <si>
    <t>yyyy-MM-dd</t>
  </si>
  <si>
    <t>compareProperty</t>
  </si>
  <si>
    <t>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</t>
  </si>
  <si>
    <t>isNumber</t>
  </si>
  <si>
    <t>&gt;</t>
  </si>
  <si>
    <t>inArray</t>
  </si>
  <si>
    <t>01</t>
  </si>
  <si>
    <t>isCustomizedString</t>
  </si>
  <si>
    <t>compareValue</t>
  </si>
  <si>
    <t>!=</t>
  </si>
  <si>
    <t>257</t>
  </si>
  <si>
    <t>节假日是否开放            01 是/02 否</t>
  </si>
  <si>
    <t>SVR_YES_OR_NO</t>
  </si>
  <si>
    <t>ys214A49-6813-5A9E-E050-007F22700005</t>
  </si>
  <si>
    <t>其他规律开放周期 (天)</t>
  </si>
  <si>
    <t>其他规律开放周期(天)要素不可为空。</t>
  </si>
  <si>
    <t>ys214A49-6813-5A9E-E050-007F22700006</t>
  </si>
  <si>
    <t>其他规律开放周期(天)要素必须为空。</t>
  </si>
  <si>
    <t>873E4A49-6810-5A9E-E050-007F01006A37</t>
  </si>
  <si>
    <t>4,0</t>
  </si>
  <si>
    <t>其他规律开放周期(天)必须为n..4格式。</t>
  </si>
  <si>
    <t>其他规律开放周期(天)必须大于0。</t>
  </si>
  <si>
    <t>873E4A49-6810-5A9E-E050-007F01006A38</t>
  </si>
  <si>
    <t>无规律开放说明</t>
  </si>
  <si>
    <t>无规律开放说明不可为空</t>
  </si>
  <si>
    <t>ys214A49-6813-5A9E-E050-007F22700007</t>
  </si>
  <si>
    <t>无规律开放说明必须为空</t>
  </si>
  <si>
    <t>无规律开放说明必须填写白名单中的文字。</t>
  </si>
  <si>
    <t>ys214A49-6813-5A9E-E050-007F22700008</t>
  </si>
  <si>
    <t>无规律开放说明过长。</t>
  </si>
  <si>
    <t>理财产品代码</t>
  </si>
  <si>
    <t>理财产品代码要素不可为空。</t>
  </si>
  <si>
    <t>理财产品代码过长</t>
  </si>
  <si>
    <t>理财产品代码必须填写白名单中的文字。</t>
  </si>
  <si>
    <t>产品终止日期</t>
  </si>
  <si>
    <t>产品终止日期不能为空</t>
  </si>
  <si>
    <t>产品终止日期必须为日期格式（YYYY-MM-DD）且是正确的日期。</t>
  </si>
  <si>
    <t>产品终止日期必须大于产品起始日期。</t>
  </si>
  <si>
    <t>业绩比较基准上限</t>
  </si>
  <si>
    <t>业绩比较基准上限以百分数形式表示时必须为n（8,5）格式。</t>
  </si>
  <si>
    <t>业绩比较基准上限必须大于等于业绩比较基准下限。</t>
  </si>
  <si>
    <t>ys214A49-6813-5A9E-E050-007F22700031</t>
  </si>
  <si>
    <t>业绩比较基准说明</t>
  </si>
  <si>
    <t>401</t>
  </si>
  <si>
    <t>业绩比较基准说明不能超过400字符</t>
  </si>
  <si>
    <t>业绩比较基准说明必须填写白名单中的文字。</t>
  </si>
  <si>
    <t>开放模式      01 有规律开放/02 无规律开放</t>
  </si>
  <si>
    <t>SVR_OPEN_MODE</t>
  </si>
  <si>
    <t>开放模式不在值域范围内</t>
  </si>
  <si>
    <t>募集起始日期</t>
  </si>
  <si>
    <t>募集起始日期要素不可为空。</t>
  </si>
  <si>
    <t>募集起始日期必须为日期格式（YYYY-MM-DD）且是正确的日期。</t>
  </si>
  <si>
    <t>ys214A49-6813-5A9E-E050-007F22700002</t>
  </si>
  <si>
    <t>规律开放周期</t>
  </si>
  <si>
    <t>规律开放周期不能为空</t>
  </si>
  <si>
    <t>SVR_REGULAR_OPEN_CYCLE</t>
  </si>
  <si>
    <t>规律开放周期不在值域范围内</t>
  </si>
  <si>
    <t>产品登记编码</t>
  </si>
  <si>
    <t>产品登记编码要素不可为空。</t>
  </si>
  <si>
    <t>^[0-9a-zA-Z]{14,15}$</t>
  </si>
  <si>
    <t>产品登记编码要素格式不对。正确的格式：14或15位英文或数字。</t>
  </si>
  <si>
    <t>管理方式</t>
  </si>
  <si>
    <t>管理方式不能为空</t>
  </si>
  <si>
    <t>SVR_PRO_STYLE</t>
  </si>
  <si>
    <t>管理方式不在值域范围内</t>
  </si>
  <si>
    <t>ys214A49-6813-5A9E-E050-007F22700016</t>
  </si>
  <si>
    <t>开放期业务说明</t>
  </si>
  <si>
    <t>开放期业务说明不能为空</t>
  </si>
  <si>
    <t>开放期业务说明必须在白名单范围内</t>
  </si>
  <si>
    <t>开放期业务说明不能超过256字符</t>
  </si>
  <si>
    <t>业绩比较基准下限</t>
  </si>
  <si>
    <t>业绩比较基准下限以百分数形式表示时必须为n（8,5）格式。</t>
  </si>
  <si>
    <t>开放期业务</t>
  </si>
  <si>
    <t>SVR_OPEN_BUSS</t>
  </si>
  <si>
    <t>产品起始日期</t>
  </si>
  <si>
    <t>产品起始日期必须为日期格式（YYYY-MM-DD）且是正确的日期。</t>
  </si>
  <si>
    <t>产品起始日期必须大于等于募集结束日期。</t>
  </si>
  <si>
    <t>ys214A49-6813-5A9E-E050-007F22700009</t>
  </si>
  <si>
    <t>首次开放周期起始日必须为日期格式（YYYY-MM-DD）且是正确的日期。</t>
  </si>
  <si>
    <t>平均开放次数（年化）</t>
  </si>
  <si>
    <t>5,2</t>
  </si>
  <si>
    <t>平均开放次数（年化）必须大于0.</t>
  </si>
  <si>
    <t>&lt;=</t>
  </si>
  <si>
    <t>366</t>
  </si>
  <si>
    <t>平均开放次数（年化）不能超过366。</t>
  </si>
  <si>
    <t>募集结束日期</t>
  </si>
  <si>
    <t>募集结束日期要素不可为空。</t>
  </si>
  <si>
    <t>募集结束日期必须为日期格式（YYYY-MM-DD）且是正确的日期。</t>
  </si>
  <si>
    <t>是否为结构化（分级）产品</t>
  </si>
  <si>
    <t>是否为结构化（分级）产品要素不可为空。</t>
  </si>
  <si>
    <t>是否结构化分级产品不在值域范围内。</t>
  </si>
  <si>
    <t>当开放模式为有规律开放时</t>
  </si>
  <si>
    <t>当开放模式为无规律开放时</t>
  </si>
  <si>
    <t>当开放期业务为其他时</t>
  </si>
  <si>
    <t>873E4A49-6810-5A9E-E050-007F01006A19</t>
  </si>
  <si>
    <t>当开放模式为有规律开放、</t>
  </si>
  <si>
    <t>873E4A49-6810-5A9E-E050-007F01006A31</t>
  </si>
  <si>
    <t>规律开放周期为每天开放时</t>
  </si>
  <si>
    <t>ys214A49-6813-5A9E-E050-107F22700007</t>
  </si>
  <si>
    <t>规律开放周期为其他规律开放周期时</t>
  </si>
  <si>
    <t>873E4A49-6810-5A9E-E050-007F01006A21</t>
  </si>
  <si>
    <t>SELECT</t>
  </si>
  <si>
    <t xml:space="preserve">    COUNT(1)</t>
  </si>
  <si>
    <t>FROM</t>
  </si>
  <si>
    <t xml:space="preserve">    CHB_DATACHECK_RULE</t>
  </si>
  <si>
    <t>WHERE</t>
  </si>
  <si>
    <t xml:space="preserve">    CHB_DATACHECK_RULE.DATATYPE IN ('CHB_PRD_DECLARE_SUB',</t>
  </si>
  <si>
    <t xml:space="preserve">                                    'CHB_PRD_ISSUE_SUB',</t>
  </si>
  <si>
    <t xml:space="preserve">                                    'CHB_PRD_RAISETOT_SUB',</t>
  </si>
  <si>
    <t xml:space="preserve">                                    'CHB_PRD_DEAL_SUB',</t>
  </si>
  <si>
    <t xml:space="preserve">                                    'CHB_PRD_END_SUB',</t>
  </si>
  <si>
    <t xml:space="preserve">                                    'CHB_ASSET_INFO_SUB',</t>
  </si>
  <si>
    <t xml:space="preserve">                                    'CHB_INVEST_TRADE_SUB',</t>
  </si>
  <si>
    <t xml:space="preserve">                                    'CHB_AST_VAL_SUB',</t>
  </si>
  <si>
    <t xml:space="preserve">                                    'CHB_BOT_AST_POS_SUB');</t>
  </si>
  <si>
    <t xml:space="preserve">    A.CHECKRULEID,</t>
  </si>
  <si>
    <t xml:space="preserve">    A.DATATYPE,</t>
  </si>
  <si>
    <t xml:space="preserve">    A.CHECKMETHOD,</t>
  </si>
  <si>
    <t xml:space="preserve">    B.COMMENTS,</t>
  </si>
  <si>
    <t xml:space="preserve">    A.COMPARETO,</t>
  </si>
  <si>
    <t xml:space="preserve">    A.OBJVALUE,</t>
  </si>
  <si>
    <t xml:space="preserve">    A.NULLABLE,</t>
  </si>
  <si>
    <t xml:space="preserve">    A.REMARK,</t>
  </si>
  <si>
    <t xml:space="preserve">    A.STATUS</t>
  </si>
  <si>
    <t xml:space="preserve">    CHB_DATACHECK_RULE A</t>
  </si>
  <si>
    <t>LEFT JOIN</t>
  </si>
  <si>
    <t xml:space="preserve">    USER_COL_COMMENTS B</t>
  </si>
  <si>
    <t>ON</t>
  </si>
  <si>
    <t xml:space="preserve">    A.SRCPROPERTY = B.COLUMN_NAME</t>
  </si>
  <si>
    <t>AND A.DATATYPE = B.TABLE_NAME</t>
  </si>
  <si>
    <t xml:space="preserve">    A.DATATYPE = 'CHB_PRD_DECLARE_SUB'</t>
  </si>
  <si>
    <t>UNION ALL</t>
  </si>
  <si>
    <t xml:space="preserve">    A.DATATYPE = 'CHB_PRD_ISSUE_SUB'</t>
  </si>
  <si>
    <t xml:space="preserve">    A.DATATYPE = 'CHB_PRD_RAISETOT_SUB'</t>
  </si>
  <si>
    <t xml:space="preserve">    A.DATATYPE = 'CHB_PRD_DEAL_SUB'</t>
  </si>
  <si>
    <t xml:space="preserve">    A.DATATYPE = 'CHB_PRD_END_SUB'</t>
  </si>
  <si>
    <t xml:space="preserve">    A.DATATYPE = 'CHB_ASSET_INFO_SUB'</t>
  </si>
  <si>
    <t xml:space="preserve">    A.DATATYPE = 'CHB_INVEST_TRADE_SUB'</t>
  </si>
  <si>
    <t xml:space="preserve">    A.DATATYPE = 'CHB_AST_VAL_SUB'</t>
  </si>
  <si>
    <t xml:space="preserve">    A.DATATYPE = 'CHB_BOT_AST_POS_SUB'</t>
  </si>
  <si>
    <t xml:space="preserve">    B.COMMENTS,</t>
    <phoneticPr fontId="1" type="noConversion"/>
  </si>
  <si>
    <t>CHECKCONDITIONID</t>
  </si>
  <si>
    <t>99</t>
  </si>
  <si>
    <t>02</t>
  </si>
  <si>
    <t xml:space="preserve">    d.CHECKCONDITIONID,</t>
  </si>
  <si>
    <t xml:space="preserve">    c.TABLE_NAME,</t>
  </si>
  <si>
    <t xml:space="preserve">    d.CHECKRULEID,</t>
  </si>
  <si>
    <t xml:space="preserve">    d.CHECKMETHOD,</t>
  </si>
  <si>
    <t xml:space="preserve">    c.COMMENTS,</t>
  </si>
  <si>
    <t xml:space="preserve">    d.COMPARETO,</t>
  </si>
  <si>
    <t xml:space="preserve">    d.OBJVALUE,</t>
  </si>
  <si>
    <t xml:space="preserve">    d.REMARK,</t>
  </si>
  <si>
    <t xml:space="preserve">    d.STATUS</t>
  </si>
  <si>
    <t xml:space="preserve">    CHB_DATACHECK_CONDITION d</t>
  </si>
  <si>
    <t xml:space="preserve">    USER_COL_COMMENTS c</t>
  </si>
  <si>
    <t xml:space="preserve">    d.SRCPROPERTY = c.COLUMN_NAME</t>
  </si>
  <si>
    <t>AND c.TABLE_NAME = 'CHB_PRD_DECLARE_SUB'</t>
  </si>
  <si>
    <t xml:space="preserve">    d.CHECKRULEID IN</t>
  </si>
  <si>
    <t xml:space="preserve">    (</t>
  </si>
  <si>
    <t xml:space="preserve">        SELECT</t>
  </si>
  <si>
    <t xml:space="preserve">            A.CHECKRULEID</t>
  </si>
  <si>
    <t xml:space="preserve">        FROM</t>
  </si>
  <si>
    <t xml:space="preserve">            CHB_DATACHECK_RULE A</t>
  </si>
  <si>
    <t xml:space="preserve">        LEFT JOIN</t>
  </si>
  <si>
    <t xml:space="preserve">            USER_COL_COMMENTS B</t>
  </si>
  <si>
    <t xml:space="preserve">        ON</t>
  </si>
  <si>
    <t xml:space="preserve">            A.SRCPROPERTY = B.COLUMN_NAME</t>
  </si>
  <si>
    <t xml:space="preserve">        AND A.DATATYPE = B.TABLE_NAME</t>
  </si>
  <si>
    <t xml:space="preserve">        WHERE</t>
  </si>
  <si>
    <t xml:space="preserve">            A.DATATYPE = 'CHB_PRD_DECLARE_SUB')</t>
  </si>
  <si>
    <t>AND c.TABLE_NAME = 'CHB_PRD_ISSUE_SUB'</t>
  </si>
  <si>
    <t xml:space="preserve">            A.DATATYPE = 'CHB_PRD_ISSUE_SUB')</t>
  </si>
  <si>
    <t>AND c.TABLE_NAME = 'CHB_PRD_RAISETOT_SUB'</t>
  </si>
  <si>
    <t xml:space="preserve">            A.DATATYPE = 'CHB_PRD_RAISETOT_SUB')</t>
  </si>
  <si>
    <t>AND c.TABLE_NAME = 'CHB_PRD_DEAL_SUB'</t>
  </si>
  <si>
    <t xml:space="preserve">            A.DATATYPE = 'CHB_PRD_DEAL_SUB')</t>
  </si>
  <si>
    <t>AND c.TABLE_NAME = 'CHB_PRD_END_SUB'</t>
  </si>
  <si>
    <t xml:space="preserve">            A.DATATYPE = 'CHB_PRD_END_SUB')</t>
  </si>
  <si>
    <t>AND c.TABLE_NAME = 'CHB_ASSET_INFO_SUB'</t>
  </si>
  <si>
    <t xml:space="preserve">            A.DATATYPE = 'CHB_ASSET_INFO_SUB')</t>
  </si>
  <si>
    <t>AND c.TABLE_NAME = 'CHB_INVEST_TRADE_SUB'</t>
  </si>
  <si>
    <t xml:space="preserve">            A.DATATYPE = 'CHB_INVEST_TRADE_SUB')</t>
  </si>
  <si>
    <t>AND c.TABLE_NAME = 'CHB_AST_VAL_SUB'</t>
  </si>
  <si>
    <t xml:space="preserve">            A.DATATYPE = 'CHB_AST_VAL_SUB')</t>
  </si>
  <si>
    <t>AND c.TABLE_NAME = 'CHB_BOT_AST_POS_SUB'</t>
  </si>
  <si>
    <t xml:space="preserve">            A.DATATYPE = 'CHB_BOT_AST_POS_SUB')</t>
  </si>
  <si>
    <t>HTML-NAME</t>
    <phoneticPr fontId="1" type="noConversion"/>
  </si>
  <si>
    <t>CHECKRULEID</t>
    <phoneticPr fontId="1" type="noConversion"/>
  </si>
  <si>
    <t>规律开放周期</t>
    <phoneticPr fontId="1" type="noConversion"/>
  </si>
  <si>
    <t>开放模式      01 有规律开放/02 无规律开放</t>
    <phoneticPr fontId="1" type="noConversion"/>
  </si>
  <si>
    <t>无规律开放说明</t>
    <phoneticPr fontId="1" type="noConversion"/>
  </si>
  <si>
    <t>理财产品代码</t>
    <phoneticPr fontId="1" type="noConversion"/>
  </si>
  <si>
    <t>finprodMarketId</t>
    <phoneticPr fontId="1" type="noConversion"/>
  </si>
  <si>
    <t>mdate</t>
    <phoneticPr fontId="1" type="noConversion"/>
  </si>
  <si>
    <t>firstSaleVdate</t>
    <phoneticPr fontId="1" type="noConversion"/>
  </si>
  <si>
    <t>prodRegistCode</t>
    <phoneticPr fontId="1" type="noConversion"/>
  </si>
  <si>
    <t>vdate</t>
    <phoneticPr fontId="1" type="noConversion"/>
  </si>
  <si>
    <t>firstSaleMdate</t>
    <phoneticPr fontId="1" type="noConversion"/>
  </si>
  <si>
    <t>首次开放周期起始日</t>
    <phoneticPr fontId="1" type="noConversion"/>
  </si>
  <si>
    <t>为内部取值逻辑，不进行配置</t>
    <phoneticPr fontId="1" type="noConversion"/>
  </si>
  <si>
    <t>FinNetValueProductBuild002</t>
  </si>
  <si>
    <t>delete from CHB_DATACHECK_CONDITION_INV where checkruleid in (select checkruleid from CHB_DATACHECK_RULE_INV where page_id = 'FinNetValueProductBuild002');</t>
    <phoneticPr fontId="1" type="noConversion"/>
  </si>
  <si>
    <t xml:space="preserve"> delete from CHB_DATACHECK_RULE_INV where page_id = 'FinNetValueProductBuild002';</t>
    <phoneticPr fontId="1" type="noConversion"/>
  </si>
  <si>
    <t>bussRepFinProductInfoDto.repOpenCircle</t>
    <phoneticPr fontId="1" type="noConversion"/>
  </si>
  <si>
    <t>bussRepFinProductInfoDto.repOpenMode</t>
    <phoneticPr fontId="1" type="noConversion"/>
  </si>
  <si>
    <t>bussRepFinProductInfoDto.repOpenBuss</t>
    <phoneticPr fontId="1" type="noConversion"/>
  </si>
  <si>
    <t>bussRepFinProductInfoDto.repOpenCircleDays</t>
    <phoneticPr fontId="1" type="noConversion"/>
  </si>
  <si>
    <t>bussRepFinProductInfoDto.repRuleComment</t>
    <phoneticPr fontId="1" type="noConversion"/>
  </si>
  <si>
    <t>bussRepFinProductInfoDto.repHighYield</t>
    <phoneticPr fontId="1" type="noConversion"/>
  </si>
  <si>
    <t>bussRepFinProductInfoDto.repYieldComment</t>
    <phoneticPr fontId="1" type="noConversion"/>
  </si>
  <si>
    <t>bussRepFinProductInfoDto.repManageMode</t>
    <phoneticPr fontId="1" type="noConversion"/>
  </si>
  <si>
    <t>bussRepFinProductInfoDto.repOpenBussRemark</t>
    <phoneticPr fontId="1" type="noConversion"/>
  </si>
  <si>
    <t>bussRepFinProductInfoDto.repLowYield</t>
    <phoneticPr fontId="1" type="noConversion"/>
  </si>
  <si>
    <t>bussRepFinProductInfoDto.repAvgOpenCount</t>
    <phoneticPr fontId="1" type="noConversion"/>
  </si>
  <si>
    <t>bussRepFinProductInfoDto.repIsConstracte</t>
    <phoneticPr fontId="1" type="noConversion"/>
  </si>
  <si>
    <t>E</t>
    <phoneticPr fontId="1" type="noConversion"/>
  </si>
  <si>
    <t>FinNetValueProductBuild002</t>
    <phoneticPr fontId="1" type="noConversion"/>
  </si>
  <si>
    <t>规律开放周期必须为空</t>
    <phoneticPr fontId="1" type="noConversion"/>
  </si>
  <si>
    <t>bussFinProductOpenPlanDto.hdayOpenFlag</t>
    <phoneticPr fontId="1" type="noConversion"/>
  </si>
  <si>
    <t>节假日是否开放不在值域范围内</t>
    <phoneticPr fontId="1" type="noConversion"/>
  </si>
  <si>
    <t>YES_OR_NO</t>
    <phoneticPr fontId="1" type="noConversion"/>
  </si>
  <si>
    <t>顺序</t>
  </si>
  <si>
    <t>入库校验表名</t>
    <phoneticPr fontId="1" type="noConversion"/>
  </si>
  <si>
    <t>字段</t>
  </si>
  <si>
    <t>校验内容</t>
  </si>
  <si>
    <t>检查分类</t>
    <phoneticPr fontId="1" type="noConversion"/>
  </si>
  <si>
    <t>处理方式</t>
    <phoneticPr fontId="1" type="noConversion"/>
  </si>
  <si>
    <t>直联接口错误信息提示语</t>
  </si>
  <si>
    <t>232</t>
  </si>
  <si>
    <t>CHB_PRD_ISSUE_SUB</t>
    <phoneticPr fontId="1" type="noConversion"/>
  </si>
  <si>
    <t>产品登记编码</t>
    <phoneticPr fontId="1" type="noConversion"/>
  </si>
  <si>
    <t>报文内不可重复</t>
    <phoneticPr fontId="1" type="noConversion"/>
  </si>
  <si>
    <t>重复限制</t>
    <phoneticPr fontId="1" type="noConversion"/>
  </si>
  <si>
    <t>程序处理</t>
    <phoneticPr fontId="1" type="noConversion"/>
  </si>
  <si>
    <t>程序处理</t>
    <phoneticPr fontId="1" type="noConversion"/>
  </si>
  <si>
    <t>产品登记编码报文内不可重复。</t>
  </si>
  <si>
    <t>235</t>
  </si>
  <si>
    <t>CHB_PRD_ISSUE_SUB</t>
    <phoneticPr fontId="1" type="noConversion"/>
  </si>
  <si>
    <t>系统中存在发行登记信息的产品（尚未提交）不能进行发行登记</t>
    <phoneticPr fontId="1" type="noConversion"/>
  </si>
  <si>
    <t>逻辑校验</t>
    <phoneticPr fontId="1" type="noConversion"/>
  </si>
  <si>
    <t>该产品在系统已存在发行信息。</t>
  </si>
  <si>
    <t>237</t>
  </si>
  <si>
    <t>发行机构代码</t>
    <phoneticPr fontId="1" type="noConversion"/>
  </si>
  <si>
    <t>该代码必须与登记的银行一致</t>
  </si>
  <si>
    <t>发行机构代码必须与银行代码相同。</t>
  </si>
  <si>
    <t>242</t>
  </si>
  <si>
    <t>理财产品代码</t>
    <phoneticPr fontId="1" type="noConversion"/>
  </si>
  <si>
    <t>理财产品代码</t>
    <phoneticPr fontId="1" type="noConversion"/>
  </si>
  <si>
    <t>报文内不可重复</t>
  </si>
  <si>
    <t>理财产品代码报文内不可重复。</t>
  </si>
  <si>
    <t>243</t>
  </si>
  <si>
    <t>同一机构内理财产品代码具有唯一性</t>
  </si>
  <si>
    <t>理财产品代码不能重复。</t>
  </si>
  <si>
    <t>247</t>
  </si>
  <si>
    <t>募集起始日期</t>
    <phoneticPr fontId="1" type="noConversion"/>
  </si>
  <si>
    <t>“募集起始日”必须落在申报登记时填报的“募集起始日（从）”和“募集起始日（到）”的区间内</t>
  </si>
  <si>
    <t>募集起始日期应落在申报登记要素中募集起始日期（从）/（到）的区间内.</t>
  </si>
  <si>
    <t>272</t>
  </si>
  <si>
    <t>开放模式</t>
  </si>
  <si>
    <t>选择性必填。单选产品运作模式选择“开放式净值型”和“开放式非净值型”的产品，该要素必填；
产品运作模式选择“封闭式净值型”和“封闭式非净值型”的产品，此要素必须为空</t>
  </si>
  <si>
    <t>条件必填</t>
    <phoneticPr fontId="1" type="noConversion"/>
  </si>
  <si>
    <t>条件必填</t>
    <phoneticPr fontId="1" type="noConversion"/>
  </si>
  <si>
    <t>277</t>
  </si>
  <si>
    <t>规律开放周期</t>
    <phoneticPr fontId="1" type="noConversion"/>
  </si>
  <si>
    <t>产品运作模式选择“封闭式净值型”和“封闭式非净值型”的产品，此要素必须为空</t>
  </si>
  <si>
    <t>281</t>
  </si>
  <si>
    <t>其他规律开放周期(天)</t>
    <phoneticPr fontId="1" type="noConversion"/>
  </si>
  <si>
    <t>286</t>
  </si>
  <si>
    <t>无规律开放说明</t>
    <phoneticPr fontId="1" type="noConversion"/>
  </si>
  <si>
    <t>289</t>
  </si>
  <si>
    <t>首次开放周期起始日</t>
  </si>
  <si>
    <t>选择性必填。产品运作模式选择“开放式净值型”和“开放式非净值型”的产品，该要素必填；
产品运作模式选择“封闭式净值型”和“封闭式非净值型”的产品，此要素必须为空</t>
  </si>
  <si>
    <t>292</t>
  </si>
  <si>
    <t>节假日是否开放</t>
  </si>
  <si>
    <t>294</t>
  </si>
  <si>
    <t>297</t>
  </si>
  <si>
    <t>302</t>
  </si>
  <si>
    <t>开放期业务说明</t>
    <phoneticPr fontId="1" type="noConversion"/>
  </si>
  <si>
    <t>无需处理</t>
    <phoneticPr fontId="1" type="noConversion"/>
  </si>
  <si>
    <t>增加配置</t>
    <phoneticPr fontId="1" type="noConversion"/>
  </si>
  <si>
    <t>暂不处理</t>
    <phoneticPr fontId="1" type="noConversion"/>
  </si>
  <si>
    <t>03,04</t>
    <phoneticPr fontId="1" type="noConversion"/>
  </si>
  <si>
    <t>01,02</t>
    <phoneticPr fontId="1" type="noConversion"/>
  </si>
  <si>
    <t>产品运作模式选择“封闭式净值型”和“封闭式非净值型”的产品,开放模式不能有值；
产品运作模式选择“开放式净值型”和“开放式非净值型”的产品,开放模式不能为空。</t>
    <phoneticPr fontId="1" type="noConversion"/>
  </si>
  <si>
    <t>当产品运作模式选择“封闭式净值型”和“封闭式非净值型”的产品时</t>
    <phoneticPr fontId="1" type="noConversion"/>
  </si>
  <si>
    <t>当产品运作模式选择“开放式净值型”和“开放式非净值型”的产品时</t>
    <phoneticPr fontId="1" type="noConversion"/>
  </si>
  <si>
    <t>ys214A49-6813-5A9E-E050-007F22700006</t>
    <phoneticPr fontId="1" type="noConversion"/>
  </si>
  <si>
    <t>zl214A49-6813-5A9E-E050-007F22700006</t>
  </si>
  <si>
    <t>zl214A49-6813-5A9E-E050-007F22700016</t>
  </si>
  <si>
    <t>zl214A49-6813-5A9E-E050-007F22700026</t>
  </si>
  <si>
    <t>zl214A49-6813-5A9E-E050-007F22700036</t>
  </si>
  <si>
    <t>zl214A49-6813-5A9E-E050-007F22700046</t>
  </si>
  <si>
    <t>zl214A49-6813-5A9E-E050-007F22700076</t>
  </si>
  <si>
    <t>zl214A49-6813-5A9E-E050-007F22700086</t>
  </si>
  <si>
    <t>zl214A49-6813-5A9E-E050-007F22700096</t>
  </si>
  <si>
    <t>zl214A49-6813-5A9E-E050-007F227000A6</t>
  </si>
  <si>
    <t>zl214A49-6813-5A9E-E050-007F227000B6</t>
  </si>
  <si>
    <t>zl214A49-6813-5A9E-E050-007F227000C6</t>
  </si>
  <si>
    <t>zl214A49-6813-5A9E-E050-007F227000D6</t>
  </si>
  <si>
    <t>bussRepFinProductInfoDto.repOperateMode</t>
    <phoneticPr fontId="1" type="noConversion"/>
  </si>
  <si>
    <t>bussRepFinProductInfoDto.repOperateMode</t>
    <phoneticPr fontId="1" type="noConversion"/>
  </si>
  <si>
    <t>bussRepFinProductInfoDto.repOperateMode</t>
    <phoneticPr fontId="1" type="noConversion"/>
  </si>
  <si>
    <t>bussRepFinProductInfoDto.repOperateMode</t>
    <phoneticPr fontId="1" type="noConversion"/>
  </si>
  <si>
    <t>zl214A49-6813-5A9E-E050-006F22700006</t>
  </si>
  <si>
    <t>zl214A49-6813-5A9E-E050-006F22700016</t>
  </si>
  <si>
    <t>zl214A49-6813-5A9E-E050-006F22700026</t>
  </si>
  <si>
    <t>zl214A49-6813-5A9E-E050-006F22700036</t>
  </si>
  <si>
    <t>zl214A49-6813-5A9E-E050-006F22700046</t>
  </si>
  <si>
    <t>zl214A49-6813-5A9E-E050-006F22700076</t>
  </si>
  <si>
    <t>zl214A49-6813-5A9E-E050-006F22700086</t>
  </si>
  <si>
    <t>zl214A49-6813-5A9E-E050-006F22700096</t>
  </si>
  <si>
    <t>zl214A49-6813-5A9E-E050-006F227000A6</t>
  </si>
  <si>
    <t>zl214A49-6813-5A9E-E050-006F227000B6</t>
  </si>
  <si>
    <t>zl214A49-6813-5A9E-E050-006F227000C6</t>
  </si>
  <si>
    <t>zl214A49-6813-5A9E-E050-006F227000D6</t>
  </si>
  <si>
    <t>开放模式不能有值。</t>
    <phoneticPr fontId="1" type="noConversion"/>
  </si>
  <si>
    <t>产品运作模式选择“封闭式净值型”和“封闭式非净值型”的产品,规律开放周期不能有值；</t>
    <phoneticPr fontId="1" type="noConversion"/>
  </si>
  <si>
    <t>产品运作模式选择“封闭式净值型”和“封闭式非净值型”的产品,其他规律开放周期（天）不能有值！</t>
    <phoneticPr fontId="1" type="noConversion"/>
  </si>
  <si>
    <t>产品运作模式选择“封闭式净值型”和“封闭式非净值型”的产品,无规律开放说明不能有值。</t>
    <phoneticPr fontId="1" type="noConversion"/>
  </si>
  <si>
    <t>产品运作模式选择“封闭式净值型”和“封闭式非净值型”的产品,首次开放周期起始日不能有值；
产品运作模式选择“开放式净值型”和“开放式非净值型”的产品,首次开放周期起始日不能为空。</t>
    <phoneticPr fontId="1" type="noConversion"/>
  </si>
  <si>
    <t>产品运作模式选择“封闭式净值型”和“封闭式非净值型”的产品,节假日是否开放不能有值；
产品运作模式选择“开放式净值型”和“开放式非净值型”的产品,节假日是否开放不能为空。</t>
    <phoneticPr fontId="1" type="noConversion"/>
  </si>
  <si>
    <t>节假日是否开放不能为空。</t>
  </si>
  <si>
    <t>产品运作模式选择“封闭式净值型”和“封闭式非净值型”的产品,平均开放次数（年化）不能有值；
产品运作模式选择“开放式净值型”和“开放式非净值型”的产品,平均开放次数（年化）不能为空。</t>
    <phoneticPr fontId="1" type="noConversion"/>
  </si>
  <si>
    <t>平均开放次数（年化）不能为空。</t>
  </si>
  <si>
    <t>产品运作模式选择“封闭式净值型”和“封闭式非净值型”的产品,开放期业务不能有值；
产品运作模式选择“开放式净值型”和“开放式非净值型”的产品,开放期业务不能为空。</t>
    <phoneticPr fontId="1" type="noConversion"/>
  </si>
  <si>
    <t>开放期业务不能为空。</t>
  </si>
  <si>
    <t>产品运作模式选择“封闭式净值型”和“封闭式非净值型”的产品,开放期业务说明不能有值；</t>
    <phoneticPr fontId="1" type="noConversion"/>
  </si>
  <si>
    <t>开放模式不能为空。</t>
    <phoneticPr fontId="1" type="noConversion"/>
  </si>
  <si>
    <t>开放期业务不能有值。</t>
    <phoneticPr fontId="1" type="noConversion"/>
  </si>
  <si>
    <t>开放期业务说明不能有值。</t>
    <phoneticPr fontId="1" type="noConversion"/>
  </si>
  <si>
    <t>规律开放周期不能有值。</t>
    <phoneticPr fontId="1" type="noConversion"/>
  </si>
  <si>
    <t>他规律开放周期（天）不能有值。</t>
    <phoneticPr fontId="1" type="noConversion"/>
  </si>
  <si>
    <t>无规律开放说明不能有值。</t>
    <phoneticPr fontId="1" type="noConversion"/>
  </si>
  <si>
    <t>节假日是否开放不能有值。</t>
    <phoneticPr fontId="1" type="noConversion"/>
  </si>
  <si>
    <t>平均开放次数（年化）不能有值。</t>
    <phoneticPr fontId="1" type="noConversion"/>
  </si>
  <si>
    <t>FinNetValueProductBuild002</t>
    <phoneticPr fontId="1" type="noConversion"/>
  </si>
  <si>
    <t>bussRepFinProductInfoDto.repOpenMode</t>
    <phoneticPr fontId="1" type="noConversion"/>
  </si>
  <si>
    <t>bussRepFinProductInfoDto.repOpenMode</t>
    <phoneticPr fontId="1" type="noConversion"/>
  </si>
  <si>
    <t>bussRepFinProductInfoDto.repOpenCircleDays</t>
    <phoneticPr fontId="1" type="noConversion"/>
  </si>
  <si>
    <t>bussRepFinProductInfoDto.repRuleComment</t>
    <phoneticPr fontId="1" type="noConversion"/>
  </si>
  <si>
    <t>bussFinProductOpenPlanDto.hdayOpenFlag</t>
    <phoneticPr fontId="1" type="noConversion"/>
  </si>
  <si>
    <t>bussRepFinProductInfoDto.repAvgOpenCount</t>
    <phoneticPr fontId="1" type="noConversion"/>
  </si>
  <si>
    <t>bussRepFinProductInfoDto.repOpenBuss</t>
    <phoneticPr fontId="1" type="noConversion"/>
  </si>
  <si>
    <t>bussRepFinProductInfoDto.repOpenBuss</t>
    <phoneticPr fontId="1" type="noConversion"/>
  </si>
  <si>
    <t>bussFinProductOpenPlanDto.hdayOpenFlag</t>
    <phoneticPr fontId="1" type="noConversion"/>
  </si>
  <si>
    <t>firstSaleVdate</t>
    <phoneticPr fontId="1" type="noConversion"/>
  </si>
  <si>
    <t>D</t>
    <phoneticPr fontId="1" type="noConversion"/>
  </si>
  <si>
    <t>D</t>
    <phoneticPr fontId="1" type="noConversion"/>
  </si>
  <si>
    <t>D</t>
    <phoneticPr fontId="1" type="noConversion"/>
  </si>
  <si>
    <t>D</t>
    <phoneticPr fontId="1" type="noConversion"/>
  </si>
  <si>
    <t>D</t>
    <phoneticPr fontId="1" type="noConversion"/>
  </si>
  <si>
    <t>开放期业务不在值域范围内</t>
    <phoneticPr fontId="1" type="noConversion"/>
  </si>
  <si>
    <t>产品起始日期不能为空</t>
    <phoneticPr fontId="1" type="noConversion"/>
  </si>
  <si>
    <t>平均开放次数（年化）必须为n（5,2）格式。</t>
    <phoneticPr fontId="1" type="noConversion"/>
  </si>
  <si>
    <t>募集结束日期必须大于募集起始日期</t>
    <phoneticPr fontId="1" type="noConversion"/>
  </si>
  <si>
    <t>D</t>
    <phoneticPr fontId="1" type="noConversion"/>
  </si>
  <si>
    <t>D</t>
    <phoneticPr fontId="1" type="noConversion"/>
  </si>
  <si>
    <t>D</t>
    <phoneticPr fontId="1" type="noConversion"/>
  </si>
  <si>
    <t>E</t>
    <phoneticPr fontId="1" type="noConversion"/>
  </si>
  <si>
    <t>E</t>
    <phoneticPr fontId="1" type="noConversion"/>
  </si>
  <si>
    <t>ys214A49-6813-5A9E-E050-007F22700011</t>
    <phoneticPr fontId="1" type="noConversion"/>
  </si>
  <si>
    <t>ys214A49-6813-5A9E-E050-007F22700005</t>
    <phoneticPr fontId="1" type="noConversion"/>
  </si>
  <si>
    <t>ys214A49-6813-5A9E-E050-007F22700006</t>
    <phoneticPr fontId="1" type="noConversion"/>
  </si>
  <si>
    <t>873E4A49-6810-5A9E-E050-007F01006A37</t>
    <phoneticPr fontId="1" type="noConversion"/>
  </si>
  <si>
    <t>ys8E4A49-6813-5A9E-E050-007F21706A81</t>
    <phoneticPr fontId="1" type="noConversion"/>
  </si>
  <si>
    <t>ys8E4A49-6813-5A9E-E050-007F21706A82</t>
    <phoneticPr fontId="1" type="noConversion"/>
  </si>
  <si>
    <t>873E4A49-6810-5A9E-E050-007F01006A38</t>
    <phoneticPr fontId="1" type="noConversion"/>
  </si>
  <si>
    <t>ys214A49-6813-5A9E-E050-007F22700007</t>
    <phoneticPr fontId="1" type="noConversion"/>
  </si>
  <si>
    <t>ys8E4A49-6813-5A9E-E050-007F21706A83</t>
    <phoneticPr fontId="1" type="noConversion"/>
  </si>
  <si>
    <t>ys214A49-6813-5A9E-E050-007F22700008</t>
    <phoneticPr fontId="1" type="noConversion"/>
  </si>
  <si>
    <t>ys8E4A49-6813-5A9E-E050-007F21706A72</t>
    <phoneticPr fontId="1" type="noConversion"/>
  </si>
  <si>
    <t>873E4A49-6810-5A9E-E050-007F01006A23</t>
    <phoneticPr fontId="1" type="noConversion"/>
  </si>
  <si>
    <t>ys8E4A49-6813-5A9E-E050-007F21706A73</t>
    <phoneticPr fontId="1" type="noConversion"/>
  </si>
  <si>
    <t>873E4A49-6810-5A9E-E050-007F01006A27</t>
    <phoneticPr fontId="1" type="noConversion"/>
  </si>
  <si>
    <t>ys8E4A49-6813-5A9E-E050-007F21706A78</t>
    <phoneticPr fontId="1" type="noConversion"/>
  </si>
  <si>
    <t>ys214A49-6813-5A9E-E050-007F22700029</t>
    <phoneticPr fontId="1" type="noConversion"/>
  </si>
  <si>
    <t>ys214A49-6813-5A9E-E050-007F22700030</t>
    <phoneticPr fontId="1" type="noConversion"/>
  </si>
  <si>
    <t>ys214A49-6813-5A9E-E050-007F22700032</t>
    <phoneticPr fontId="1" type="noConversion"/>
  </si>
  <si>
    <t>ys214A49-6813-5A9E-E050-007F22700001</t>
    <phoneticPr fontId="1" type="noConversion"/>
  </si>
  <si>
    <t>ys8E4A49-6813-5A9E-E050-007F21706A74</t>
    <phoneticPr fontId="1" type="noConversion"/>
  </si>
  <si>
    <t>ys154A49-6813-5A9E-E050-007F22006A65</t>
    <phoneticPr fontId="1" type="noConversion"/>
  </si>
  <si>
    <t>ys214A49-6813-5A9E-E050-007F22700002</t>
    <phoneticPr fontId="1" type="noConversion"/>
  </si>
  <si>
    <t>ys214A49-6813-5A9E-E050-007F22700004</t>
    <phoneticPr fontId="1" type="noConversion"/>
  </si>
  <si>
    <t>ys214A49-6813-5A9E-E050-007F22700003</t>
    <phoneticPr fontId="1" type="noConversion"/>
  </si>
  <si>
    <t>ys8E4A49-6813-5A9E-E050-007F21706A70</t>
    <phoneticPr fontId="1" type="noConversion"/>
  </si>
  <si>
    <t>ys8E4A49-6813-5A9E-E050-007F21706A71</t>
    <phoneticPr fontId="1" type="noConversion"/>
  </si>
  <si>
    <t>ys214A49-6813-5A9E-E050-007F22700024</t>
    <phoneticPr fontId="1" type="noConversion"/>
  </si>
  <si>
    <t>ys214A49-6813-5A9E-E050-007F22700025</t>
    <phoneticPr fontId="1" type="noConversion"/>
  </si>
  <si>
    <t>ys214A49-6813-5A9E-E050-007F22700016</t>
    <phoneticPr fontId="1" type="noConversion"/>
  </si>
  <si>
    <t>873E4A49-6810-5A9E-E050-007F01006A47</t>
    <phoneticPr fontId="1" type="noConversion"/>
  </si>
  <si>
    <t>ys214A49-6813-5A9E-E050-007F22700017</t>
    <phoneticPr fontId="1" type="noConversion"/>
  </si>
  <si>
    <t>ys214A49-6813-5A9E-E050-007F22700028</t>
    <phoneticPr fontId="1" type="noConversion"/>
  </si>
  <si>
    <t>ys214A49-6813-5A9E-E050-007F22700015</t>
    <phoneticPr fontId="1" type="noConversion"/>
  </si>
  <si>
    <t>873E4A49-6810-5A9E-E050-007F01006A26</t>
    <phoneticPr fontId="1" type="noConversion"/>
  </si>
  <si>
    <t>ys8E4A49-6813-5A9E-E050-007F21706A77</t>
    <phoneticPr fontId="1" type="noConversion"/>
  </si>
  <si>
    <t>ys8E4A49-6813-5A9E-E050-007F21706A79</t>
    <phoneticPr fontId="1" type="noConversion"/>
  </si>
  <si>
    <t>ys214A49-6813-5A9E-E050-007F22700009</t>
    <phoneticPr fontId="1" type="noConversion"/>
  </si>
  <si>
    <t>ya214A49-6813-5A9E-E050-007F22700013</t>
    <phoneticPr fontId="1" type="noConversion"/>
  </si>
  <si>
    <t>ys214A49-6813-5A9E-E050-007F22700013</t>
    <phoneticPr fontId="1" type="noConversion"/>
  </si>
  <si>
    <t>yb214A49-6813-5A9E-E050-007F22700013</t>
    <phoneticPr fontId="1" type="noConversion"/>
  </si>
  <si>
    <t>ys8E4A49-6813-5A9E-E050-007F21706A67</t>
    <phoneticPr fontId="1" type="noConversion"/>
  </si>
  <si>
    <t>ys8E4A49-6813-5A9E-E050-007F21706A75</t>
    <phoneticPr fontId="1" type="noConversion"/>
  </si>
  <si>
    <t>ys3E4A49-6813-5A9E-E050-007F01006A66</t>
    <phoneticPr fontId="1" type="noConversion"/>
  </si>
  <si>
    <t>ya3E4A49-6813-5A9E-E050-007F01006A66</t>
    <phoneticPr fontId="1" type="noConversion"/>
  </si>
  <si>
    <t>zl214A49-6813-5A9E-E050-006F22700006</t>
    <phoneticPr fontId="1" type="noConversion"/>
  </si>
  <si>
    <t>zl214A49-6813-5A9E-E050-006F22700016</t>
    <phoneticPr fontId="1" type="noConversion"/>
  </si>
  <si>
    <t>zl214A49-6813-5A9E-E050-006F22700026</t>
    <phoneticPr fontId="1" type="noConversion"/>
  </si>
  <si>
    <t>zl214A49-6813-5A9E-E050-006F22700036</t>
    <phoneticPr fontId="1" type="noConversion"/>
  </si>
  <si>
    <t>zl214A49-6813-5A9E-E050-006F22700046</t>
    <phoneticPr fontId="1" type="noConversion"/>
  </si>
  <si>
    <t>zl214A49-6813-5A9E-E050-006F22700076</t>
    <phoneticPr fontId="1" type="noConversion"/>
  </si>
  <si>
    <t>zl214A49-6813-5A9E-E050-006F22700086</t>
    <phoneticPr fontId="1" type="noConversion"/>
  </si>
  <si>
    <t>zl214A49-6813-5A9E-E050-006F22700096</t>
    <phoneticPr fontId="1" type="noConversion"/>
  </si>
  <si>
    <t>zl214A49-6813-5A9E-E050-006F227000A6</t>
    <phoneticPr fontId="1" type="noConversion"/>
  </si>
  <si>
    <t>zl214A49-6813-5A9E-E050-006F227000B6</t>
    <phoneticPr fontId="1" type="noConversion"/>
  </si>
  <si>
    <t>zl214A49-6813-5A9E-E050-006F227000C6</t>
    <phoneticPr fontId="1" type="noConversion"/>
  </si>
  <si>
    <t>zl214A49-6813-5A9E-E050-006F227000D6</t>
    <phoneticPr fontId="1" type="noConversion"/>
  </si>
  <si>
    <t>873E4A49-6810-5A9E-E050-007F01006A37</t>
    <phoneticPr fontId="1" type="noConversion"/>
  </si>
  <si>
    <t>ys214A49-6813-5A9E-E050-007F22700003</t>
    <phoneticPr fontId="1" type="noConversion"/>
  </si>
  <si>
    <t>bussRepFinProductInfoDto.repLowYield</t>
    <phoneticPr fontId="1" type="noConversion"/>
  </si>
  <si>
    <t>firstSaleMdate</t>
    <phoneticPr fontId="1" type="noConversion"/>
  </si>
  <si>
    <t>firstSaleVdate</t>
    <phoneticPr fontId="1" type="noConversion"/>
  </si>
  <si>
    <t>ys8E4A49-6813-5A9E-E050-007F21706A80</t>
    <phoneticPr fontId="1" type="noConversion"/>
  </si>
  <si>
    <t>E</t>
    <phoneticPr fontId="1" type="noConversion"/>
  </si>
  <si>
    <t>D</t>
    <phoneticPr fontId="1" type="noConversion"/>
  </si>
  <si>
    <t>D</t>
    <phoneticPr fontId="1" type="noConversion"/>
  </si>
  <si>
    <t>ys8E4A49-6813-5A9E-E050-007F21706A76</t>
    <phoneticPr fontId="1" type="noConversion"/>
  </si>
  <si>
    <t>E</t>
    <phoneticPr fontId="1" type="noConversion"/>
  </si>
  <si>
    <t>E</t>
    <phoneticPr fontId="1" type="noConversion"/>
  </si>
  <si>
    <t>CHECKCLASS</t>
    <phoneticPr fontId="1" type="noConversion"/>
  </si>
  <si>
    <t>com.joyintech.tams.invest.common.ChbBaseCheckLib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</si>
</sst>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justify" vertical="center"/>
    </xf>
    <xf numFmtId="0" fontId="5" fillId="2" borderId="1" xfId="0" quotePrefix="1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justify" vertical="center"/>
    </xf>
    <xf numFmtId="0" fontId="5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3" borderId="0" xfId="0" applyFill="1"/>
    <xf numFmtId="0" fontId="0" fillId="4" borderId="1" xfId="0" applyFill="1" applyBorder="1" applyAlignment="1">
      <alignment vertical="center"/>
    </xf>
    <xf numFmtId="0" fontId="0" fillId="4" borderId="1" xfId="0" applyFill="1" applyBorder="1"/>
    <xf numFmtId="0" fontId="0" fillId="4" borderId="0" xfId="0" applyFill="1"/>
    <xf numFmtId="0" fontId="0" fillId="5" borderId="1" xfId="0" applyFill="1" applyBorder="1" applyAlignment="1">
      <alignment vertical="center"/>
    </xf>
    <xf numFmtId="0" fontId="0" fillId="5" borderId="1" xfId="0" applyFill="1" applyBorder="1"/>
    <xf numFmtId="0" fontId="0" fillId="5" borderId="0" xfId="0" applyFill="1"/>
    <xf numFmtId="0" fontId="0" fillId="6" borderId="1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tabSelected="1" workbookViewId="0">
      <selection activeCell="H74" sqref="H74"/>
    </sheetView>
  </sheetViews>
  <sheetFormatPr defaultRowHeight="13.5" x14ac:dyDescent="0.15"/>
  <cols>
    <col min="1" max="1" width="40.5" style="1" bestFit="1" customWidth="1"/>
    <col min="2" max="2" width="23.375" style="1" customWidth="1"/>
    <col min="3" max="3" width="33.875" style="1" bestFit="1" customWidth="1"/>
    <col min="4" max="4" width="30.625" style="1" customWidth="1"/>
    <col min="5" max="5" width="21.625" style="1" bestFit="1" customWidth="1"/>
    <col min="6" max="6" width="30.625" style="1" customWidth="1"/>
    <col min="7" max="7" width="9.5" style="1" bestFit="1" customWidth="1"/>
    <col min="8" max="8" width="35.75" style="1" customWidth="1"/>
    <col min="9" max="9" width="13.125" style="1" customWidth="1"/>
    <col min="10" max="10" width="13.25" customWidth="1"/>
    <col min="11" max="11" width="18.125" customWidth="1"/>
  </cols>
  <sheetData>
    <row r="1" spans="1:12" s="3" customForma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210</v>
      </c>
      <c r="K1" s="4" t="s">
        <v>452</v>
      </c>
      <c r="L1" s="18" t="s">
        <v>226</v>
      </c>
    </row>
    <row r="2" spans="1:12" s="21" customFormat="1" x14ac:dyDescent="0.15">
      <c r="A2" s="19" t="s">
        <v>384</v>
      </c>
      <c r="B2" s="19" t="s">
        <v>224</v>
      </c>
      <c r="C2" s="19" t="s">
        <v>16</v>
      </c>
      <c r="D2" s="19" t="s">
        <v>35</v>
      </c>
      <c r="E2" s="19" t="s">
        <v>23</v>
      </c>
      <c r="F2" s="19" t="s">
        <v>244</v>
      </c>
      <c r="G2" s="19" t="s">
        <v>14</v>
      </c>
      <c r="H2" s="19" t="s">
        <v>243</v>
      </c>
      <c r="I2" s="19" t="s">
        <v>11</v>
      </c>
      <c r="J2" s="19" t="s">
        <v>368</v>
      </c>
      <c r="K2" s="19" t="s">
        <v>453</v>
      </c>
      <c r="L2" s="20" t="str">
        <f>CONCATENATE("insert into CHB_DATACHECK_RULE_INV values ('",A2,"','",B2,"','",C2,"','",J2,"','",E2,"','",F2,"','",G2,"','",H2,"','",I2,"','",K2,"');")</f>
        <v>insert into CHB_DATACHECK_RULE_INV values ('ys214A49-6813-5A9E-E050-007F22700011','FinNetValueProductBuild002','inDatadict','bussFinProductOpenPlanDto.hdayOpenFlag','==','YES_OR_NO','Y','节假日是否开放不在值域范围内','E','com.joyintech.tams.invest.common.ChbBaseCheckLib');</v>
      </c>
    </row>
    <row r="3" spans="1:12" s="21" customFormat="1" x14ac:dyDescent="0.15">
      <c r="A3" s="19" t="s">
        <v>385</v>
      </c>
      <c r="B3" s="19" t="s">
        <v>224</v>
      </c>
      <c r="C3" s="19" t="s">
        <v>9</v>
      </c>
      <c r="D3" s="19" t="s">
        <v>38</v>
      </c>
      <c r="E3" s="19"/>
      <c r="F3" s="19"/>
      <c r="G3" s="19" t="s">
        <v>10</v>
      </c>
      <c r="H3" s="19" t="s">
        <v>39</v>
      </c>
      <c r="I3" s="19" t="s">
        <v>370</v>
      </c>
      <c r="J3" s="19" t="s">
        <v>230</v>
      </c>
      <c r="K3" s="19" t="s">
        <v>453</v>
      </c>
      <c r="L3" s="20" t="str">
        <f t="shared" ref="L3:L39" si="0">CONCATENATE("insert into CHB_DATACHECK_RULE_INV values ('",A3,"','",B3,"','",C3,"','",J3,"','",E3,"','",F3,"','",G3,"','",H3,"','",I3,"','",K3,"');")</f>
        <v>insert into CHB_DATACHECK_RULE_INV values ('ys214A49-6813-5A9E-E050-007F22700005','FinNetValueProductBuild002','isNotEmpty','bussRepFinProductInfoDto.repOpenCircleDays','','','N','其他规律开放周期(天)要素不可为空。','D','com.joyintech.tams.invest.common.ChbBaseCheckLib');</v>
      </c>
    </row>
    <row r="4" spans="1:12" s="21" customFormat="1" x14ac:dyDescent="0.15">
      <c r="A4" s="19" t="s">
        <v>386</v>
      </c>
      <c r="B4" s="19" t="s">
        <v>224</v>
      </c>
      <c r="C4" s="19" t="s">
        <v>12</v>
      </c>
      <c r="D4" s="19" t="s">
        <v>38</v>
      </c>
      <c r="E4" s="19" t="s">
        <v>23</v>
      </c>
      <c r="F4" s="19" t="s">
        <v>21</v>
      </c>
      <c r="G4" s="19" t="s">
        <v>14</v>
      </c>
      <c r="H4" s="19" t="s">
        <v>41</v>
      </c>
      <c r="I4" s="19" t="s">
        <v>373</v>
      </c>
      <c r="J4" s="19" t="s">
        <v>230</v>
      </c>
      <c r="K4" s="19" t="s">
        <v>453</v>
      </c>
      <c r="L4" s="20" t="str">
        <f t="shared" si="0"/>
        <v>insert into CHB_DATACHECK_RULE_INV values ('ys214A49-6813-5A9E-E050-007F22700006','FinNetValueProductBuild002','lessThanCharLength','bussRepFinProductInfoDto.repOpenCircleDays','==','0','Y','其他规律开放周期(天)要素必须为空。','D','com.joyintech.tams.invest.common.ChbBaseCheckLib');</v>
      </c>
    </row>
    <row r="5" spans="1:12" s="24" customFormat="1" x14ac:dyDescent="0.15">
      <c r="A5" s="22" t="s">
        <v>387</v>
      </c>
      <c r="B5" s="22" t="s">
        <v>224</v>
      </c>
      <c r="C5" s="22" t="s">
        <v>12</v>
      </c>
      <c r="D5" s="22" t="s">
        <v>38</v>
      </c>
      <c r="E5" s="22" t="s">
        <v>23</v>
      </c>
      <c r="F5" s="22" t="s">
        <v>21</v>
      </c>
      <c r="G5" s="22" t="s">
        <v>14</v>
      </c>
      <c r="H5" s="22" t="s">
        <v>41</v>
      </c>
      <c r="I5" s="22" t="s">
        <v>11</v>
      </c>
      <c r="J5" s="22" t="s">
        <v>230</v>
      </c>
      <c r="K5" s="19" t="s">
        <v>453</v>
      </c>
      <c r="L5" s="20" t="str">
        <f t="shared" si="0"/>
        <v>insert into CHB_DATACHECK_RULE_INV values ('873E4A49-6810-5A9E-E050-007F01006A37','FinNetValueProductBuild002','lessThanCharLength','bussRepFinProductInfoDto.repOpenCircleDays','==','0','Y','其他规律开放周期(天)要素必须为空。','E','com.joyintech.tams.invest.common.ChbBaseCheckLib');</v>
      </c>
    </row>
    <row r="6" spans="1:12" s="24" customFormat="1" x14ac:dyDescent="0.15">
      <c r="A6" s="22" t="s">
        <v>388</v>
      </c>
      <c r="B6" s="22" t="s">
        <v>224</v>
      </c>
      <c r="C6" s="22" t="s">
        <v>27</v>
      </c>
      <c r="D6" s="22" t="s">
        <v>38</v>
      </c>
      <c r="E6" s="22"/>
      <c r="F6" s="22" t="s">
        <v>43</v>
      </c>
      <c r="G6" s="22" t="s">
        <v>14</v>
      </c>
      <c r="H6" s="22" t="s">
        <v>44</v>
      </c>
      <c r="I6" s="22" t="s">
        <v>382</v>
      </c>
      <c r="J6" s="22" t="s">
        <v>230</v>
      </c>
      <c r="K6" s="19" t="s">
        <v>453</v>
      </c>
      <c r="L6" s="20" t="str">
        <f t="shared" si="0"/>
        <v>insert into CHB_DATACHECK_RULE_INV values ('ys8E4A49-6813-5A9E-E050-007F21706A81','FinNetValueProductBuild002','isNumber','bussRepFinProductInfoDto.repOpenCircleDays','','4,0','Y','其他规律开放周期(天)必须为n..4格式。','E','com.joyintech.tams.invest.common.ChbBaseCheckLib');</v>
      </c>
    </row>
    <row r="7" spans="1:12" s="24" customFormat="1" x14ac:dyDescent="0.15">
      <c r="A7" s="22" t="s">
        <v>389</v>
      </c>
      <c r="B7" s="22" t="s">
        <v>224</v>
      </c>
      <c r="C7" s="22" t="s">
        <v>19</v>
      </c>
      <c r="D7" s="22" t="s">
        <v>38</v>
      </c>
      <c r="E7" s="22" t="s">
        <v>28</v>
      </c>
      <c r="F7" s="22" t="s">
        <v>21</v>
      </c>
      <c r="G7" s="22" t="s">
        <v>14</v>
      </c>
      <c r="H7" s="22" t="s">
        <v>45</v>
      </c>
      <c r="I7" s="22" t="s">
        <v>11</v>
      </c>
      <c r="J7" s="22" t="s">
        <v>230</v>
      </c>
      <c r="K7" s="19" t="s">
        <v>453</v>
      </c>
      <c r="L7" s="20" t="str">
        <f t="shared" si="0"/>
        <v>insert into CHB_DATACHECK_RULE_INV values ('ys8E4A49-6813-5A9E-E050-007F21706A82','FinNetValueProductBuild002','compareValueAsNumber','bussRepFinProductInfoDto.repOpenCircleDays','&gt;','0','Y','其他规律开放周期(天)必须大于0。','E','com.joyintech.tams.invest.common.ChbBaseCheckLib');</v>
      </c>
    </row>
    <row r="8" spans="1:12" s="24" customFormat="1" x14ac:dyDescent="0.15">
      <c r="A8" s="22" t="s">
        <v>390</v>
      </c>
      <c r="B8" s="22" t="s">
        <v>224</v>
      </c>
      <c r="C8" s="22" t="s">
        <v>9</v>
      </c>
      <c r="D8" s="22" t="s">
        <v>214</v>
      </c>
      <c r="E8" s="22"/>
      <c r="F8" s="22"/>
      <c r="G8" s="22" t="s">
        <v>10</v>
      </c>
      <c r="H8" s="22" t="s">
        <v>48</v>
      </c>
      <c r="I8" s="22" t="s">
        <v>370</v>
      </c>
      <c r="J8" s="22" t="s">
        <v>231</v>
      </c>
      <c r="K8" s="19" t="s">
        <v>453</v>
      </c>
      <c r="L8" s="20" t="str">
        <f t="shared" si="0"/>
        <v>insert into CHB_DATACHECK_RULE_INV values ('873E4A49-6810-5A9E-E050-007F01006A38','FinNetValueProductBuild002','isNotEmpty','bussRepFinProductInfoDto.repRuleComment','','','N','无规律开放说明不可为空','D','com.joyintech.tams.invest.common.ChbBaseCheckLib');</v>
      </c>
    </row>
    <row r="9" spans="1:12" s="24" customFormat="1" x14ac:dyDescent="0.15">
      <c r="A9" s="22" t="s">
        <v>391</v>
      </c>
      <c r="B9" s="22" t="s">
        <v>224</v>
      </c>
      <c r="C9" s="22" t="s">
        <v>12</v>
      </c>
      <c r="D9" s="22" t="s">
        <v>47</v>
      </c>
      <c r="E9" s="22" t="s">
        <v>23</v>
      </c>
      <c r="F9" s="22" t="s">
        <v>21</v>
      </c>
      <c r="G9" s="22" t="s">
        <v>14</v>
      </c>
      <c r="H9" s="22" t="s">
        <v>50</v>
      </c>
      <c r="I9" s="22" t="s">
        <v>370</v>
      </c>
      <c r="J9" s="22" t="s">
        <v>231</v>
      </c>
      <c r="K9" s="19" t="s">
        <v>453</v>
      </c>
      <c r="L9" s="20" t="str">
        <f t="shared" si="0"/>
        <v>insert into CHB_DATACHECK_RULE_INV values ('ys214A49-6813-5A9E-E050-007F22700007','FinNetValueProductBuild002','lessThanCharLength','bussRepFinProductInfoDto.repRuleComment','==','0','Y','无规律开放说明必须为空','D','com.joyintech.tams.invest.common.ChbBaseCheckLib');</v>
      </c>
    </row>
    <row r="10" spans="1:12" s="24" customFormat="1" x14ac:dyDescent="0.15">
      <c r="A10" s="22" t="s">
        <v>392</v>
      </c>
      <c r="B10" s="22" t="s">
        <v>224</v>
      </c>
      <c r="C10" s="22" t="s">
        <v>15</v>
      </c>
      <c r="D10" s="22" t="s">
        <v>47</v>
      </c>
      <c r="E10" s="22"/>
      <c r="F10" s="22" t="s">
        <v>26</v>
      </c>
      <c r="G10" s="22" t="s">
        <v>14</v>
      </c>
      <c r="H10" s="22" t="s">
        <v>51</v>
      </c>
      <c r="I10" s="22" t="s">
        <v>11</v>
      </c>
      <c r="J10" s="22" t="s">
        <v>231</v>
      </c>
      <c r="K10" s="19" t="s">
        <v>453</v>
      </c>
      <c r="L10" s="20" t="str">
        <f t="shared" si="0"/>
        <v>insert into CHB_DATACHECK_RULE_INV values ('ys8E4A49-6813-5A9E-E050-007F21706A83','FinNetValueProductBuild002','isCustomizedStringForWhitelist','bussRepFinProductInfoDto.repRuleComment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无规律开放说明必须填写白名单中的文字。','E','com.joyintech.tams.invest.common.ChbBaseCheckLib');</v>
      </c>
    </row>
    <row r="11" spans="1:12" s="24" customFormat="1" x14ac:dyDescent="0.15">
      <c r="A11" s="22" t="s">
        <v>393</v>
      </c>
      <c r="B11" s="22" t="s">
        <v>224</v>
      </c>
      <c r="C11" s="22" t="s">
        <v>12</v>
      </c>
      <c r="D11" s="22" t="s">
        <v>47</v>
      </c>
      <c r="E11" s="22"/>
      <c r="F11" s="22" t="s">
        <v>34</v>
      </c>
      <c r="G11" s="22" t="s">
        <v>14</v>
      </c>
      <c r="H11" s="22" t="s">
        <v>53</v>
      </c>
      <c r="I11" s="28" t="s">
        <v>239</v>
      </c>
      <c r="J11" s="22" t="s">
        <v>231</v>
      </c>
      <c r="K11" s="19" t="s">
        <v>453</v>
      </c>
      <c r="L11" s="20" t="str">
        <f t="shared" si="0"/>
        <v>insert into CHB_DATACHECK_RULE_INV values ('ys214A49-6813-5A9E-E050-007F22700008','FinNetValueProductBuild002','lessThanCharLength','bussRepFinProductInfoDto.repRuleComment','','257','Y','无规律开放说明过长。','E','com.joyintech.tams.invest.common.ChbBaseCheckLib');</v>
      </c>
    </row>
    <row r="12" spans="1:12" s="24" customFormat="1" x14ac:dyDescent="0.15">
      <c r="A12" s="22" t="s">
        <v>394</v>
      </c>
      <c r="B12" s="22" t="s">
        <v>224</v>
      </c>
      <c r="C12" s="22" t="s">
        <v>9</v>
      </c>
      <c r="D12" s="22" t="s">
        <v>215</v>
      </c>
      <c r="E12" s="22"/>
      <c r="F12" s="22"/>
      <c r="G12" s="22" t="s">
        <v>10</v>
      </c>
      <c r="H12" s="22" t="s">
        <v>55</v>
      </c>
      <c r="I12" s="22" t="s">
        <v>372</v>
      </c>
      <c r="J12" s="22" t="s">
        <v>216</v>
      </c>
      <c r="K12" s="19" t="s">
        <v>453</v>
      </c>
      <c r="L12" s="20" t="str">
        <f t="shared" si="0"/>
        <v>insert into CHB_DATACHECK_RULE_INV values ('ys8E4A49-6813-5A9E-E050-007F21706A72','FinNetValueProductBuild002','isNotEmpty','finprodMarketId','','','N','理财产品代码要素不可为空。','D','com.joyintech.tams.invest.common.ChbBaseCheckLib');</v>
      </c>
    </row>
    <row r="13" spans="1:12" s="24" customFormat="1" x14ac:dyDescent="0.15">
      <c r="A13" s="22" t="s">
        <v>395</v>
      </c>
      <c r="B13" s="22" t="s">
        <v>224</v>
      </c>
      <c r="C13" s="22" t="s">
        <v>12</v>
      </c>
      <c r="D13" s="22" t="s">
        <v>54</v>
      </c>
      <c r="E13" s="22"/>
      <c r="F13" s="22" t="s">
        <v>13</v>
      </c>
      <c r="G13" s="22" t="s">
        <v>14</v>
      </c>
      <c r="H13" s="22" t="s">
        <v>56</v>
      </c>
      <c r="I13" s="28" t="s">
        <v>239</v>
      </c>
      <c r="J13" s="22" t="s">
        <v>216</v>
      </c>
      <c r="K13" s="19" t="s">
        <v>453</v>
      </c>
      <c r="L13" s="20" t="str">
        <f t="shared" si="0"/>
        <v>insert into CHB_DATACHECK_RULE_INV values ('873E4A49-6810-5A9E-E050-007F01006A23','FinNetValueProductBuild002','lessThanCharLength','finprodMarketId','','101','Y','理财产品代码过长','E','com.joyintech.tams.invest.common.ChbBaseCheckLib');</v>
      </c>
    </row>
    <row r="14" spans="1:12" s="24" customFormat="1" x14ac:dyDescent="0.15">
      <c r="A14" s="22" t="s">
        <v>396</v>
      </c>
      <c r="B14" s="22" t="s">
        <v>224</v>
      </c>
      <c r="C14" s="22" t="s">
        <v>15</v>
      </c>
      <c r="D14" s="22" t="s">
        <v>54</v>
      </c>
      <c r="E14" s="22"/>
      <c r="F14" s="22" t="s">
        <v>26</v>
      </c>
      <c r="G14" s="22" t="s">
        <v>14</v>
      </c>
      <c r="H14" s="22" t="s">
        <v>57</v>
      </c>
      <c r="I14" s="28" t="s">
        <v>239</v>
      </c>
      <c r="J14" s="22" t="s">
        <v>216</v>
      </c>
      <c r="K14" s="19" t="s">
        <v>453</v>
      </c>
      <c r="L14" s="20" t="str">
        <f t="shared" si="0"/>
        <v>insert into CHB_DATACHECK_RULE_INV values ('ys8E4A49-6813-5A9E-E050-007F21706A73','FinNetValueProductBuild002','isCustomizedStringForWhitelist','finprodMarketId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理财产品代码必须填写白名单中的文字。','E','com.joyintech.tams.invest.common.ChbBaseCheckLib');</v>
      </c>
    </row>
    <row r="15" spans="1:12" s="24" customFormat="1" x14ac:dyDescent="0.15">
      <c r="A15" s="22" t="s">
        <v>397</v>
      </c>
      <c r="B15" s="22" t="s">
        <v>359</v>
      </c>
      <c r="C15" s="22" t="s">
        <v>9</v>
      </c>
      <c r="D15" s="22" t="s">
        <v>58</v>
      </c>
      <c r="E15" s="22"/>
      <c r="F15" s="22"/>
      <c r="G15" s="22" t="s">
        <v>10</v>
      </c>
      <c r="H15" s="22" t="s">
        <v>59</v>
      </c>
      <c r="I15" s="22" t="s">
        <v>371</v>
      </c>
      <c r="J15" s="22" t="s">
        <v>217</v>
      </c>
      <c r="K15" s="19" t="s">
        <v>453</v>
      </c>
      <c r="L15" s="20" t="str">
        <f t="shared" si="0"/>
        <v>insert into CHB_DATACHECK_RULE_INV values ('873E4A49-6810-5A9E-E050-007F01006A27','FinNetValueProductBuild002','isNotEmpty','mdate','','','N','产品终止日期不能为空','D','com.joyintech.tams.invest.common.ChbBaseCheckLib');</v>
      </c>
    </row>
    <row r="16" spans="1:12" s="27" customFormat="1" x14ac:dyDescent="0.15">
      <c r="A16" s="25" t="s">
        <v>398</v>
      </c>
      <c r="B16" s="25" t="s">
        <v>224</v>
      </c>
      <c r="C16" s="25" t="s">
        <v>22</v>
      </c>
      <c r="D16" s="25" t="s">
        <v>58</v>
      </c>
      <c r="E16" s="25"/>
      <c r="F16" s="25" t="s">
        <v>24</v>
      </c>
      <c r="G16" s="25" t="s">
        <v>14</v>
      </c>
      <c r="H16" s="25" t="s">
        <v>60</v>
      </c>
      <c r="I16" s="25" t="s">
        <v>446</v>
      </c>
      <c r="J16" s="25" t="s">
        <v>217</v>
      </c>
      <c r="K16" s="19" t="s">
        <v>453</v>
      </c>
      <c r="L16" s="20" t="str">
        <f t="shared" si="0"/>
        <v>insert into CHB_DATACHECK_RULE_INV values ('ys8E4A49-6813-5A9E-E050-007F21706A78','FinNetValueProductBuild002','isValidDate','mdate','','yyyy-MM-dd','Y','产品终止日期必须为日期格式（YYYY-MM-DD）且是正确的日期。','E','com.joyintech.tams.invest.common.ChbBaseCheckLib');</v>
      </c>
    </row>
    <row r="17" spans="1:12" s="24" customFormat="1" x14ac:dyDescent="0.15">
      <c r="A17" s="22" t="s">
        <v>445</v>
      </c>
      <c r="B17" s="22" t="s">
        <v>224</v>
      </c>
      <c r="C17" s="22" t="s">
        <v>25</v>
      </c>
      <c r="D17" s="22" t="s">
        <v>58</v>
      </c>
      <c r="E17" s="22" t="s">
        <v>20</v>
      </c>
      <c r="F17" s="22" t="s">
        <v>220</v>
      </c>
      <c r="G17" s="22" t="s">
        <v>14</v>
      </c>
      <c r="H17" s="22" t="s">
        <v>61</v>
      </c>
      <c r="I17" s="22" t="s">
        <v>447</v>
      </c>
      <c r="J17" s="22" t="s">
        <v>217</v>
      </c>
      <c r="K17" s="19" t="s">
        <v>453</v>
      </c>
      <c r="L17" s="20" t="str">
        <f t="shared" si="0"/>
        <v>insert into CHB_DATACHECK_RULE_INV values ('ys8E4A49-6813-5A9E-E050-007F21706A80','FinNetValueProductBuild002','compareProperty','mdate','&gt;=','vdate','Y','产品终止日期必须大于产品起始日期。','D','com.joyintech.tams.invest.common.ChbBaseCheckLib');</v>
      </c>
    </row>
    <row r="18" spans="1:12" s="24" customFormat="1" x14ac:dyDescent="0.15">
      <c r="A18" s="22" t="s">
        <v>399</v>
      </c>
      <c r="B18" s="22" t="s">
        <v>224</v>
      </c>
      <c r="C18" s="22" t="s">
        <v>17</v>
      </c>
      <c r="D18" s="22" t="s">
        <v>62</v>
      </c>
      <c r="E18" s="22"/>
      <c r="F18" s="22" t="s">
        <v>18</v>
      </c>
      <c r="G18" s="22" t="s">
        <v>14</v>
      </c>
      <c r="H18" s="22" t="s">
        <v>63</v>
      </c>
      <c r="I18" s="28" t="s">
        <v>239</v>
      </c>
      <c r="J18" s="22" t="s">
        <v>232</v>
      </c>
      <c r="K18" s="19" t="s">
        <v>453</v>
      </c>
      <c r="L18" s="20" t="str">
        <f t="shared" si="0"/>
        <v>insert into CHB_DATACHECK_RULE_INV values ('ys214A49-6813-5A9E-E050-007F22700029','FinNetValueProductBuild002','isNumber2','bussRepFinProductInfoDto.repHighYield','','8,5','Y','业绩比较基准上限以百分数形式表示时必须为n（8,5）格式。','E','com.joyintech.tams.invest.common.ChbBaseCheckLib');</v>
      </c>
    </row>
    <row r="19" spans="1:12" s="24" customFormat="1" x14ac:dyDescent="0.15">
      <c r="A19" s="22" t="s">
        <v>400</v>
      </c>
      <c r="B19" s="22" t="s">
        <v>224</v>
      </c>
      <c r="C19" s="22" t="s">
        <v>25</v>
      </c>
      <c r="D19" s="22" t="s">
        <v>62</v>
      </c>
      <c r="E19" s="22" t="s">
        <v>20</v>
      </c>
      <c r="F19" s="22" t="s">
        <v>442</v>
      </c>
      <c r="G19" s="22" t="s">
        <v>14</v>
      </c>
      <c r="H19" s="22" t="s">
        <v>64</v>
      </c>
      <c r="I19" s="22" t="s">
        <v>371</v>
      </c>
      <c r="J19" s="22" t="s">
        <v>232</v>
      </c>
      <c r="K19" s="19" t="s">
        <v>453</v>
      </c>
      <c r="L19" s="20" t="str">
        <f t="shared" si="0"/>
        <v>insert into CHB_DATACHECK_RULE_INV values ('ys214A49-6813-5A9E-E050-007F22700030','FinNetValueProductBuild002','compareProperty','bussRepFinProductInfoDto.repHighYield','&gt;=','bussRepFinProductInfoDto.repLowYield','Y','业绩比较基准上限必须大于等于业绩比较基准下限。','D','com.joyintech.tams.invest.common.ChbBaseCheckLib');</v>
      </c>
    </row>
    <row r="20" spans="1:12" s="24" customFormat="1" x14ac:dyDescent="0.15">
      <c r="A20" s="22" t="s">
        <v>65</v>
      </c>
      <c r="B20" s="22" t="s">
        <v>224</v>
      </c>
      <c r="C20" s="22" t="s">
        <v>12</v>
      </c>
      <c r="D20" s="22" t="s">
        <v>66</v>
      </c>
      <c r="E20" s="22"/>
      <c r="F20" s="22" t="s">
        <v>67</v>
      </c>
      <c r="G20" s="22" t="s">
        <v>14</v>
      </c>
      <c r="H20" s="22" t="s">
        <v>68</v>
      </c>
      <c r="I20" s="22" t="s">
        <v>11</v>
      </c>
      <c r="J20" s="22" t="s">
        <v>233</v>
      </c>
      <c r="K20" s="19" t="s">
        <v>453</v>
      </c>
      <c r="L20" s="20" t="str">
        <f t="shared" si="0"/>
        <v>insert into CHB_DATACHECK_RULE_INV values ('ys214A49-6813-5A9E-E050-007F22700031','FinNetValueProductBuild002','lessThanCharLength','bussRepFinProductInfoDto.repYieldComment','','401','Y','业绩比较基准说明不能超过400字符','E','com.joyintech.tams.invest.common.ChbBaseCheckLib');</v>
      </c>
    </row>
    <row r="21" spans="1:12" s="24" customFormat="1" x14ac:dyDescent="0.15">
      <c r="A21" s="22" t="s">
        <v>401</v>
      </c>
      <c r="B21" s="22" t="s">
        <v>224</v>
      </c>
      <c r="C21" s="22" t="s">
        <v>15</v>
      </c>
      <c r="D21" s="22" t="s">
        <v>66</v>
      </c>
      <c r="E21" s="22"/>
      <c r="F21" s="22" t="s">
        <v>26</v>
      </c>
      <c r="G21" s="22" t="s">
        <v>14</v>
      </c>
      <c r="H21" s="22" t="s">
        <v>69</v>
      </c>
      <c r="I21" s="22" t="s">
        <v>11</v>
      </c>
      <c r="J21" s="22" t="s">
        <v>233</v>
      </c>
      <c r="K21" s="19" t="s">
        <v>453</v>
      </c>
      <c r="L21" s="20" t="str">
        <f t="shared" si="0"/>
        <v>insert into CHB_DATACHECK_RULE_INV values ('ys214A49-6813-5A9E-E050-007F22700032','FinNetValueProductBuild002','isCustomizedStringForWhitelist','bussRepFinProductInfoDto.repYieldComment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业绩比较基准说明必须填写白名单中的文字。','E','com.joyintech.tams.invest.common.ChbBaseCheckLib');</v>
      </c>
    </row>
    <row r="22" spans="1:12" s="24" customFormat="1" x14ac:dyDescent="0.15">
      <c r="A22" s="22" t="s">
        <v>402</v>
      </c>
      <c r="B22" s="22" t="s">
        <v>224</v>
      </c>
      <c r="C22" s="22" t="s">
        <v>16</v>
      </c>
      <c r="D22" s="22" t="s">
        <v>70</v>
      </c>
      <c r="E22" s="22" t="s">
        <v>23</v>
      </c>
      <c r="F22" s="22" t="s">
        <v>71</v>
      </c>
      <c r="G22" s="22" t="s">
        <v>14</v>
      </c>
      <c r="H22" s="22" t="s">
        <v>72</v>
      </c>
      <c r="I22" s="22" t="s">
        <v>11</v>
      </c>
      <c r="J22" s="22" t="s">
        <v>228</v>
      </c>
      <c r="K22" s="19" t="s">
        <v>453</v>
      </c>
      <c r="L22" s="20" t="str">
        <f t="shared" si="0"/>
        <v>insert into CHB_DATACHECK_RULE_INV values ('ys214A49-6813-5A9E-E050-007F22700001','FinNetValueProductBuild002','inDatadict','bussRepFinProductInfoDto.repOpenMode','==','SVR_OPEN_MODE','Y','开放模式不在值域范围内','E','com.joyintech.tams.invest.common.ChbBaseCheckLib');</v>
      </c>
    </row>
    <row r="23" spans="1:12" s="24" customFormat="1" x14ac:dyDescent="0.15">
      <c r="A23" s="22" t="s">
        <v>403</v>
      </c>
      <c r="B23" s="22" t="s">
        <v>224</v>
      </c>
      <c r="C23" s="22" t="s">
        <v>9</v>
      </c>
      <c r="D23" s="22" t="s">
        <v>73</v>
      </c>
      <c r="E23" s="22"/>
      <c r="F23" s="22"/>
      <c r="G23" s="22" t="s">
        <v>10</v>
      </c>
      <c r="H23" s="22" t="s">
        <v>74</v>
      </c>
      <c r="I23" s="22" t="s">
        <v>373</v>
      </c>
      <c r="J23" s="22" t="s">
        <v>369</v>
      </c>
      <c r="K23" s="19" t="s">
        <v>453</v>
      </c>
      <c r="L23" s="20" t="str">
        <f t="shared" si="0"/>
        <v>insert into CHB_DATACHECK_RULE_INV values ('ys8E4A49-6813-5A9E-E050-007F21706A74','FinNetValueProductBuild002','isNotEmpty','firstSaleVdate','','','N','募集起始日期要素不可为空。','D','com.joyintech.tams.invest.common.ChbBaseCheckLib');</v>
      </c>
    </row>
    <row r="24" spans="1:12" s="27" customFormat="1" x14ac:dyDescent="0.15">
      <c r="A24" s="25" t="s">
        <v>404</v>
      </c>
      <c r="B24" s="25" t="s">
        <v>224</v>
      </c>
      <c r="C24" s="25" t="s">
        <v>22</v>
      </c>
      <c r="D24" s="25" t="s">
        <v>73</v>
      </c>
      <c r="E24" s="25"/>
      <c r="F24" s="25" t="s">
        <v>24</v>
      </c>
      <c r="G24" s="25" t="s">
        <v>14</v>
      </c>
      <c r="H24" s="25" t="s">
        <v>75</v>
      </c>
      <c r="I24" s="25" t="s">
        <v>239</v>
      </c>
      <c r="J24" s="25" t="s">
        <v>218</v>
      </c>
      <c r="K24" s="19" t="s">
        <v>453</v>
      </c>
      <c r="L24" s="20" t="str">
        <f t="shared" si="0"/>
        <v>insert into CHB_DATACHECK_RULE_INV values ('ys154A49-6813-5A9E-E050-007F22006A65','FinNetValueProductBuild002','isValidDate','firstSaleVdate','','yyyy-MM-dd','Y','募集起始日期必须为日期格式（YYYY-MM-DD）且是正确的日期。','E','com.joyintech.tams.invest.common.ChbBaseCheckLib');</v>
      </c>
    </row>
    <row r="25" spans="1:12" s="24" customFormat="1" x14ac:dyDescent="0.15">
      <c r="A25" s="22" t="s">
        <v>405</v>
      </c>
      <c r="B25" s="22" t="s">
        <v>224</v>
      </c>
      <c r="C25" s="22" t="s">
        <v>9</v>
      </c>
      <c r="D25" s="22" t="s">
        <v>77</v>
      </c>
      <c r="E25" s="22"/>
      <c r="F25" s="22"/>
      <c r="G25" s="22" t="s">
        <v>10</v>
      </c>
      <c r="H25" s="22" t="s">
        <v>78</v>
      </c>
      <c r="I25" s="22" t="s">
        <v>374</v>
      </c>
      <c r="J25" s="22" t="s">
        <v>227</v>
      </c>
      <c r="K25" s="19" t="s">
        <v>453</v>
      </c>
      <c r="L25" s="20" t="str">
        <f t="shared" si="0"/>
        <v>insert into CHB_DATACHECK_RULE_INV values ('ys214A49-6813-5A9E-E050-007F22700002','FinNetValueProductBuild002','isNotEmpty','bussRepFinProductInfoDto.repOpenCircle','','','N','规律开放周期不能为空','D','com.joyintech.tams.invest.common.ChbBaseCheckLib');</v>
      </c>
    </row>
    <row r="26" spans="1:12" s="24" customFormat="1" x14ac:dyDescent="0.15">
      <c r="A26" s="22" t="s">
        <v>406</v>
      </c>
      <c r="B26" s="22" t="s">
        <v>224</v>
      </c>
      <c r="C26" s="22" t="s">
        <v>16</v>
      </c>
      <c r="D26" s="22" t="s">
        <v>77</v>
      </c>
      <c r="E26" s="22" t="s">
        <v>23</v>
      </c>
      <c r="F26" s="22" t="s">
        <v>79</v>
      </c>
      <c r="G26" s="22" t="s">
        <v>14</v>
      </c>
      <c r="H26" s="22" t="s">
        <v>80</v>
      </c>
      <c r="I26" s="22" t="s">
        <v>383</v>
      </c>
      <c r="J26" s="22" t="s">
        <v>227</v>
      </c>
      <c r="K26" s="19" t="s">
        <v>453</v>
      </c>
      <c r="L26" s="20" t="str">
        <f t="shared" si="0"/>
        <v>insert into CHB_DATACHECK_RULE_INV values ('ys214A49-6813-5A9E-E050-007F22700004','FinNetValueProductBuild002','inDatadict','bussRepFinProductInfoDto.repOpenCircle','==','SVR_REGULAR_OPEN_CYCLE','Y','规律开放周期不在值域范围内','E','com.joyintech.tams.invest.common.ChbBaseCheckLib');</v>
      </c>
    </row>
    <row r="27" spans="1:12" s="24" customFormat="1" x14ac:dyDescent="0.15">
      <c r="A27" s="22" t="s">
        <v>407</v>
      </c>
      <c r="B27" s="22" t="s">
        <v>240</v>
      </c>
      <c r="C27" s="22" t="s">
        <v>12</v>
      </c>
      <c r="D27" s="22" t="s">
        <v>77</v>
      </c>
      <c r="E27" s="22" t="s">
        <v>23</v>
      </c>
      <c r="F27" s="22" t="s">
        <v>21</v>
      </c>
      <c r="G27" s="22" t="s">
        <v>14</v>
      </c>
      <c r="H27" s="22" t="s">
        <v>241</v>
      </c>
      <c r="I27" s="22" t="s">
        <v>371</v>
      </c>
      <c r="J27" s="22" t="s">
        <v>227</v>
      </c>
      <c r="K27" s="19" t="s">
        <v>453</v>
      </c>
      <c r="L27" s="20" t="str">
        <f t="shared" si="0"/>
        <v>insert into CHB_DATACHECK_RULE_INV values ('ys214A49-6813-5A9E-E050-007F22700003','FinNetValueProductBuild002','lessThanCharLength','bussRepFinProductInfoDto.repOpenCircle','==','0','Y','规律开放周期必须为空','D','com.joyintech.tams.invest.common.ChbBaseCheckLib');</v>
      </c>
    </row>
    <row r="28" spans="1:12" s="24" customFormat="1" x14ac:dyDescent="0.15">
      <c r="A28" s="22" t="s">
        <v>408</v>
      </c>
      <c r="B28" s="22" t="s">
        <v>224</v>
      </c>
      <c r="C28" s="22" t="s">
        <v>9</v>
      </c>
      <c r="D28" s="22" t="s">
        <v>81</v>
      </c>
      <c r="E28" s="22"/>
      <c r="F28" s="22"/>
      <c r="G28" s="22" t="s">
        <v>10</v>
      </c>
      <c r="H28" s="22" t="s">
        <v>82</v>
      </c>
      <c r="I28" s="22" t="s">
        <v>371</v>
      </c>
      <c r="J28" s="22" t="s">
        <v>219</v>
      </c>
      <c r="K28" s="19" t="s">
        <v>453</v>
      </c>
      <c r="L28" s="20" t="str">
        <f t="shared" si="0"/>
        <v>insert into CHB_DATACHECK_RULE_INV values ('ys8E4A49-6813-5A9E-E050-007F21706A70','FinNetValueProductBuild002','isNotEmpty','prodRegistCode','','','N','产品登记编码要素不可为空。','D','com.joyintech.tams.invest.common.ChbBaseCheckLib');</v>
      </c>
    </row>
    <row r="29" spans="1:12" s="24" customFormat="1" x14ac:dyDescent="0.15">
      <c r="A29" s="22" t="s">
        <v>409</v>
      </c>
      <c r="B29" s="22" t="s">
        <v>224</v>
      </c>
      <c r="C29" s="22" t="s">
        <v>31</v>
      </c>
      <c r="D29" s="22" t="s">
        <v>81</v>
      </c>
      <c r="E29" s="22"/>
      <c r="F29" s="22" t="s">
        <v>83</v>
      </c>
      <c r="G29" s="22" t="s">
        <v>14</v>
      </c>
      <c r="H29" s="22" t="s">
        <v>84</v>
      </c>
      <c r="I29" s="28" t="s">
        <v>239</v>
      </c>
      <c r="J29" s="22" t="s">
        <v>219</v>
      </c>
      <c r="K29" s="19" t="s">
        <v>453</v>
      </c>
      <c r="L29" s="20" t="str">
        <f t="shared" si="0"/>
        <v>insert into CHB_DATACHECK_RULE_INV values ('ys8E4A49-6813-5A9E-E050-007F21706A71','FinNetValueProductBuild002','isCustomizedString','prodRegistCode','','^[0-9a-zA-Z]{14,15}$','Y','产品登记编码要素格式不对。正确的格式：14或15位英文或数字。','E','com.joyintech.tams.invest.common.ChbBaseCheckLib');</v>
      </c>
    </row>
    <row r="30" spans="1:12" s="24" customFormat="1" x14ac:dyDescent="0.15">
      <c r="A30" s="22" t="s">
        <v>410</v>
      </c>
      <c r="B30" s="22" t="s">
        <v>224</v>
      </c>
      <c r="C30" s="22" t="s">
        <v>9</v>
      </c>
      <c r="D30" s="22" t="s">
        <v>85</v>
      </c>
      <c r="E30" s="22"/>
      <c r="F30" s="22"/>
      <c r="G30" s="22" t="s">
        <v>10</v>
      </c>
      <c r="H30" s="22" t="s">
        <v>86</v>
      </c>
      <c r="I30" s="22" t="s">
        <v>371</v>
      </c>
      <c r="J30" s="22" t="s">
        <v>234</v>
      </c>
      <c r="K30" s="19" t="s">
        <v>453</v>
      </c>
      <c r="L30" s="20" t="str">
        <f t="shared" si="0"/>
        <v>insert into CHB_DATACHECK_RULE_INV values ('ys214A49-6813-5A9E-E050-007F22700024','FinNetValueProductBuild002','isNotEmpty','bussRepFinProductInfoDto.repManageMode','','','N','管理方式不能为空','D','com.joyintech.tams.invest.common.ChbBaseCheckLib');</v>
      </c>
    </row>
    <row r="31" spans="1:12" s="24" customFormat="1" x14ac:dyDescent="0.15">
      <c r="A31" s="22" t="s">
        <v>411</v>
      </c>
      <c r="B31" s="22" t="s">
        <v>224</v>
      </c>
      <c r="C31" s="22" t="s">
        <v>16</v>
      </c>
      <c r="D31" s="22" t="s">
        <v>85</v>
      </c>
      <c r="E31" s="22" t="s">
        <v>23</v>
      </c>
      <c r="F31" s="22" t="s">
        <v>87</v>
      </c>
      <c r="G31" s="22" t="s">
        <v>14</v>
      </c>
      <c r="H31" s="22" t="s">
        <v>88</v>
      </c>
      <c r="I31" s="22" t="s">
        <v>11</v>
      </c>
      <c r="J31" s="22" t="s">
        <v>234</v>
      </c>
      <c r="K31" s="19" t="s">
        <v>453</v>
      </c>
      <c r="L31" s="20" t="str">
        <f t="shared" si="0"/>
        <v>insert into CHB_DATACHECK_RULE_INV values ('ys214A49-6813-5A9E-E050-007F22700025','FinNetValueProductBuild002','inDatadict','bussRepFinProductInfoDto.repManageMode','==','SVR_PRO_STYLE','Y','管理方式不在值域范围内','E','com.joyintech.tams.invest.common.ChbBaseCheckLib');</v>
      </c>
    </row>
    <row r="32" spans="1:12" s="24" customFormat="1" x14ac:dyDescent="0.15">
      <c r="A32" s="22" t="s">
        <v>412</v>
      </c>
      <c r="B32" s="22" t="s">
        <v>224</v>
      </c>
      <c r="C32" s="22" t="s">
        <v>9</v>
      </c>
      <c r="D32" s="22" t="s">
        <v>90</v>
      </c>
      <c r="E32" s="22"/>
      <c r="F32" s="22"/>
      <c r="G32" s="22" t="s">
        <v>10</v>
      </c>
      <c r="H32" s="22" t="s">
        <v>91</v>
      </c>
      <c r="I32" s="22" t="s">
        <v>371</v>
      </c>
      <c r="J32" s="22" t="s">
        <v>235</v>
      </c>
      <c r="K32" s="19" t="s">
        <v>453</v>
      </c>
      <c r="L32" s="20" t="str">
        <f t="shared" si="0"/>
        <v>insert into CHB_DATACHECK_RULE_INV values ('ys214A49-6813-5A9E-E050-007F22700016','FinNetValueProductBuild002','isNotEmpty','bussRepFinProductInfoDto.repOpenBussRemark','','','N','开放期业务说明不能为空','D','com.joyintech.tams.invest.common.ChbBaseCheckLib');</v>
      </c>
    </row>
    <row r="33" spans="1:12" s="24" customFormat="1" x14ac:dyDescent="0.15">
      <c r="A33" s="22" t="s">
        <v>413</v>
      </c>
      <c r="B33" s="22" t="s">
        <v>224</v>
      </c>
      <c r="C33" s="22" t="s">
        <v>15</v>
      </c>
      <c r="D33" s="22" t="s">
        <v>90</v>
      </c>
      <c r="E33" s="22"/>
      <c r="F33" s="22" t="s">
        <v>26</v>
      </c>
      <c r="G33" s="22" t="s">
        <v>14</v>
      </c>
      <c r="H33" s="22" t="s">
        <v>92</v>
      </c>
      <c r="I33" s="22" t="s">
        <v>11</v>
      </c>
      <c r="J33" s="22" t="s">
        <v>235</v>
      </c>
      <c r="K33" s="19" t="s">
        <v>453</v>
      </c>
      <c r="L33" s="20" t="str">
        <f t="shared" si="0"/>
        <v>insert into CHB_DATACHECK_RULE_INV values ('873E4A49-6810-5A9E-E050-007F01006A47','FinNetValueProductBuild002','isCustomizedStringForWhitelist','bussRepFinProductInfoDto.repOpenBuss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开放期业务说明必须在白名单范围内','E','com.joyintech.tams.invest.common.ChbBaseCheckLib');</v>
      </c>
    </row>
    <row r="34" spans="1:12" s="24" customFormat="1" x14ac:dyDescent="0.15">
      <c r="A34" s="22" t="s">
        <v>414</v>
      </c>
      <c r="B34" s="22" t="s">
        <v>224</v>
      </c>
      <c r="C34" s="22" t="s">
        <v>12</v>
      </c>
      <c r="D34" s="22" t="s">
        <v>90</v>
      </c>
      <c r="E34" s="22"/>
      <c r="F34" s="22" t="s">
        <v>34</v>
      </c>
      <c r="G34" s="22" t="s">
        <v>14</v>
      </c>
      <c r="H34" s="22" t="s">
        <v>93</v>
      </c>
      <c r="I34" s="22" t="s">
        <v>11</v>
      </c>
      <c r="J34" s="22" t="s">
        <v>235</v>
      </c>
      <c r="K34" s="19" t="s">
        <v>453</v>
      </c>
      <c r="L34" s="20" t="str">
        <f t="shared" si="0"/>
        <v>insert into CHB_DATACHECK_RULE_INV values ('ys214A49-6813-5A9E-E050-007F22700017','FinNetValueProductBuild002','lessThanCharLength','bussRepFinProductInfoDto.repOpenBussRemark','','257','Y','开放期业务说明不能超过256字符','E','com.joyintech.tams.invest.common.ChbBaseCheckLib');</v>
      </c>
    </row>
    <row r="35" spans="1:12" s="24" customFormat="1" x14ac:dyDescent="0.15">
      <c r="A35" s="22" t="s">
        <v>415</v>
      </c>
      <c r="B35" s="22" t="s">
        <v>224</v>
      </c>
      <c r="C35" s="22" t="s">
        <v>17</v>
      </c>
      <c r="D35" s="22" t="s">
        <v>94</v>
      </c>
      <c r="E35" s="22"/>
      <c r="F35" s="22" t="s">
        <v>18</v>
      </c>
      <c r="G35" s="22" t="s">
        <v>14</v>
      </c>
      <c r="H35" s="22" t="s">
        <v>95</v>
      </c>
      <c r="I35" s="28" t="s">
        <v>239</v>
      </c>
      <c r="J35" s="22" t="s">
        <v>236</v>
      </c>
      <c r="K35" s="19" t="s">
        <v>453</v>
      </c>
      <c r="L35" s="20" t="str">
        <f t="shared" si="0"/>
        <v>insert into CHB_DATACHECK_RULE_INV values ('ys214A49-6813-5A9E-E050-007F22700028','FinNetValueProductBuild002','isNumber2','bussRepFinProductInfoDto.repLowYield','','8,5','Y','业绩比较基准下限以百分数形式表示时必须为n（8,5）格式。','E','com.joyintech.tams.invest.common.ChbBaseCheckLib');</v>
      </c>
    </row>
    <row r="36" spans="1:12" s="24" customFormat="1" x14ac:dyDescent="0.15">
      <c r="A36" s="22" t="s">
        <v>416</v>
      </c>
      <c r="B36" s="22" t="s">
        <v>224</v>
      </c>
      <c r="C36" s="22" t="s">
        <v>16</v>
      </c>
      <c r="D36" s="22" t="s">
        <v>96</v>
      </c>
      <c r="E36" s="22" t="s">
        <v>23</v>
      </c>
      <c r="F36" s="22" t="s">
        <v>97</v>
      </c>
      <c r="G36" s="22" t="s">
        <v>14</v>
      </c>
      <c r="H36" s="22" t="s">
        <v>375</v>
      </c>
      <c r="I36" s="22" t="s">
        <v>11</v>
      </c>
      <c r="J36" s="22" t="s">
        <v>229</v>
      </c>
      <c r="K36" s="19" t="s">
        <v>453</v>
      </c>
      <c r="L36" s="20" t="str">
        <f t="shared" si="0"/>
        <v>insert into CHB_DATACHECK_RULE_INV values ('ys214A49-6813-5A9E-E050-007F22700015','FinNetValueProductBuild002','inDatadict','bussRepFinProductInfoDto.repOpenBuss','==','SVR_OPEN_BUSS','Y','开放期业务不在值域范围内','E','com.joyintech.tams.invest.common.ChbBaseCheckLib');</v>
      </c>
    </row>
    <row r="37" spans="1:12" s="24" customFormat="1" x14ac:dyDescent="0.15">
      <c r="A37" s="22" t="s">
        <v>417</v>
      </c>
      <c r="B37" s="22" t="s">
        <v>224</v>
      </c>
      <c r="C37" s="22" t="s">
        <v>9</v>
      </c>
      <c r="D37" s="22" t="s">
        <v>98</v>
      </c>
      <c r="E37" s="22"/>
      <c r="F37" s="22"/>
      <c r="G37" s="22" t="s">
        <v>10</v>
      </c>
      <c r="H37" s="22" t="s">
        <v>376</v>
      </c>
      <c r="I37" s="22" t="s">
        <v>371</v>
      </c>
      <c r="J37" s="22" t="s">
        <v>220</v>
      </c>
      <c r="K37" s="19" t="s">
        <v>453</v>
      </c>
      <c r="L37" s="20" t="str">
        <f t="shared" si="0"/>
        <v>insert into CHB_DATACHECK_RULE_INV values ('873E4A49-6810-5A9E-E050-007F01006A26','FinNetValueProductBuild002','isNotEmpty','vdate','','','N','产品起始日期不能为空','D','com.joyintech.tams.invest.common.ChbBaseCheckLib');</v>
      </c>
    </row>
    <row r="38" spans="1:12" s="27" customFormat="1" x14ac:dyDescent="0.15">
      <c r="A38" s="25" t="s">
        <v>418</v>
      </c>
      <c r="B38" s="25" t="s">
        <v>224</v>
      </c>
      <c r="C38" s="25" t="s">
        <v>22</v>
      </c>
      <c r="D38" s="25" t="s">
        <v>98</v>
      </c>
      <c r="E38" s="25"/>
      <c r="F38" s="25" t="s">
        <v>24</v>
      </c>
      <c r="G38" s="25" t="s">
        <v>14</v>
      </c>
      <c r="H38" s="25" t="s">
        <v>99</v>
      </c>
      <c r="I38" s="25" t="s">
        <v>450</v>
      </c>
      <c r="J38" s="25" t="s">
        <v>220</v>
      </c>
      <c r="K38" s="19" t="s">
        <v>453</v>
      </c>
      <c r="L38" s="20" t="str">
        <f t="shared" si="0"/>
        <v>insert into CHB_DATACHECK_RULE_INV values ('ys8E4A49-6813-5A9E-E050-007F21706A77','FinNetValueProductBuild002','isValidDate','vdate','','yyyy-MM-dd','Y','产品起始日期必须为日期格式（YYYY-MM-DD）且是正确的日期。','E','com.joyintech.tams.invest.common.ChbBaseCheckLib');</v>
      </c>
    </row>
    <row r="39" spans="1:12" s="24" customFormat="1" x14ac:dyDescent="0.15">
      <c r="A39" s="22" t="s">
        <v>419</v>
      </c>
      <c r="B39" s="22" t="s">
        <v>224</v>
      </c>
      <c r="C39" s="22" t="s">
        <v>25</v>
      </c>
      <c r="D39" s="22" t="s">
        <v>98</v>
      </c>
      <c r="E39" s="22" t="s">
        <v>20</v>
      </c>
      <c r="F39" s="22" t="s">
        <v>443</v>
      </c>
      <c r="G39" s="22" t="s">
        <v>14</v>
      </c>
      <c r="H39" s="22" t="s">
        <v>100</v>
      </c>
      <c r="I39" s="22" t="s">
        <v>448</v>
      </c>
      <c r="J39" s="22" t="s">
        <v>220</v>
      </c>
      <c r="K39" s="19" t="s">
        <v>453</v>
      </c>
      <c r="L39" s="20" t="str">
        <f t="shared" si="0"/>
        <v>insert into CHB_DATACHECK_RULE_INV values ('ys8E4A49-6813-5A9E-E050-007F21706A79','FinNetValueProductBuild002','compareProperty','vdate','&gt;=','firstSaleMdate','Y','产品起始日期必须大于等于募集结束日期。','D','com.joyintech.tams.invest.common.ChbBaseCheckLib');</v>
      </c>
    </row>
    <row r="40" spans="1:12" s="27" customFormat="1" x14ac:dyDescent="0.15">
      <c r="A40" s="25" t="s">
        <v>420</v>
      </c>
      <c r="B40" s="25" t="s">
        <v>224</v>
      </c>
      <c r="C40" s="25" t="s">
        <v>22</v>
      </c>
      <c r="D40" s="25" t="s">
        <v>222</v>
      </c>
      <c r="E40" s="25"/>
      <c r="F40" s="25" t="s">
        <v>24</v>
      </c>
      <c r="G40" s="25" t="s">
        <v>14</v>
      </c>
      <c r="H40" s="25" t="s">
        <v>102</v>
      </c>
      <c r="I40" s="25" t="s">
        <v>239</v>
      </c>
      <c r="J40" s="26" t="s">
        <v>223</v>
      </c>
      <c r="K40" s="19" t="s">
        <v>453</v>
      </c>
      <c r="L40" s="26"/>
    </row>
    <row r="41" spans="1:12" s="24" customFormat="1" x14ac:dyDescent="0.15">
      <c r="A41" s="22" t="s">
        <v>422</v>
      </c>
      <c r="B41" s="22" t="s">
        <v>224</v>
      </c>
      <c r="C41" s="22" t="s">
        <v>17</v>
      </c>
      <c r="D41" s="22" t="s">
        <v>103</v>
      </c>
      <c r="E41" s="22"/>
      <c r="F41" s="22" t="s">
        <v>104</v>
      </c>
      <c r="G41" s="22" t="s">
        <v>14</v>
      </c>
      <c r="H41" s="22" t="s">
        <v>377</v>
      </c>
      <c r="I41" s="28" t="s">
        <v>239</v>
      </c>
      <c r="J41" s="22" t="s">
        <v>237</v>
      </c>
      <c r="K41" s="19" t="s">
        <v>453</v>
      </c>
      <c r="L41" s="23" t="str">
        <f t="shared" ref="L41:L48" si="1">CONCATENATE("insert into CHB_DATACHECK_RULE_INV values ('",A41,"','",B41,"','",C41,"','",J41,"','",E41,"','",F41,"','",G41,"','",H41,"','",I41,"');")</f>
        <v>insert into CHB_DATACHECK_RULE_INV values ('ys214A49-6813-5A9E-E050-007F22700013','FinNetValueProductBuild002','isNumber2','bussRepFinProductInfoDto.repAvgOpenCount','','5,2','Y','平均开放次数（年化）必须为n（5,2）格式。','E');</v>
      </c>
    </row>
    <row r="42" spans="1:12" s="24" customFormat="1" x14ac:dyDescent="0.15">
      <c r="A42" s="22" t="s">
        <v>421</v>
      </c>
      <c r="B42" s="22" t="s">
        <v>224</v>
      </c>
      <c r="C42" s="22" t="s">
        <v>19</v>
      </c>
      <c r="D42" s="22" t="s">
        <v>103</v>
      </c>
      <c r="E42" s="22" t="s">
        <v>28</v>
      </c>
      <c r="F42" s="22" t="s">
        <v>21</v>
      </c>
      <c r="G42" s="22" t="s">
        <v>14</v>
      </c>
      <c r="H42" s="22" t="s">
        <v>105</v>
      </c>
      <c r="I42" s="22" t="s">
        <v>11</v>
      </c>
      <c r="J42" s="22" t="s">
        <v>237</v>
      </c>
      <c r="K42" s="19" t="s">
        <v>453</v>
      </c>
      <c r="L42" s="23" t="str">
        <f t="shared" si="1"/>
        <v>insert into CHB_DATACHECK_RULE_INV values ('ya214A49-6813-5A9E-E050-007F22700013','FinNetValueProductBuild002','compareValueAsNumber','bussRepFinProductInfoDto.repAvgOpenCount','&gt;','0','Y','平均开放次数（年化）必须大于0.','E');</v>
      </c>
    </row>
    <row r="43" spans="1:12" s="24" customFormat="1" x14ac:dyDescent="0.15">
      <c r="A43" s="22" t="s">
        <v>423</v>
      </c>
      <c r="B43" s="22" t="s">
        <v>224</v>
      </c>
      <c r="C43" s="22" t="s">
        <v>19</v>
      </c>
      <c r="D43" s="22" t="s">
        <v>103</v>
      </c>
      <c r="E43" s="22" t="s">
        <v>106</v>
      </c>
      <c r="F43" s="22" t="s">
        <v>107</v>
      </c>
      <c r="G43" s="22" t="s">
        <v>14</v>
      </c>
      <c r="H43" s="22" t="s">
        <v>108</v>
      </c>
      <c r="I43" s="22" t="s">
        <v>371</v>
      </c>
      <c r="J43" s="22" t="s">
        <v>237</v>
      </c>
      <c r="K43" s="19" t="s">
        <v>453</v>
      </c>
      <c r="L43" s="23" t="str">
        <f t="shared" si="1"/>
        <v>insert into CHB_DATACHECK_RULE_INV values ('yb214A49-6813-5A9E-E050-007F22700013','FinNetValueProductBuild002','compareValueAsNumber','bussRepFinProductInfoDto.repAvgOpenCount','&lt;=','366','Y','平均开放次数（年化）不能超过366。','D');</v>
      </c>
    </row>
    <row r="44" spans="1:12" s="24" customFormat="1" x14ac:dyDescent="0.15">
      <c r="A44" s="22" t="s">
        <v>424</v>
      </c>
      <c r="B44" s="22" t="s">
        <v>224</v>
      </c>
      <c r="C44" s="22" t="s">
        <v>9</v>
      </c>
      <c r="D44" s="22" t="s">
        <v>109</v>
      </c>
      <c r="E44" s="22"/>
      <c r="F44" s="22"/>
      <c r="G44" s="22" t="s">
        <v>10</v>
      </c>
      <c r="H44" s="22" t="s">
        <v>110</v>
      </c>
      <c r="I44" s="22" t="s">
        <v>371</v>
      </c>
      <c r="J44" s="22" t="s">
        <v>221</v>
      </c>
      <c r="K44" s="19" t="s">
        <v>453</v>
      </c>
      <c r="L44" s="23" t="str">
        <f t="shared" si="1"/>
        <v>insert into CHB_DATACHECK_RULE_INV values ('ys8E4A49-6813-5A9E-E050-007F21706A67','FinNetValueProductBuild002','isNotEmpty','firstSaleMdate','','','N','募集结束日期要素不可为空。','D');</v>
      </c>
    </row>
    <row r="45" spans="1:12" s="27" customFormat="1" x14ac:dyDescent="0.15">
      <c r="A45" s="25" t="s">
        <v>425</v>
      </c>
      <c r="B45" s="25" t="s">
        <v>224</v>
      </c>
      <c r="C45" s="25" t="s">
        <v>22</v>
      </c>
      <c r="D45" s="25" t="s">
        <v>109</v>
      </c>
      <c r="E45" s="25"/>
      <c r="F45" s="25" t="s">
        <v>24</v>
      </c>
      <c r="G45" s="25" t="s">
        <v>14</v>
      </c>
      <c r="H45" s="25" t="s">
        <v>111</v>
      </c>
      <c r="I45" s="25" t="s">
        <v>451</v>
      </c>
      <c r="J45" s="25" t="s">
        <v>221</v>
      </c>
      <c r="K45" s="19" t="s">
        <v>453</v>
      </c>
      <c r="L45" s="26" t="str">
        <f t="shared" si="1"/>
        <v>insert into CHB_DATACHECK_RULE_INV values ('ys8E4A49-6813-5A9E-E050-007F21706A75','FinNetValueProductBuild002','isValidDate','firstSaleMdate','','yyyy-MM-dd','Y','募集结束日期必须为日期格式（YYYY-MM-DD）且是正确的日期。','E');</v>
      </c>
    </row>
    <row r="46" spans="1:12" s="24" customFormat="1" x14ac:dyDescent="0.15">
      <c r="A46" s="22" t="s">
        <v>449</v>
      </c>
      <c r="B46" s="22" t="s">
        <v>224</v>
      </c>
      <c r="C46" s="22" t="s">
        <v>25</v>
      </c>
      <c r="D46" s="22" t="s">
        <v>109</v>
      </c>
      <c r="E46" s="22" t="s">
        <v>20</v>
      </c>
      <c r="F46" s="22" t="s">
        <v>444</v>
      </c>
      <c r="G46" s="22" t="s">
        <v>14</v>
      </c>
      <c r="H46" s="22" t="s">
        <v>378</v>
      </c>
      <c r="I46" s="22" t="s">
        <v>447</v>
      </c>
      <c r="J46" s="22" t="s">
        <v>221</v>
      </c>
      <c r="K46" s="19" t="s">
        <v>453</v>
      </c>
      <c r="L46" s="23" t="str">
        <f t="shared" si="1"/>
        <v>insert into CHB_DATACHECK_RULE_INV values ('ys8E4A49-6813-5A9E-E050-007F21706A76','FinNetValueProductBuild002','compareProperty','firstSaleMdate','&gt;=','firstSaleVdate','Y','募集结束日期必须大于募集起始日期','D');</v>
      </c>
    </row>
    <row r="47" spans="1:12" s="24" customFormat="1" x14ac:dyDescent="0.15">
      <c r="A47" s="22" t="s">
        <v>426</v>
      </c>
      <c r="B47" s="22" t="s">
        <v>224</v>
      </c>
      <c r="C47" s="22" t="s">
        <v>9</v>
      </c>
      <c r="D47" s="22" t="s">
        <v>112</v>
      </c>
      <c r="E47" s="22"/>
      <c r="F47" s="22"/>
      <c r="G47" s="22" t="s">
        <v>10</v>
      </c>
      <c r="H47" s="22" t="s">
        <v>113</v>
      </c>
      <c r="I47" s="22" t="s">
        <v>11</v>
      </c>
      <c r="J47" s="22" t="s">
        <v>238</v>
      </c>
      <c r="K47" s="19" t="s">
        <v>453</v>
      </c>
      <c r="L47" s="23" t="str">
        <f t="shared" si="1"/>
        <v>insert into CHB_DATACHECK_RULE_INV values ('ys3E4A49-6813-5A9E-E050-007F01006A66','FinNetValueProductBuild002','isNotEmpty','bussRepFinProductInfoDto.repIsConstracte','','','N','是否为结构化（分级）产品要素不可为空。','E');</v>
      </c>
    </row>
    <row r="48" spans="1:12" s="24" customFormat="1" x14ac:dyDescent="0.15">
      <c r="A48" s="22" t="s">
        <v>427</v>
      </c>
      <c r="B48" s="22" t="s">
        <v>224</v>
      </c>
      <c r="C48" s="22" t="s">
        <v>16</v>
      </c>
      <c r="D48" s="22" t="s">
        <v>112</v>
      </c>
      <c r="E48" s="22" t="s">
        <v>23</v>
      </c>
      <c r="F48" s="22" t="s">
        <v>36</v>
      </c>
      <c r="G48" s="22" t="s">
        <v>14</v>
      </c>
      <c r="H48" s="22" t="s">
        <v>114</v>
      </c>
      <c r="I48" s="22" t="s">
        <v>11</v>
      </c>
      <c r="J48" s="22" t="s">
        <v>238</v>
      </c>
      <c r="K48" s="19" t="s">
        <v>453</v>
      </c>
      <c r="L48" s="23" t="str">
        <f t="shared" si="1"/>
        <v>insert into CHB_DATACHECK_RULE_INV values ('ya3E4A49-6813-5A9E-E050-007F01006A66','FinNetValueProductBuild002','inDatadict','bussRepFinProductInfoDto.repIsConstracte','==','SVR_YES_OR_NO','Y','是否结构化分级产品不在值域范围内。','E');</v>
      </c>
    </row>
    <row r="49" spans="1:12" s="24" customFormat="1" x14ac:dyDescent="0.15">
      <c r="A49" s="22" t="s">
        <v>428</v>
      </c>
      <c r="B49" s="22" t="s">
        <v>224</v>
      </c>
      <c r="C49" s="22" t="s">
        <v>12</v>
      </c>
      <c r="D49" s="22"/>
      <c r="E49" s="22" t="s">
        <v>23</v>
      </c>
      <c r="F49" s="22" t="s">
        <v>21</v>
      </c>
      <c r="G49" s="22" t="s">
        <v>14</v>
      </c>
      <c r="H49" s="22" t="s">
        <v>339</v>
      </c>
      <c r="I49" s="22" t="s">
        <v>373</v>
      </c>
      <c r="J49" s="22" t="s">
        <v>360</v>
      </c>
      <c r="K49" s="19" t="s">
        <v>453</v>
      </c>
      <c r="L49" s="23" t="str">
        <f t="shared" ref="L49:L60" si="2">CONCATENATE("insert into CHB_DATACHECK_RULE_INV values ('",A49,"','",B49,"','",C49,"','",J49,"','",E49,"','",F49,"','",G49,"','",H49,"','",I49,"');")</f>
        <v>insert into CHB_DATACHECK_RULE_INV values ('zl214A49-6813-5A9E-E050-006F22700006','FinNetValueProductBuild002','lessThanCharLength','bussRepFinProductInfoDto.repOpenMode','==','0','Y','开放模式不能有值。','D');</v>
      </c>
    </row>
    <row r="50" spans="1:12" s="24" customFormat="1" x14ac:dyDescent="0.15">
      <c r="A50" s="22" t="s">
        <v>429</v>
      </c>
      <c r="B50" s="22" t="s">
        <v>224</v>
      </c>
      <c r="C50" s="22" t="s">
        <v>9</v>
      </c>
      <c r="D50" s="22"/>
      <c r="E50" s="22"/>
      <c r="F50" s="22"/>
      <c r="G50" s="22" t="s">
        <v>10</v>
      </c>
      <c r="H50" s="22" t="s">
        <v>351</v>
      </c>
      <c r="I50" s="22" t="s">
        <v>373</v>
      </c>
      <c r="J50" s="22" t="s">
        <v>361</v>
      </c>
      <c r="K50" s="19" t="s">
        <v>453</v>
      </c>
      <c r="L50" s="23" t="str">
        <f t="shared" si="2"/>
        <v>insert into CHB_DATACHECK_RULE_INV values ('zl214A49-6813-5A9E-E050-006F22700016','FinNetValueProductBuild002','isNotEmpty','bussRepFinProductInfoDto.repOpenMode','','','N','开放模式不能为空。','D');</v>
      </c>
    </row>
    <row r="51" spans="1:12" s="24" customFormat="1" x14ac:dyDescent="0.15">
      <c r="A51" s="22" t="s">
        <v>430</v>
      </c>
      <c r="B51" s="22" t="s">
        <v>224</v>
      </c>
      <c r="C51" s="22" t="s">
        <v>12</v>
      </c>
      <c r="D51" s="22"/>
      <c r="E51" s="22" t="s">
        <v>23</v>
      </c>
      <c r="F51" s="22" t="s">
        <v>21</v>
      </c>
      <c r="G51" s="22" t="s">
        <v>14</v>
      </c>
      <c r="H51" s="22" t="s">
        <v>354</v>
      </c>
      <c r="I51" s="22" t="s">
        <v>379</v>
      </c>
      <c r="J51" s="22" t="s">
        <v>227</v>
      </c>
      <c r="K51" s="19" t="s">
        <v>453</v>
      </c>
      <c r="L51" s="23" t="str">
        <f t="shared" si="2"/>
        <v>insert into CHB_DATACHECK_RULE_INV values ('zl214A49-6813-5A9E-E050-006F22700026','FinNetValueProductBuild002','lessThanCharLength','bussRepFinProductInfoDto.repOpenCircle','==','0','Y','规律开放周期不能有值。','D');</v>
      </c>
    </row>
    <row r="52" spans="1:12" s="24" customFormat="1" x14ac:dyDescent="0.15">
      <c r="A52" s="22" t="s">
        <v>431</v>
      </c>
      <c r="B52" s="22" t="s">
        <v>224</v>
      </c>
      <c r="C52" s="22" t="s">
        <v>12</v>
      </c>
      <c r="D52" s="22"/>
      <c r="E52" s="22" t="s">
        <v>23</v>
      </c>
      <c r="F52" s="22" t="s">
        <v>21</v>
      </c>
      <c r="G52" s="22" t="s">
        <v>14</v>
      </c>
      <c r="H52" s="22" t="s">
        <v>355</v>
      </c>
      <c r="I52" s="22" t="s">
        <v>380</v>
      </c>
      <c r="J52" s="22" t="s">
        <v>362</v>
      </c>
      <c r="K52" s="19" t="s">
        <v>453</v>
      </c>
      <c r="L52" s="23" t="str">
        <f t="shared" si="2"/>
        <v>insert into CHB_DATACHECK_RULE_INV values ('zl214A49-6813-5A9E-E050-006F22700036','FinNetValueProductBuild002','lessThanCharLength','bussRepFinProductInfoDto.repOpenCircleDays','==','0','Y','他规律开放周期（天）不能有值。','D');</v>
      </c>
    </row>
    <row r="53" spans="1:12" s="24" customFormat="1" x14ac:dyDescent="0.15">
      <c r="A53" s="22" t="s">
        <v>432</v>
      </c>
      <c r="B53" s="22" t="s">
        <v>224</v>
      </c>
      <c r="C53" s="22" t="s">
        <v>12</v>
      </c>
      <c r="D53" s="22"/>
      <c r="E53" s="22" t="s">
        <v>23</v>
      </c>
      <c r="F53" s="22" t="s">
        <v>21</v>
      </c>
      <c r="G53" s="22" t="s">
        <v>14</v>
      </c>
      <c r="H53" s="22" t="s">
        <v>356</v>
      </c>
      <c r="I53" s="22" t="s">
        <v>373</v>
      </c>
      <c r="J53" s="22" t="s">
        <v>363</v>
      </c>
      <c r="K53" s="19" t="s">
        <v>453</v>
      </c>
      <c r="L53" s="23" t="str">
        <f t="shared" si="2"/>
        <v>insert into CHB_DATACHECK_RULE_INV values ('zl214A49-6813-5A9E-E050-006F22700046','FinNetValueProductBuild002','lessThanCharLength','bussRepFinProductInfoDto.repRuleComment','==','0','Y','无规律开放说明不能有值。','D');</v>
      </c>
    </row>
    <row r="54" spans="1:12" s="24" customFormat="1" x14ac:dyDescent="0.15">
      <c r="A54" s="22" t="s">
        <v>433</v>
      </c>
      <c r="B54" s="22" t="s">
        <v>224</v>
      </c>
      <c r="C54" s="22" t="s">
        <v>12</v>
      </c>
      <c r="D54" s="22"/>
      <c r="E54" s="22" t="s">
        <v>23</v>
      </c>
      <c r="F54" s="22" t="s">
        <v>21</v>
      </c>
      <c r="G54" s="22" t="s">
        <v>14</v>
      </c>
      <c r="H54" s="22" t="s">
        <v>357</v>
      </c>
      <c r="I54" s="22" t="s">
        <v>370</v>
      </c>
      <c r="J54" s="22" t="s">
        <v>242</v>
      </c>
      <c r="K54" s="19" t="s">
        <v>453</v>
      </c>
      <c r="L54" s="23" t="str">
        <f t="shared" si="2"/>
        <v>insert into CHB_DATACHECK_RULE_INV values ('zl214A49-6813-5A9E-E050-006F22700076','FinNetValueProductBuild002','lessThanCharLength','bussFinProductOpenPlanDto.hdayOpenFlag','==','0','Y','节假日是否开放不能有值。','D');</v>
      </c>
    </row>
    <row r="55" spans="1:12" s="24" customFormat="1" x14ac:dyDescent="0.15">
      <c r="A55" s="22" t="s">
        <v>434</v>
      </c>
      <c r="B55" s="22" t="s">
        <v>224</v>
      </c>
      <c r="C55" s="22" t="s">
        <v>9</v>
      </c>
      <c r="D55" s="22"/>
      <c r="E55" s="22"/>
      <c r="F55" s="22"/>
      <c r="G55" s="22" t="s">
        <v>10</v>
      </c>
      <c r="H55" s="22" t="s">
        <v>345</v>
      </c>
      <c r="I55" s="22" t="s">
        <v>11</v>
      </c>
      <c r="J55" s="22" t="s">
        <v>364</v>
      </c>
      <c r="K55" s="19" t="s">
        <v>453</v>
      </c>
      <c r="L55" s="23" t="str">
        <f t="shared" si="2"/>
        <v>insert into CHB_DATACHECK_RULE_INV values ('zl214A49-6813-5A9E-E050-006F22700086','FinNetValueProductBuild002','isNotEmpty','bussFinProductOpenPlanDto.hdayOpenFlag','','','N','节假日是否开放不能为空。','E');</v>
      </c>
    </row>
    <row r="56" spans="1:12" s="24" customFormat="1" x14ac:dyDescent="0.15">
      <c r="A56" s="22" t="s">
        <v>435</v>
      </c>
      <c r="B56" s="22" t="s">
        <v>224</v>
      </c>
      <c r="C56" s="22" t="s">
        <v>12</v>
      </c>
      <c r="D56" s="22"/>
      <c r="E56" s="22" t="s">
        <v>23</v>
      </c>
      <c r="F56" s="22" t="s">
        <v>21</v>
      </c>
      <c r="G56" s="22" t="s">
        <v>14</v>
      </c>
      <c r="H56" s="22" t="s">
        <v>358</v>
      </c>
      <c r="I56" s="22" t="s">
        <v>11</v>
      </c>
      <c r="J56" s="22" t="s">
        <v>237</v>
      </c>
      <c r="K56" s="19" t="s">
        <v>453</v>
      </c>
      <c r="L56" s="23" t="str">
        <f t="shared" si="2"/>
        <v>insert into CHB_DATACHECK_RULE_INV values ('zl214A49-6813-5A9E-E050-006F22700096','FinNetValueProductBuild002','lessThanCharLength','bussRepFinProductInfoDto.repAvgOpenCount','==','0','Y','平均开放次数（年化）不能有值。','E');</v>
      </c>
    </row>
    <row r="57" spans="1:12" s="24" customFormat="1" x14ac:dyDescent="0.15">
      <c r="A57" s="22" t="s">
        <v>436</v>
      </c>
      <c r="B57" s="22" t="s">
        <v>224</v>
      </c>
      <c r="C57" s="22" t="s">
        <v>9</v>
      </c>
      <c r="D57" s="22"/>
      <c r="E57" s="22"/>
      <c r="F57" s="22"/>
      <c r="G57" s="22" t="s">
        <v>10</v>
      </c>
      <c r="H57" s="22" t="s">
        <v>347</v>
      </c>
      <c r="I57" s="22" t="s">
        <v>373</v>
      </c>
      <c r="J57" s="22" t="s">
        <v>365</v>
      </c>
      <c r="K57" s="19" t="s">
        <v>453</v>
      </c>
      <c r="L57" s="23" t="str">
        <f t="shared" si="2"/>
        <v>insert into CHB_DATACHECK_RULE_INV values ('zl214A49-6813-5A9E-E050-006F227000A6','FinNetValueProductBuild002','isNotEmpty','bussRepFinProductInfoDto.repAvgOpenCount','','','N','平均开放次数（年化）不能为空。','D');</v>
      </c>
    </row>
    <row r="58" spans="1:12" s="24" customFormat="1" x14ac:dyDescent="0.15">
      <c r="A58" s="22" t="s">
        <v>437</v>
      </c>
      <c r="B58" s="22" t="s">
        <v>224</v>
      </c>
      <c r="C58" s="22" t="s">
        <v>12</v>
      </c>
      <c r="D58" s="22"/>
      <c r="E58" s="22" t="s">
        <v>23</v>
      </c>
      <c r="F58" s="22" t="s">
        <v>21</v>
      </c>
      <c r="G58" s="22" t="s">
        <v>14</v>
      </c>
      <c r="H58" s="22" t="s">
        <v>352</v>
      </c>
      <c r="I58" s="22" t="s">
        <v>11</v>
      </c>
      <c r="J58" s="22" t="s">
        <v>366</v>
      </c>
      <c r="K58" s="19" t="s">
        <v>453</v>
      </c>
      <c r="L58" s="23" t="str">
        <f t="shared" si="2"/>
        <v>insert into CHB_DATACHECK_RULE_INV values ('zl214A49-6813-5A9E-E050-006F227000B6','FinNetValueProductBuild002','lessThanCharLength','bussRepFinProductInfoDto.repOpenBuss','==','0','Y','开放期业务不能有值。','E');</v>
      </c>
    </row>
    <row r="59" spans="1:12" s="24" customFormat="1" x14ac:dyDescent="0.15">
      <c r="A59" s="22" t="s">
        <v>438</v>
      </c>
      <c r="B59" s="22" t="s">
        <v>224</v>
      </c>
      <c r="C59" s="22" t="s">
        <v>9</v>
      </c>
      <c r="D59" s="22"/>
      <c r="E59" s="22"/>
      <c r="F59" s="22"/>
      <c r="G59" s="22" t="s">
        <v>10</v>
      </c>
      <c r="H59" s="22" t="s">
        <v>349</v>
      </c>
      <c r="I59" s="22" t="s">
        <v>381</v>
      </c>
      <c r="J59" s="22" t="s">
        <v>367</v>
      </c>
      <c r="K59" s="19" t="s">
        <v>453</v>
      </c>
      <c r="L59" s="23" t="str">
        <f t="shared" si="2"/>
        <v>insert into CHB_DATACHECK_RULE_INV values ('zl214A49-6813-5A9E-E050-006F227000C6','FinNetValueProductBuild002','isNotEmpty','bussRepFinProductInfoDto.repOpenBuss','','','N','开放期业务不能为空。','D');</v>
      </c>
    </row>
    <row r="60" spans="1:12" s="24" customFormat="1" x14ac:dyDescent="0.15">
      <c r="A60" s="22" t="s">
        <v>439</v>
      </c>
      <c r="B60" s="22" t="s">
        <v>224</v>
      </c>
      <c r="C60" s="22" t="s">
        <v>12</v>
      </c>
      <c r="D60" s="22"/>
      <c r="E60" s="22" t="s">
        <v>23</v>
      </c>
      <c r="F60" s="22" t="s">
        <v>21</v>
      </c>
      <c r="G60" s="22" t="s">
        <v>14</v>
      </c>
      <c r="H60" s="22" t="s">
        <v>353</v>
      </c>
      <c r="I60" s="22" t="s">
        <v>11</v>
      </c>
      <c r="J60" s="22" t="s">
        <v>229</v>
      </c>
      <c r="K60" s="19" t="s">
        <v>453</v>
      </c>
      <c r="L60" s="23" t="str">
        <f t="shared" si="2"/>
        <v>insert into CHB_DATACHECK_RULE_INV values ('zl214A49-6813-5A9E-E050-006F227000D6','FinNetValueProductBuild002','lessThanCharLength','bussRepFinProductInfoDto.repOpenBuss','==','0','Y','开放期业务说明不能有值。','E');</v>
      </c>
    </row>
  </sheetData>
  <autoFilter ref="A1:L60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opLeftCell="F1" workbookViewId="0">
      <selection activeCell="G17" sqref="G17"/>
    </sheetView>
  </sheetViews>
  <sheetFormatPr defaultRowHeight="13.5" x14ac:dyDescent="0.15"/>
  <cols>
    <col min="1" max="2" width="40.5" bestFit="1" customWidth="1"/>
    <col min="3" max="3" width="22.75" bestFit="1" customWidth="1"/>
    <col min="4" max="4" width="35.875" customWidth="1"/>
    <col min="5" max="5" width="11.875" customWidth="1"/>
    <col min="6" max="6" width="11" customWidth="1"/>
    <col min="7" max="7" width="36.5" customWidth="1"/>
    <col min="8" max="8" width="12.375" customWidth="1"/>
    <col min="9" max="9" width="14.125" customWidth="1"/>
  </cols>
  <sheetData>
    <row r="1" spans="1:10" s="3" customFormat="1" x14ac:dyDescent="0.15">
      <c r="A1" s="2" t="s">
        <v>165</v>
      </c>
      <c r="B1" s="2" t="s">
        <v>211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4" t="s">
        <v>210</v>
      </c>
      <c r="J1" s="6" t="s">
        <v>225</v>
      </c>
    </row>
    <row r="2" spans="1:10" s="24" customFormat="1" x14ac:dyDescent="0.15">
      <c r="A2" s="22" t="s">
        <v>122</v>
      </c>
      <c r="B2" s="22" t="s">
        <v>37</v>
      </c>
      <c r="C2" s="22" t="s">
        <v>32</v>
      </c>
      <c r="D2" s="22" t="s">
        <v>212</v>
      </c>
      <c r="E2" s="22" t="s">
        <v>23</v>
      </c>
      <c r="F2" s="22" t="s">
        <v>166</v>
      </c>
      <c r="G2" s="22" t="s">
        <v>123</v>
      </c>
      <c r="H2" s="22" t="s">
        <v>239</v>
      </c>
      <c r="I2" s="23" t="s">
        <v>227</v>
      </c>
      <c r="J2" s="24" t="str">
        <f t="shared" ref="J2:J11" si="0">CONCATENATE("INSERT INTO CHB_DATACHECK_CONDITION_INV VALUES ('",A2,"','",B2,"','",C2,"','",I2,"','",E2,"','",F2,"','",G2,"','",H2,"');")</f>
        <v>INSERT INTO CHB_DATACHECK_CONDITION_INV VALUES ('ys214A49-6813-5A9E-E050-107F22700007','ys214A49-6813-5A9E-E050-007F22700005','compareValue','bussRepFinProductInfoDto.repOpenCircle','==','99','规律开放周期为其他规律开放周期时','E');</v>
      </c>
    </row>
    <row r="3" spans="1:10" s="24" customFormat="1" x14ac:dyDescent="0.15">
      <c r="A3" s="22" t="s">
        <v>120</v>
      </c>
      <c r="B3" s="22" t="s">
        <v>440</v>
      </c>
      <c r="C3" s="22" t="s">
        <v>32</v>
      </c>
      <c r="D3" s="22" t="s">
        <v>77</v>
      </c>
      <c r="E3" s="22" t="s">
        <v>33</v>
      </c>
      <c r="F3" s="22" t="s">
        <v>166</v>
      </c>
      <c r="G3" s="22" t="s">
        <v>121</v>
      </c>
      <c r="H3" s="22" t="s">
        <v>239</v>
      </c>
      <c r="I3" s="23" t="s">
        <v>227</v>
      </c>
      <c r="J3" s="24" t="str">
        <f t="shared" si="0"/>
        <v>INSERT INTO CHB_DATACHECK_CONDITION_INV VALUES ('873E4A49-6810-5A9E-E050-007F01006A31','873E4A49-6810-5A9E-E050-007F01006A37','compareValue','bussRepFinProductInfoDto.repOpenCircle','!=','99','规律开放周期为每天开放时','E');</v>
      </c>
    </row>
    <row r="4" spans="1:10" s="24" customFormat="1" x14ac:dyDescent="0.15">
      <c r="A4" s="22" t="s">
        <v>101</v>
      </c>
      <c r="B4" s="22" t="s">
        <v>49</v>
      </c>
      <c r="C4" s="22" t="s">
        <v>32</v>
      </c>
      <c r="D4" s="22" t="s">
        <v>213</v>
      </c>
      <c r="E4" s="22" t="s">
        <v>23</v>
      </c>
      <c r="F4" s="22" t="s">
        <v>30</v>
      </c>
      <c r="G4" s="22" t="s">
        <v>115</v>
      </c>
      <c r="H4" s="22" t="s">
        <v>239</v>
      </c>
      <c r="I4" s="23" t="s">
        <v>228</v>
      </c>
      <c r="J4" s="24" t="str">
        <f t="shared" si="0"/>
        <v>INSERT INTO CHB_DATACHECK_CONDITION_INV VALUES ('ys214A49-6813-5A9E-E050-007F22700009','ys214A49-6813-5A9E-E050-007F22700007','compareValue','bussRepFinProductInfoDto.repOpenMode','==','01','当开放模式为有规律开放时','E');</v>
      </c>
    </row>
    <row r="5" spans="1:10" s="24" customFormat="1" x14ac:dyDescent="0.15">
      <c r="A5" s="22" t="s">
        <v>37</v>
      </c>
      <c r="B5" s="22" t="s">
        <v>76</v>
      </c>
      <c r="C5" s="22" t="s">
        <v>32</v>
      </c>
      <c r="D5" s="22" t="s">
        <v>70</v>
      </c>
      <c r="E5" s="22" t="s">
        <v>23</v>
      </c>
      <c r="F5" s="22" t="s">
        <v>30</v>
      </c>
      <c r="G5" s="22" t="s">
        <v>115</v>
      </c>
      <c r="H5" s="22" t="s">
        <v>239</v>
      </c>
      <c r="I5" s="23" t="s">
        <v>228</v>
      </c>
      <c r="J5" s="24" t="str">
        <f t="shared" si="0"/>
        <v>INSERT INTO CHB_DATACHECK_CONDITION_INV VALUES ('ys214A49-6813-5A9E-E050-007F22700005','ys214A49-6813-5A9E-E050-007F22700002','compareValue','bussRepFinProductInfoDto.repOpenMode','==','01','当开放模式为有规律开放时','E');</v>
      </c>
    </row>
    <row r="6" spans="1:10" s="24" customFormat="1" x14ac:dyDescent="0.15">
      <c r="A6" s="22" t="s">
        <v>49</v>
      </c>
      <c r="B6" s="22" t="s">
        <v>37</v>
      </c>
      <c r="C6" s="22" t="s">
        <v>32</v>
      </c>
      <c r="D6" s="22" t="s">
        <v>70</v>
      </c>
      <c r="E6" s="22" t="s">
        <v>23</v>
      </c>
      <c r="F6" s="22" t="s">
        <v>30</v>
      </c>
      <c r="G6" s="22" t="s">
        <v>119</v>
      </c>
      <c r="H6" s="22" t="s">
        <v>239</v>
      </c>
      <c r="I6" s="23" t="s">
        <v>228</v>
      </c>
      <c r="J6" s="24" t="str">
        <f t="shared" si="0"/>
        <v>INSERT INTO CHB_DATACHECK_CONDITION_INV VALUES ('ys214A49-6813-5A9E-E050-007F22700007','ys214A49-6813-5A9E-E050-007F22700005','compareValue','bussRepFinProductInfoDto.repOpenMode','==','01','当开放模式为有规律开放、','E');</v>
      </c>
    </row>
    <row r="7" spans="1:10" s="24" customFormat="1" x14ac:dyDescent="0.15">
      <c r="A7" s="22" t="s">
        <v>52</v>
      </c>
      <c r="B7" s="22" t="s">
        <v>40</v>
      </c>
      <c r="C7" s="22" t="s">
        <v>32</v>
      </c>
      <c r="D7" s="22" t="s">
        <v>70</v>
      </c>
      <c r="E7" s="22" t="s">
        <v>33</v>
      </c>
      <c r="F7" s="22" t="s">
        <v>30</v>
      </c>
      <c r="G7" s="22" t="s">
        <v>116</v>
      </c>
      <c r="H7" s="22" t="s">
        <v>239</v>
      </c>
      <c r="I7" s="23" t="s">
        <v>228</v>
      </c>
      <c r="J7" s="24" t="str">
        <f t="shared" si="0"/>
        <v>INSERT INTO CHB_DATACHECK_CONDITION_INV VALUES ('ys214A49-6813-5A9E-E050-007F22700008','ys214A49-6813-5A9E-E050-007F22700006','compareValue','bussRepFinProductInfoDto.repOpenMode','!=','01','当开放模式为无规律开放时','E');</v>
      </c>
    </row>
    <row r="8" spans="1:10" s="24" customFormat="1" x14ac:dyDescent="0.15">
      <c r="A8" s="22" t="s">
        <v>310</v>
      </c>
      <c r="B8" s="22" t="s">
        <v>441</v>
      </c>
      <c r="C8" s="22" t="s">
        <v>32</v>
      </c>
      <c r="D8" s="22" t="s">
        <v>70</v>
      </c>
      <c r="E8" s="22" t="s">
        <v>23</v>
      </c>
      <c r="F8" s="22" t="s">
        <v>167</v>
      </c>
      <c r="G8" s="22" t="s">
        <v>116</v>
      </c>
      <c r="H8" s="22" t="s">
        <v>239</v>
      </c>
      <c r="I8" s="23" t="s">
        <v>228</v>
      </c>
      <c r="J8" s="24" t="str">
        <f t="shared" si="0"/>
        <v>INSERT INTO CHB_DATACHECK_CONDITION_INV VALUES ('ys214A49-6813-5A9E-E050-007F22700006','ys214A49-6813-5A9E-E050-007F22700003','compareValue','bussRepFinProductInfoDto.repOpenMode','==','02','当开放模式为无规律开放时','E');</v>
      </c>
    </row>
    <row r="9" spans="1:10" s="24" customFormat="1" x14ac:dyDescent="0.15">
      <c r="A9" s="22" t="s">
        <v>118</v>
      </c>
      <c r="B9" s="22" t="s">
        <v>42</v>
      </c>
      <c r="C9" s="22" t="s">
        <v>32</v>
      </c>
      <c r="D9" s="22" t="s">
        <v>70</v>
      </c>
      <c r="E9" s="22" t="s">
        <v>23</v>
      </c>
      <c r="F9" s="22" t="s">
        <v>30</v>
      </c>
      <c r="G9" s="22" t="s">
        <v>119</v>
      </c>
      <c r="H9" s="22" t="s">
        <v>239</v>
      </c>
      <c r="I9" s="23" t="s">
        <v>228</v>
      </c>
      <c r="J9" s="24" t="str">
        <f t="shared" si="0"/>
        <v>INSERT INTO CHB_DATACHECK_CONDITION_INV VALUES ('873E4A49-6810-5A9E-E050-007F01006A19','873E4A49-6810-5A9E-E050-007F01006A37','compareValue','bussRepFinProductInfoDto.repOpenMode','==','01','当开放模式为有规律开放、','E');</v>
      </c>
    </row>
    <row r="10" spans="1:10" s="24" customFormat="1" x14ac:dyDescent="0.15">
      <c r="A10" s="22" t="s">
        <v>124</v>
      </c>
      <c r="B10" s="22" t="s">
        <v>46</v>
      </c>
      <c r="C10" s="22" t="s">
        <v>32</v>
      </c>
      <c r="D10" s="22" t="s">
        <v>70</v>
      </c>
      <c r="E10" s="22" t="s">
        <v>23</v>
      </c>
      <c r="F10" s="22" t="s">
        <v>167</v>
      </c>
      <c r="G10" s="22" t="s">
        <v>116</v>
      </c>
      <c r="H10" s="22" t="s">
        <v>239</v>
      </c>
      <c r="I10" s="23" t="s">
        <v>228</v>
      </c>
      <c r="J10" s="24" t="str">
        <f t="shared" si="0"/>
        <v>INSERT INTO CHB_DATACHECK_CONDITION_INV VALUES ('873E4A49-6810-5A9E-E050-007F01006A21','873E4A49-6810-5A9E-E050-007F01006A38','compareValue','bussRepFinProductInfoDto.repOpenMode','==','02','当开放模式为无规律开放时','E');</v>
      </c>
    </row>
    <row r="11" spans="1:10" s="24" customFormat="1" x14ac:dyDescent="0.15">
      <c r="A11" s="22" t="s">
        <v>89</v>
      </c>
      <c r="B11" s="22" t="s">
        <v>89</v>
      </c>
      <c r="C11" s="22" t="s">
        <v>32</v>
      </c>
      <c r="D11" s="22" t="s">
        <v>96</v>
      </c>
      <c r="E11" s="22" t="s">
        <v>23</v>
      </c>
      <c r="F11" s="22" t="s">
        <v>166</v>
      </c>
      <c r="G11" s="22" t="s">
        <v>117</v>
      </c>
      <c r="H11" s="22" t="s">
        <v>239</v>
      </c>
      <c r="I11" s="23" t="s">
        <v>229</v>
      </c>
      <c r="J11" s="24" t="str">
        <f t="shared" si="0"/>
        <v>INSERT INTO CHB_DATACHECK_CONDITION_INV VALUES ('ys214A49-6813-5A9E-E050-007F22700016','ys214A49-6813-5A9E-E050-007F22700016','compareValue','bussRepFinProductInfoDto.repOpenBuss','==','99','当开放期业务为其他时','E');</v>
      </c>
    </row>
    <row r="12" spans="1:10" s="23" customFormat="1" x14ac:dyDescent="0.15">
      <c r="A12" s="23" t="s">
        <v>311</v>
      </c>
      <c r="B12" s="23" t="s">
        <v>327</v>
      </c>
      <c r="C12" s="23" t="s">
        <v>29</v>
      </c>
      <c r="E12" s="22" t="s">
        <v>23</v>
      </c>
      <c r="F12" s="22" t="s">
        <v>306</v>
      </c>
      <c r="G12" s="23" t="s">
        <v>308</v>
      </c>
      <c r="H12" s="22" t="s">
        <v>239</v>
      </c>
      <c r="I12" s="23" t="s">
        <v>323</v>
      </c>
      <c r="J12" s="24" t="str">
        <f t="shared" ref="J12:J23" si="1">CONCATENATE("INSERT INTO CHB_DATACHECK_CONDITION_INV VALUES ('",A12,"','",B12,"','",C12,"','",I12,"','",E12,"','",F12,"','",G12,"','",H12,"');")</f>
        <v>INSERT INTO CHB_DATACHECK_CONDITION_INV VALUES ('zl214A49-6813-5A9E-E050-007F22700006','zl214A49-6813-5A9E-E050-006F22700006','inArray','bussRepFinProductInfoDto.repOperateMode','==','01,02','当产品运作模式选择“封闭式净值型”和“封闭式非净值型”的产品时','E');</v>
      </c>
    </row>
    <row r="13" spans="1:10" s="23" customFormat="1" x14ac:dyDescent="0.15">
      <c r="A13" s="23" t="s">
        <v>312</v>
      </c>
      <c r="B13" s="23" t="s">
        <v>328</v>
      </c>
      <c r="C13" s="23" t="s">
        <v>29</v>
      </c>
      <c r="E13" s="22" t="s">
        <v>23</v>
      </c>
      <c r="F13" s="22" t="s">
        <v>305</v>
      </c>
      <c r="G13" s="22" t="s">
        <v>309</v>
      </c>
      <c r="H13" s="22" t="s">
        <v>239</v>
      </c>
      <c r="I13" s="23" t="s">
        <v>324</v>
      </c>
      <c r="J13" s="24" t="str">
        <f t="shared" si="1"/>
        <v>INSERT INTO CHB_DATACHECK_CONDITION_INV VALUES ('zl214A49-6813-5A9E-E050-007F22700016','zl214A49-6813-5A9E-E050-006F22700016','inArray','bussRepFinProductInfoDto.repOperateMode','==','03,04','当产品运作模式选择“开放式净值型”和“开放式非净值型”的产品时','E');</v>
      </c>
    </row>
    <row r="14" spans="1:10" s="23" customFormat="1" x14ac:dyDescent="0.15">
      <c r="A14" s="23" t="s">
        <v>313</v>
      </c>
      <c r="B14" s="23" t="s">
        <v>329</v>
      </c>
      <c r="C14" s="23" t="s">
        <v>29</v>
      </c>
      <c r="E14" s="22" t="s">
        <v>23</v>
      </c>
      <c r="F14" s="22" t="s">
        <v>306</v>
      </c>
      <c r="G14" s="23" t="s">
        <v>308</v>
      </c>
      <c r="H14" s="22" t="s">
        <v>239</v>
      </c>
      <c r="I14" s="23" t="s">
        <v>324</v>
      </c>
      <c r="J14" s="24" t="str">
        <f t="shared" si="1"/>
        <v>INSERT INTO CHB_DATACHECK_CONDITION_INV VALUES ('zl214A49-6813-5A9E-E050-007F22700026','zl214A49-6813-5A9E-E050-006F22700026','inArray','bussRepFinProductInfoDto.repOperateMode','==','01,02','当产品运作模式选择“封闭式净值型”和“封闭式非净值型”的产品时','E');</v>
      </c>
    </row>
    <row r="15" spans="1:10" s="23" customFormat="1" x14ac:dyDescent="0.15">
      <c r="A15" s="23" t="s">
        <v>314</v>
      </c>
      <c r="B15" s="23" t="s">
        <v>330</v>
      </c>
      <c r="C15" s="23" t="s">
        <v>29</v>
      </c>
      <c r="E15" s="22" t="s">
        <v>23</v>
      </c>
      <c r="F15" s="22" t="s">
        <v>306</v>
      </c>
      <c r="G15" s="23" t="s">
        <v>308</v>
      </c>
      <c r="H15" s="22" t="s">
        <v>239</v>
      </c>
      <c r="I15" s="23" t="s">
        <v>325</v>
      </c>
      <c r="J15" s="24" t="str">
        <f t="shared" si="1"/>
        <v>INSERT INTO CHB_DATACHECK_CONDITION_INV VALUES ('zl214A49-6813-5A9E-E050-007F22700036','zl214A49-6813-5A9E-E050-006F22700036','inArray','bussRepFinProductInfoDto.repOperateMode','==','01,02','当产品运作模式选择“封闭式净值型”和“封闭式非净值型”的产品时','E');</v>
      </c>
    </row>
    <row r="16" spans="1:10" s="23" customFormat="1" x14ac:dyDescent="0.15">
      <c r="A16" s="23" t="s">
        <v>315</v>
      </c>
      <c r="B16" s="23" t="s">
        <v>331</v>
      </c>
      <c r="C16" s="23" t="s">
        <v>29</v>
      </c>
      <c r="E16" s="22" t="s">
        <v>23</v>
      </c>
      <c r="F16" s="22" t="s">
        <v>306</v>
      </c>
      <c r="G16" s="23" t="s">
        <v>308</v>
      </c>
      <c r="H16" s="22" t="s">
        <v>239</v>
      </c>
      <c r="I16" s="23" t="s">
        <v>323</v>
      </c>
      <c r="J16" s="24" t="str">
        <f t="shared" si="1"/>
        <v>INSERT INTO CHB_DATACHECK_CONDITION_INV VALUES ('zl214A49-6813-5A9E-E050-007F22700046','zl214A49-6813-5A9E-E050-006F22700046','inArray','bussRepFinProductInfoDto.repOperateMode','==','01,02','当产品运作模式选择“封闭式净值型”和“封闭式非净值型”的产品时','E');</v>
      </c>
    </row>
    <row r="17" spans="1:10" s="23" customFormat="1" x14ac:dyDescent="0.15">
      <c r="A17" s="23" t="s">
        <v>316</v>
      </c>
      <c r="B17" s="23" t="s">
        <v>332</v>
      </c>
      <c r="C17" s="23" t="s">
        <v>29</v>
      </c>
      <c r="E17" s="22" t="s">
        <v>23</v>
      </c>
      <c r="F17" s="22" t="s">
        <v>306</v>
      </c>
      <c r="G17" s="23" t="s">
        <v>308</v>
      </c>
      <c r="H17" s="22" t="s">
        <v>239</v>
      </c>
      <c r="I17" s="23" t="s">
        <v>323</v>
      </c>
      <c r="J17" s="24" t="str">
        <f t="shared" si="1"/>
        <v>INSERT INTO CHB_DATACHECK_CONDITION_INV VALUES ('zl214A49-6813-5A9E-E050-007F22700076','zl214A49-6813-5A9E-E050-006F22700076','inArray','bussRepFinProductInfoDto.repOperateMode','==','01,02','当产品运作模式选择“封闭式净值型”和“封闭式非净值型”的产品时','E');</v>
      </c>
    </row>
    <row r="18" spans="1:10" s="23" customFormat="1" x14ac:dyDescent="0.15">
      <c r="A18" s="23" t="s">
        <v>317</v>
      </c>
      <c r="B18" s="23" t="s">
        <v>333</v>
      </c>
      <c r="C18" s="23" t="s">
        <v>29</v>
      </c>
      <c r="E18" s="22" t="s">
        <v>23</v>
      </c>
      <c r="F18" s="22" t="s">
        <v>305</v>
      </c>
      <c r="G18" s="22" t="s">
        <v>309</v>
      </c>
      <c r="H18" s="22" t="s">
        <v>239</v>
      </c>
      <c r="I18" s="23" t="s">
        <v>323</v>
      </c>
      <c r="J18" s="24" t="str">
        <f t="shared" si="1"/>
        <v>INSERT INTO CHB_DATACHECK_CONDITION_INV VALUES ('zl214A49-6813-5A9E-E050-007F22700086','zl214A49-6813-5A9E-E050-006F22700086','inArray','bussRepFinProductInfoDto.repOperateMode','==','03,04','当产品运作模式选择“开放式净值型”和“开放式非净值型”的产品时','E');</v>
      </c>
    </row>
    <row r="19" spans="1:10" s="23" customFormat="1" x14ac:dyDescent="0.15">
      <c r="A19" s="23" t="s">
        <v>318</v>
      </c>
      <c r="B19" s="23" t="s">
        <v>334</v>
      </c>
      <c r="C19" s="23" t="s">
        <v>29</v>
      </c>
      <c r="E19" s="22" t="s">
        <v>23</v>
      </c>
      <c r="F19" s="22" t="s">
        <v>306</v>
      </c>
      <c r="G19" s="23" t="s">
        <v>308</v>
      </c>
      <c r="H19" s="22" t="s">
        <v>239</v>
      </c>
      <c r="I19" s="23" t="s">
        <v>323</v>
      </c>
      <c r="J19" s="24" t="str">
        <f t="shared" si="1"/>
        <v>INSERT INTO CHB_DATACHECK_CONDITION_INV VALUES ('zl214A49-6813-5A9E-E050-007F22700096','zl214A49-6813-5A9E-E050-006F22700096','inArray','bussRepFinProductInfoDto.repOperateMode','==','01,02','当产品运作模式选择“封闭式净值型”和“封闭式非净值型”的产品时','E');</v>
      </c>
    </row>
    <row r="20" spans="1:10" s="23" customFormat="1" x14ac:dyDescent="0.15">
      <c r="A20" s="23" t="s">
        <v>319</v>
      </c>
      <c r="B20" s="23" t="s">
        <v>335</v>
      </c>
      <c r="C20" s="23" t="s">
        <v>29</v>
      </c>
      <c r="E20" s="22" t="s">
        <v>23</v>
      </c>
      <c r="F20" s="22" t="s">
        <v>305</v>
      </c>
      <c r="G20" s="22" t="s">
        <v>309</v>
      </c>
      <c r="H20" s="22" t="s">
        <v>239</v>
      </c>
      <c r="I20" s="23" t="s">
        <v>323</v>
      </c>
      <c r="J20" s="24" t="str">
        <f t="shared" si="1"/>
        <v>INSERT INTO CHB_DATACHECK_CONDITION_INV VALUES ('zl214A49-6813-5A9E-E050-007F227000A6','zl214A49-6813-5A9E-E050-006F227000A6','inArray','bussRepFinProductInfoDto.repOperateMode','==','03,04','当产品运作模式选择“开放式净值型”和“开放式非净值型”的产品时','E');</v>
      </c>
    </row>
    <row r="21" spans="1:10" s="23" customFormat="1" x14ac:dyDescent="0.15">
      <c r="A21" s="23" t="s">
        <v>320</v>
      </c>
      <c r="B21" s="23" t="s">
        <v>336</v>
      </c>
      <c r="C21" s="23" t="s">
        <v>29</v>
      </c>
      <c r="E21" s="22" t="s">
        <v>23</v>
      </c>
      <c r="F21" s="22" t="s">
        <v>306</v>
      </c>
      <c r="G21" s="23" t="s">
        <v>308</v>
      </c>
      <c r="H21" s="22" t="s">
        <v>239</v>
      </c>
      <c r="I21" s="23" t="s">
        <v>323</v>
      </c>
      <c r="J21" s="24" t="str">
        <f t="shared" si="1"/>
        <v>INSERT INTO CHB_DATACHECK_CONDITION_INV VALUES ('zl214A49-6813-5A9E-E050-007F227000B6','zl214A49-6813-5A9E-E050-006F227000B6','inArray','bussRepFinProductInfoDto.repOperateMode','==','01,02','当产品运作模式选择“封闭式净值型”和“封闭式非净值型”的产品时','E');</v>
      </c>
    </row>
    <row r="22" spans="1:10" s="23" customFormat="1" x14ac:dyDescent="0.15">
      <c r="A22" s="23" t="s">
        <v>321</v>
      </c>
      <c r="B22" s="23" t="s">
        <v>337</v>
      </c>
      <c r="C22" s="23" t="s">
        <v>29</v>
      </c>
      <c r="E22" s="22" t="s">
        <v>23</v>
      </c>
      <c r="F22" s="22" t="s">
        <v>305</v>
      </c>
      <c r="G22" s="22" t="s">
        <v>309</v>
      </c>
      <c r="H22" s="22" t="s">
        <v>239</v>
      </c>
      <c r="I22" s="23" t="s">
        <v>323</v>
      </c>
      <c r="J22" s="24" t="str">
        <f t="shared" si="1"/>
        <v>INSERT INTO CHB_DATACHECK_CONDITION_INV VALUES ('zl214A49-6813-5A9E-E050-007F227000C6','zl214A49-6813-5A9E-E050-006F227000C6','inArray','bussRepFinProductInfoDto.repOperateMode','==','03,04','当产品运作模式选择“开放式净值型”和“开放式非净值型”的产品时','E');</v>
      </c>
    </row>
    <row r="23" spans="1:10" s="23" customFormat="1" x14ac:dyDescent="0.15">
      <c r="A23" s="23" t="s">
        <v>322</v>
      </c>
      <c r="B23" s="23" t="s">
        <v>338</v>
      </c>
      <c r="C23" s="23" t="s">
        <v>29</v>
      </c>
      <c r="E23" s="22" t="s">
        <v>23</v>
      </c>
      <c r="F23" s="22" t="s">
        <v>306</v>
      </c>
      <c r="G23" s="23" t="s">
        <v>308</v>
      </c>
      <c r="H23" s="22" t="s">
        <v>239</v>
      </c>
      <c r="I23" s="23" t="s">
        <v>326</v>
      </c>
      <c r="J23" s="24" t="str">
        <f t="shared" si="1"/>
        <v>INSERT INTO CHB_DATACHECK_CONDITION_INV VALUES ('zl214A49-6813-5A9E-E050-007F227000D6','zl214A49-6813-5A9E-E050-006F227000D6','inArray','bussRepFinProductInfoDto.repOperateMode','==','01,02','当产品运作模式选择“封闭式净值型”和“封闭式非净值型”的产品时','E');</v>
      </c>
    </row>
  </sheetData>
  <autoFilter ref="A1:H23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opLeftCell="A4" workbookViewId="0">
      <selection activeCell="C10" sqref="C10:G10"/>
    </sheetView>
  </sheetViews>
  <sheetFormatPr defaultRowHeight="13.5" x14ac:dyDescent="0.15"/>
  <cols>
    <col min="2" max="2" width="22.125" customWidth="1"/>
    <col min="3" max="3" width="22.625" customWidth="1"/>
    <col min="4" max="4" width="21.75" customWidth="1"/>
    <col min="5" max="5" width="7.625" customWidth="1"/>
    <col min="6" max="6" width="6.875" customWidth="1"/>
    <col min="7" max="7" width="48.375" customWidth="1"/>
  </cols>
  <sheetData>
    <row r="1" spans="1:8" ht="25.5" customHeight="1" x14ac:dyDescent="0.15">
      <c r="A1" s="7" t="s">
        <v>245</v>
      </c>
      <c r="B1" s="7" t="s">
        <v>246</v>
      </c>
      <c r="C1" s="8" t="s">
        <v>247</v>
      </c>
      <c r="D1" s="9" t="s">
        <v>248</v>
      </c>
      <c r="E1" s="7" t="s">
        <v>249</v>
      </c>
      <c r="F1" s="7" t="s">
        <v>250</v>
      </c>
      <c r="G1" s="9" t="s">
        <v>251</v>
      </c>
      <c r="H1" s="5"/>
    </row>
    <row r="2" spans="1:8" ht="22.5" customHeight="1" x14ac:dyDescent="0.15">
      <c r="A2" s="10" t="s">
        <v>252</v>
      </c>
      <c r="B2" s="11" t="s">
        <v>253</v>
      </c>
      <c r="C2" s="12" t="s">
        <v>254</v>
      </c>
      <c r="D2" s="13" t="s">
        <v>255</v>
      </c>
      <c r="E2" s="11" t="s">
        <v>256</v>
      </c>
      <c r="F2" s="14" t="s">
        <v>258</v>
      </c>
      <c r="G2" s="13" t="s">
        <v>259</v>
      </c>
      <c r="H2" s="13" t="s">
        <v>302</v>
      </c>
    </row>
    <row r="3" spans="1:8" ht="48.75" customHeight="1" x14ac:dyDescent="0.15">
      <c r="A3" s="10" t="s">
        <v>260</v>
      </c>
      <c r="B3" s="11" t="s">
        <v>261</v>
      </c>
      <c r="C3" s="12" t="s">
        <v>254</v>
      </c>
      <c r="D3" s="13" t="s">
        <v>262</v>
      </c>
      <c r="E3" s="11" t="s">
        <v>263</v>
      </c>
      <c r="F3" s="14" t="s">
        <v>257</v>
      </c>
      <c r="G3" s="15" t="s">
        <v>264</v>
      </c>
      <c r="H3" s="13" t="s">
        <v>302</v>
      </c>
    </row>
    <row r="4" spans="1:8" ht="25.5" customHeight="1" x14ac:dyDescent="0.15">
      <c r="A4" s="10" t="s">
        <v>265</v>
      </c>
      <c r="B4" s="11" t="s">
        <v>261</v>
      </c>
      <c r="C4" s="12" t="s">
        <v>266</v>
      </c>
      <c r="D4" s="13" t="s">
        <v>267</v>
      </c>
      <c r="E4" s="11" t="s">
        <v>263</v>
      </c>
      <c r="F4" s="14" t="s">
        <v>258</v>
      </c>
      <c r="G4" s="13" t="s">
        <v>268</v>
      </c>
      <c r="H4" s="13" t="s">
        <v>302</v>
      </c>
    </row>
    <row r="5" spans="1:8" ht="21.75" customHeight="1" x14ac:dyDescent="0.15">
      <c r="A5" s="10" t="s">
        <v>269</v>
      </c>
      <c r="B5" s="11" t="s">
        <v>261</v>
      </c>
      <c r="C5" s="12" t="s">
        <v>271</v>
      </c>
      <c r="D5" s="13" t="s">
        <v>272</v>
      </c>
      <c r="E5" s="11" t="s">
        <v>256</v>
      </c>
      <c r="F5" s="11" t="s">
        <v>258</v>
      </c>
      <c r="G5" s="13" t="s">
        <v>273</v>
      </c>
      <c r="H5" s="13" t="s">
        <v>302</v>
      </c>
    </row>
    <row r="6" spans="1:8" x14ac:dyDescent="0.15">
      <c r="A6" s="10" t="s">
        <v>274</v>
      </c>
      <c r="B6" s="11" t="s">
        <v>261</v>
      </c>
      <c r="C6" s="12" t="s">
        <v>270</v>
      </c>
      <c r="D6" s="15" t="s">
        <v>275</v>
      </c>
      <c r="E6" s="11" t="s">
        <v>263</v>
      </c>
      <c r="F6" s="11" t="s">
        <v>258</v>
      </c>
      <c r="G6" s="15" t="s">
        <v>276</v>
      </c>
      <c r="H6" s="13" t="s">
        <v>302</v>
      </c>
    </row>
    <row r="7" spans="1:8" x14ac:dyDescent="0.15">
      <c r="A7" s="10" t="s">
        <v>277</v>
      </c>
      <c r="B7" s="11" t="s">
        <v>261</v>
      </c>
      <c r="C7" s="12" t="s">
        <v>278</v>
      </c>
      <c r="D7" s="15" t="s">
        <v>279</v>
      </c>
      <c r="E7" s="11" t="s">
        <v>263</v>
      </c>
      <c r="F7" s="14" t="s">
        <v>258</v>
      </c>
      <c r="G7" s="15" t="s">
        <v>280</v>
      </c>
      <c r="H7" s="13" t="s">
        <v>304</v>
      </c>
    </row>
    <row r="8" spans="1:8" ht="48" x14ac:dyDescent="0.15">
      <c r="A8" s="10" t="s">
        <v>281</v>
      </c>
      <c r="B8" s="11" t="s">
        <v>261</v>
      </c>
      <c r="C8" s="16" t="s">
        <v>282</v>
      </c>
      <c r="D8" s="15" t="s">
        <v>283</v>
      </c>
      <c r="E8" s="11" t="s">
        <v>285</v>
      </c>
      <c r="F8" s="11" t="s">
        <v>258</v>
      </c>
      <c r="G8" s="17" t="s">
        <v>307</v>
      </c>
      <c r="H8" s="13" t="s">
        <v>303</v>
      </c>
    </row>
    <row r="9" spans="1:8" x14ac:dyDescent="0.15">
      <c r="A9" s="10" t="s">
        <v>286</v>
      </c>
      <c r="B9" s="11" t="s">
        <v>261</v>
      </c>
      <c r="C9" s="12" t="s">
        <v>287</v>
      </c>
      <c r="D9" s="15" t="s">
        <v>288</v>
      </c>
      <c r="E9" s="11" t="s">
        <v>285</v>
      </c>
      <c r="F9" s="11" t="s">
        <v>258</v>
      </c>
      <c r="G9" s="15" t="s">
        <v>340</v>
      </c>
      <c r="H9" s="13" t="s">
        <v>303</v>
      </c>
    </row>
    <row r="10" spans="1:8" x14ac:dyDescent="0.15">
      <c r="A10" s="10" t="s">
        <v>289</v>
      </c>
      <c r="B10" s="11" t="s">
        <v>261</v>
      </c>
      <c r="C10" s="12" t="s">
        <v>290</v>
      </c>
      <c r="D10" s="15" t="s">
        <v>288</v>
      </c>
      <c r="E10" s="11" t="s">
        <v>284</v>
      </c>
      <c r="F10" s="11" t="s">
        <v>258</v>
      </c>
      <c r="G10" s="15" t="s">
        <v>341</v>
      </c>
      <c r="H10" s="13" t="s">
        <v>303</v>
      </c>
    </row>
    <row r="11" spans="1:8" x14ac:dyDescent="0.15">
      <c r="A11" s="10" t="s">
        <v>291</v>
      </c>
      <c r="B11" s="11" t="s">
        <v>261</v>
      </c>
      <c r="C11" s="12" t="s">
        <v>292</v>
      </c>
      <c r="D11" s="15" t="s">
        <v>288</v>
      </c>
      <c r="E11" s="11" t="s">
        <v>284</v>
      </c>
      <c r="F11" s="11" t="s">
        <v>258</v>
      </c>
      <c r="G11" s="15" t="s">
        <v>342</v>
      </c>
      <c r="H11" s="13" t="s">
        <v>303</v>
      </c>
    </row>
    <row r="12" spans="1:8" ht="48" x14ac:dyDescent="0.15">
      <c r="A12" s="10" t="s">
        <v>293</v>
      </c>
      <c r="B12" s="11" t="s">
        <v>261</v>
      </c>
      <c r="C12" s="16" t="s">
        <v>294</v>
      </c>
      <c r="D12" s="15" t="s">
        <v>295</v>
      </c>
      <c r="E12" s="11" t="s">
        <v>285</v>
      </c>
      <c r="F12" s="11" t="s">
        <v>258</v>
      </c>
      <c r="G12" s="17" t="s">
        <v>343</v>
      </c>
      <c r="H12" s="13" t="s">
        <v>303</v>
      </c>
    </row>
    <row r="13" spans="1:8" ht="48" x14ac:dyDescent="0.15">
      <c r="A13" s="10" t="s">
        <v>296</v>
      </c>
      <c r="B13" s="11" t="s">
        <v>261</v>
      </c>
      <c r="C13" s="16" t="s">
        <v>297</v>
      </c>
      <c r="D13" s="15" t="s">
        <v>295</v>
      </c>
      <c r="E13" s="11" t="s">
        <v>285</v>
      </c>
      <c r="F13" s="11" t="s">
        <v>258</v>
      </c>
      <c r="G13" s="17" t="s">
        <v>344</v>
      </c>
      <c r="H13" s="13" t="s">
        <v>303</v>
      </c>
    </row>
    <row r="14" spans="1:8" ht="48" x14ac:dyDescent="0.15">
      <c r="A14" s="10" t="s">
        <v>298</v>
      </c>
      <c r="B14" s="11" t="s">
        <v>261</v>
      </c>
      <c r="C14" s="16" t="s">
        <v>103</v>
      </c>
      <c r="D14" s="15" t="s">
        <v>295</v>
      </c>
      <c r="E14" s="11" t="s">
        <v>285</v>
      </c>
      <c r="F14" s="11" t="s">
        <v>258</v>
      </c>
      <c r="G14" s="17" t="s">
        <v>346</v>
      </c>
      <c r="H14" s="13" t="s">
        <v>303</v>
      </c>
    </row>
    <row r="15" spans="1:8" ht="48" x14ac:dyDescent="0.15">
      <c r="A15" s="10" t="s">
        <v>299</v>
      </c>
      <c r="B15" s="11" t="s">
        <v>253</v>
      </c>
      <c r="C15" s="16" t="s">
        <v>96</v>
      </c>
      <c r="D15" s="15" t="s">
        <v>295</v>
      </c>
      <c r="E15" s="11" t="s">
        <v>285</v>
      </c>
      <c r="F15" s="11" t="s">
        <v>258</v>
      </c>
      <c r="G15" s="17" t="s">
        <v>348</v>
      </c>
      <c r="H15" s="13" t="s">
        <v>303</v>
      </c>
    </row>
    <row r="16" spans="1:8" x14ac:dyDescent="0.15">
      <c r="A16" s="10" t="s">
        <v>300</v>
      </c>
      <c r="B16" s="11" t="s">
        <v>261</v>
      </c>
      <c r="C16" s="12" t="s">
        <v>301</v>
      </c>
      <c r="D16" s="15" t="s">
        <v>288</v>
      </c>
      <c r="E16" s="11" t="s">
        <v>285</v>
      </c>
      <c r="F16" s="11" t="s">
        <v>258</v>
      </c>
      <c r="G16" s="15" t="s">
        <v>350</v>
      </c>
      <c r="H16" s="13" t="s">
        <v>303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4"/>
  <sheetViews>
    <sheetView showGridLines="0" workbookViewId="0">
      <selection activeCell="N24" sqref="N24"/>
    </sheetView>
  </sheetViews>
  <sheetFormatPr defaultRowHeight="13.5" x14ac:dyDescent="0.15"/>
  <sheetData>
    <row r="1" spans="1:1" x14ac:dyDescent="0.15">
      <c r="A1" t="s">
        <v>125</v>
      </c>
    </row>
    <row r="2" spans="1:1" x14ac:dyDescent="0.15">
      <c r="A2" t="s">
        <v>126</v>
      </c>
    </row>
    <row r="3" spans="1:1" x14ac:dyDescent="0.15">
      <c r="A3" t="s">
        <v>127</v>
      </c>
    </row>
    <row r="4" spans="1:1" x14ac:dyDescent="0.15">
      <c r="A4" t="s">
        <v>128</v>
      </c>
    </row>
    <row r="5" spans="1:1" x14ac:dyDescent="0.15">
      <c r="A5" t="s">
        <v>129</v>
      </c>
    </row>
    <row r="6" spans="1:1" x14ac:dyDescent="0.15">
      <c r="A6" t="s">
        <v>130</v>
      </c>
    </row>
    <row r="7" spans="1:1" x14ac:dyDescent="0.15">
      <c r="A7" t="s">
        <v>131</v>
      </c>
    </row>
    <row r="8" spans="1:1" x14ac:dyDescent="0.15">
      <c r="A8" t="s">
        <v>132</v>
      </c>
    </row>
    <row r="9" spans="1:1" x14ac:dyDescent="0.15">
      <c r="A9" t="s">
        <v>133</v>
      </c>
    </row>
    <row r="10" spans="1:1" x14ac:dyDescent="0.15">
      <c r="A10" t="s">
        <v>134</v>
      </c>
    </row>
    <row r="11" spans="1:1" x14ac:dyDescent="0.15">
      <c r="A11" t="s">
        <v>135</v>
      </c>
    </row>
    <row r="12" spans="1:1" x14ac:dyDescent="0.15">
      <c r="A12" t="s">
        <v>136</v>
      </c>
    </row>
    <row r="13" spans="1:1" x14ac:dyDescent="0.15">
      <c r="A13" t="s">
        <v>137</v>
      </c>
    </row>
    <row r="14" spans="1:1" x14ac:dyDescent="0.15">
      <c r="A14" t="s">
        <v>138</v>
      </c>
    </row>
    <row r="18" spans="1:11" x14ac:dyDescent="0.15">
      <c r="K18" t="s">
        <v>125</v>
      </c>
    </row>
    <row r="19" spans="1:11" x14ac:dyDescent="0.15">
      <c r="A19" t="s">
        <v>125</v>
      </c>
      <c r="K19" t="s">
        <v>168</v>
      </c>
    </row>
    <row r="20" spans="1:11" x14ac:dyDescent="0.15">
      <c r="A20" t="s">
        <v>139</v>
      </c>
      <c r="K20" t="s">
        <v>169</v>
      </c>
    </row>
    <row r="21" spans="1:11" x14ac:dyDescent="0.15">
      <c r="A21" t="s">
        <v>140</v>
      </c>
      <c r="K21" t="s">
        <v>170</v>
      </c>
    </row>
    <row r="22" spans="1:11" x14ac:dyDescent="0.15">
      <c r="A22" t="s">
        <v>141</v>
      </c>
      <c r="K22" t="s">
        <v>171</v>
      </c>
    </row>
    <row r="23" spans="1:11" x14ac:dyDescent="0.15">
      <c r="A23" t="s">
        <v>164</v>
      </c>
      <c r="K23" t="s">
        <v>172</v>
      </c>
    </row>
    <row r="24" spans="1:11" x14ac:dyDescent="0.15">
      <c r="A24" t="s">
        <v>143</v>
      </c>
      <c r="K24" t="s">
        <v>173</v>
      </c>
    </row>
    <row r="25" spans="1:11" x14ac:dyDescent="0.15">
      <c r="A25" t="s">
        <v>144</v>
      </c>
      <c r="K25" t="s">
        <v>174</v>
      </c>
    </row>
    <row r="26" spans="1:11" x14ac:dyDescent="0.15">
      <c r="A26" t="s">
        <v>145</v>
      </c>
      <c r="K26" t="s">
        <v>175</v>
      </c>
    </row>
    <row r="27" spans="1:11" x14ac:dyDescent="0.15">
      <c r="A27" t="s">
        <v>146</v>
      </c>
      <c r="K27" t="s">
        <v>176</v>
      </c>
    </row>
    <row r="28" spans="1:11" x14ac:dyDescent="0.15">
      <c r="A28" t="s">
        <v>147</v>
      </c>
      <c r="K28" t="s">
        <v>127</v>
      </c>
    </row>
    <row r="29" spans="1:11" x14ac:dyDescent="0.15">
      <c r="A29" t="s">
        <v>127</v>
      </c>
      <c r="K29" t="s">
        <v>177</v>
      </c>
    </row>
    <row r="30" spans="1:11" x14ac:dyDescent="0.15">
      <c r="A30" t="s">
        <v>148</v>
      </c>
      <c r="K30" t="s">
        <v>149</v>
      </c>
    </row>
    <row r="31" spans="1:11" x14ac:dyDescent="0.15">
      <c r="A31" t="s">
        <v>149</v>
      </c>
      <c r="K31" t="s">
        <v>178</v>
      </c>
    </row>
    <row r="32" spans="1:11" x14ac:dyDescent="0.15">
      <c r="A32" t="s">
        <v>150</v>
      </c>
      <c r="K32" t="s">
        <v>151</v>
      </c>
    </row>
    <row r="33" spans="1:11" x14ac:dyDescent="0.15">
      <c r="A33" t="s">
        <v>151</v>
      </c>
      <c r="K33" t="s">
        <v>179</v>
      </c>
    </row>
    <row r="34" spans="1:11" x14ac:dyDescent="0.15">
      <c r="A34" t="s">
        <v>152</v>
      </c>
      <c r="K34" t="s">
        <v>180</v>
      </c>
    </row>
    <row r="35" spans="1:11" x14ac:dyDescent="0.15">
      <c r="A35" t="s">
        <v>153</v>
      </c>
      <c r="K35" t="s">
        <v>129</v>
      </c>
    </row>
    <row r="36" spans="1:11" x14ac:dyDescent="0.15">
      <c r="A36" t="s">
        <v>129</v>
      </c>
      <c r="K36" t="s">
        <v>181</v>
      </c>
    </row>
    <row r="37" spans="1:11" x14ac:dyDescent="0.15">
      <c r="A37" t="s">
        <v>154</v>
      </c>
      <c r="K37" t="s">
        <v>182</v>
      </c>
    </row>
    <row r="38" spans="1:11" x14ac:dyDescent="0.15">
      <c r="A38" t="s">
        <v>155</v>
      </c>
      <c r="K38" t="s">
        <v>183</v>
      </c>
    </row>
    <row r="39" spans="1:11" x14ac:dyDescent="0.15">
      <c r="A39" t="s">
        <v>125</v>
      </c>
      <c r="K39" t="s">
        <v>184</v>
      </c>
    </row>
    <row r="40" spans="1:11" x14ac:dyDescent="0.15">
      <c r="A40" t="s">
        <v>139</v>
      </c>
      <c r="K40" t="s">
        <v>185</v>
      </c>
    </row>
    <row r="41" spans="1:11" x14ac:dyDescent="0.15">
      <c r="A41" t="s">
        <v>140</v>
      </c>
      <c r="K41" t="s">
        <v>186</v>
      </c>
    </row>
    <row r="42" spans="1:11" x14ac:dyDescent="0.15">
      <c r="A42" t="s">
        <v>141</v>
      </c>
      <c r="K42" t="s">
        <v>187</v>
      </c>
    </row>
    <row r="43" spans="1:11" x14ac:dyDescent="0.15">
      <c r="A43" t="s">
        <v>142</v>
      </c>
      <c r="K43" t="s">
        <v>188</v>
      </c>
    </row>
    <row r="44" spans="1:11" x14ac:dyDescent="0.15">
      <c r="A44" t="s">
        <v>143</v>
      </c>
      <c r="K44" t="s">
        <v>189</v>
      </c>
    </row>
    <row r="45" spans="1:11" x14ac:dyDescent="0.15">
      <c r="A45" t="s">
        <v>144</v>
      </c>
      <c r="K45" t="s">
        <v>190</v>
      </c>
    </row>
    <row r="46" spans="1:11" x14ac:dyDescent="0.15">
      <c r="A46" t="s">
        <v>145</v>
      </c>
      <c r="K46" t="s">
        <v>191</v>
      </c>
    </row>
    <row r="47" spans="1:11" x14ac:dyDescent="0.15">
      <c r="A47" t="s">
        <v>146</v>
      </c>
      <c r="K47" t="s">
        <v>192</v>
      </c>
    </row>
    <row r="48" spans="1:11" x14ac:dyDescent="0.15">
      <c r="A48" t="s">
        <v>147</v>
      </c>
      <c r="K48" t="s">
        <v>193</v>
      </c>
    </row>
    <row r="49" spans="1:11" x14ac:dyDescent="0.15">
      <c r="A49" t="s">
        <v>127</v>
      </c>
      <c r="K49" t="s">
        <v>155</v>
      </c>
    </row>
    <row r="50" spans="1:11" x14ac:dyDescent="0.15">
      <c r="A50" t="s">
        <v>148</v>
      </c>
      <c r="K50" t="s">
        <v>125</v>
      </c>
    </row>
    <row r="51" spans="1:11" x14ac:dyDescent="0.15">
      <c r="A51" t="s">
        <v>149</v>
      </c>
      <c r="K51" t="s">
        <v>168</v>
      </c>
    </row>
    <row r="52" spans="1:11" x14ac:dyDescent="0.15">
      <c r="A52" t="s">
        <v>150</v>
      </c>
      <c r="K52" t="s">
        <v>169</v>
      </c>
    </row>
    <row r="53" spans="1:11" x14ac:dyDescent="0.15">
      <c r="A53" t="s">
        <v>151</v>
      </c>
      <c r="K53" t="s">
        <v>170</v>
      </c>
    </row>
    <row r="54" spans="1:11" x14ac:dyDescent="0.15">
      <c r="A54" t="s">
        <v>152</v>
      </c>
      <c r="K54" t="s">
        <v>171</v>
      </c>
    </row>
    <row r="55" spans="1:11" x14ac:dyDescent="0.15">
      <c r="A55" t="s">
        <v>153</v>
      </c>
      <c r="K55" t="s">
        <v>172</v>
      </c>
    </row>
    <row r="56" spans="1:11" x14ac:dyDescent="0.15">
      <c r="A56" t="s">
        <v>129</v>
      </c>
      <c r="K56" t="s">
        <v>173</v>
      </c>
    </row>
    <row r="57" spans="1:11" x14ac:dyDescent="0.15">
      <c r="A57" t="s">
        <v>156</v>
      </c>
      <c r="K57" t="s">
        <v>174</v>
      </c>
    </row>
    <row r="58" spans="1:11" x14ac:dyDescent="0.15">
      <c r="A58" t="s">
        <v>155</v>
      </c>
      <c r="K58" t="s">
        <v>175</v>
      </c>
    </row>
    <row r="59" spans="1:11" x14ac:dyDescent="0.15">
      <c r="A59" t="s">
        <v>125</v>
      </c>
      <c r="K59" t="s">
        <v>176</v>
      </c>
    </row>
    <row r="60" spans="1:11" x14ac:dyDescent="0.15">
      <c r="A60" t="s">
        <v>139</v>
      </c>
      <c r="K60" t="s">
        <v>127</v>
      </c>
    </row>
    <row r="61" spans="1:11" x14ac:dyDescent="0.15">
      <c r="A61" t="s">
        <v>140</v>
      </c>
      <c r="K61" t="s">
        <v>177</v>
      </c>
    </row>
    <row r="62" spans="1:11" x14ac:dyDescent="0.15">
      <c r="A62" t="s">
        <v>141</v>
      </c>
      <c r="K62" t="s">
        <v>149</v>
      </c>
    </row>
    <row r="63" spans="1:11" x14ac:dyDescent="0.15">
      <c r="A63" t="s">
        <v>142</v>
      </c>
      <c r="K63" t="s">
        <v>178</v>
      </c>
    </row>
    <row r="64" spans="1:11" x14ac:dyDescent="0.15">
      <c r="A64" t="s">
        <v>143</v>
      </c>
      <c r="K64" t="s">
        <v>151</v>
      </c>
    </row>
    <row r="65" spans="1:11" x14ac:dyDescent="0.15">
      <c r="A65" t="s">
        <v>144</v>
      </c>
      <c r="K65" t="s">
        <v>179</v>
      </c>
    </row>
    <row r="66" spans="1:11" x14ac:dyDescent="0.15">
      <c r="A66" t="s">
        <v>145</v>
      </c>
      <c r="K66" t="s">
        <v>194</v>
      </c>
    </row>
    <row r="67" spans="1:11" x14ac:dyDescent="0.15">
      <c r="A67" t="s">
        <v>146</v>
      </c>
      <c r="K67" t="s">
        <v>129</v>
      </c>
    </row>
    <row r="68" spans="1:11" x14ac:dyDescent="0.15">
      <c r="A68" t="s">
        <v>147</v>
      </c>
      <c r="K68" t="s">
        <v>181</v>
      </c>
    </row>
    <row r="69" spans="1:11" x14ac:dyDescent="0.15">
      <c r="A69" t="s">
        <v>127</v>
      </c>
      <c r="K69" t="s">
        <v>182</v>
      </c>
    </row>
    <row r="70" spans="1:11" x14ac:dyDescent="0.15">
      <c r="A70" t="s">
        <v>148</v>
      </c>
      <c r="K70" t="s">
        <v>183</v>
      </c>
    </row>
    <row r="71" spans="1:11" x14ac:dyDescent="0.15">
      <c r="A71" t="s">
        <v>149</v>
      </c>
      <c r="K71" t="s">
        <v>184</v>
      </c>
    </row>
    <row r="72" spans="1:11" x14ac:dyDescent="0.15">
      <c r="A72" t="s">
        <v>150</v>
      </c>
      <c r="K72" t="s">
        <v>185</v>
      </c>
    </row>
    <row r="73" spans="1:11" x14ac:dyDescent="0.15">
      <c r="A73" t="s">
        <v>151</v>
      </c>
      <c r="K73" t="s">
        <v>186</v>
      </c>
    </row>
    <row r="74" spans="1:11" x14ac:dyDescent="0.15">
      <c r="A74" t="s">
        <v>152</v>
      </c>
      <c r="K74" t="s">
        <v>187</v>
      </c>
    </row>
    <row r="75" spans="1:11" x14ac:dyDescent="0.15">
      <c r="A75" t="s">
        <v>153</v>
      </c>
      <c r="K75" t="s">
        <v>188</v>
      </c>
    </row>
    <row r="76" spans="1:11" x14ac:dyDescent="0.15">
      <c r="A76" t="s">
        <v>129</v>
      </c>
      <c r="K76" t="s">
        <v>189</v>
      </c>
    </row>
    <row r="77" spans="1:11" x14ac:dyDescent="0.15">
      <c r="A77" t="s">
        <v>157</v>
      </c>
      <c r="K77" t="s">
        <v>190</v>
      </c>
    </row>
    <row r="78" spans="1:11" x14ac:dyDescent="0.15">
      <c r="A78" t="s">
        <v>155</v>
      </c>
      <c r="K78" t="s">
        <v>191</v>
      </c>
    </row>
    <row r="79" spans="1:11" x14ac:dyDescent="0.15">
      <c r="A79" t="s">
        <v>125</v>
      </c>
      <c r="K79" t="s">
        <v>192</v>
      </c>
    </row>
    <row r="80" spans="1:11" x14ac:dyDescent="0.15">
      <c r="A80" t="s">
        <v>139</v>
      </c>
      <c r="K80" t="s">
        <v>195</v>
      </c>
    </row>
    <row r="81" spans="1:11" x14ac:dyDescent="0.15">
      <c r="A81" t="s">
        <v>140</v>
      </c>
      <c r="K81" t="s">
        <v>155</v>
      </c>
    </row>
    <row r="82" spans="1:11" x14ac:dyDescent="0.15">
      <c r="A82" t="s">
        <v>141</v>
      </c>
      <c r="K82" t="s">
        <v>125</v>
      </c>
    </row>
    <row r="83" spans="1:11" x14ac:dyDescent="0.15">
      <c r="A83" t="s">
        <v>142</v>
      </c>
      <c r="K83" t="s">
        <v>168</v>
      </c>
    </row>
    <row r="84" spans="1:11" x14ac:dyDescent="0.15">
      <c r="A84" t="s">
        <v>143</v>
      </c>
      <c r="K84" t="s">
        <v>169</v>
      </c>
    </row>
    <row r="85" spans="1:11" x14ac:dyDescent="0.15">
      <c r="A85" t="s">
        <v>144</v>
      </c>
      <c r="K85" t="s">
        <v>170</v>
      </c>
    </row>
    <row r="86" spans="1:11" x14ac:dyDescent="0.15">
      <c r="A86" t="s">
        <v>145</v>
      </c>
      <c r="K86" t="s">
        <v>171</v>
      </c>
    </row>
    <row r="87" spans="1:11" x14ac:dyDescent="0.15">
      <c r="A87" t="s">
        <v>146</v>
      </c>
      <c r="K87" t="s">
        <v>172</v>
      </c>
    </row>
    <row r="88" spans="1:11" x14ac:dyDescent="0.15">
      <c r="A88" t="s">
        <v>147</v>
      </c>
      <c r="K88" t="s">
        <v>173</v>
      </c>
    </row>
    <row r="89" spans="1:11" x14ac:dyDescent="0.15">
      <c r="A89" t="s">
        <v>127</v>
      </c>
      <c r="K89" t="s">
        <v>174</v>
      </c>
    </row>
    <row r="90" spans="1:11" x14ac:dyDescent="0.15">
      <c r="A90" t="s">
        <v>148</v>
      </c>
      <c r="K90" t="s">
        <v>175</v>
      </c>
    </row>
    <row r="91" spans="1:11" x14ac:dyDescent="0.15">
      <c r="A91" t="s">
        <v>149</v>
      </c>
      <c r="K91" t="s">
        <v>176</v>
      </c>
    </row>
    <row r="92" spans="1:11" x14ac:dyDescent="0.15">
      <c r="A92" t="s">
        <v>150</v>
      </c>
      <c r="K92" t="s">
        <v>127</v>
      </c>
    </row>
    <row r="93" spans="1:11" x14ac:dyDescent="0.15">
      <c r="A93" t="s">
        <v>151</v>
      </c>
      <c r="K93" t="s">
        <v>177</v>
      </c>
    </row>
    <row r="94" spans="1:11" x14ac:dyDescent="0.15">
      <c r="A94" t="s">
        <v>152</v>
      </c>
      <c r="K94" t="s">
        <v>149</v>
      </c>
    </row>
    <row r="95" spans="1:11" x14ac:dyDescent="0.15">
      <c r="A95" t="s">
        <v>153</v>
      </c>
      <c r="K95" t="s">
        <v>178</v>
      </c>
    </row>
    <row r="96" spans="1:11" x14ac:dyDescent="0.15">
      <c r="A96" t="s">
        <v>129</v>
      </c>
      <c r="K96" t="s">
        <v>151</v>
      </c>
    </row>
    <row r="97" spans="1:11" x14ac:dyDescent="0.15">
      <c r="A97" t="s">
        <v>158</v>
      </c>
      <c r="K97" t="s">
        <v>179</v>
      </c>
    </row>
    <row r="98" spans="1:11" x14ac:dyDescent="0.15">
      <c r="A98" t="s">
        <v>155</v>
      </c>
      <c r="K98" t="s">
        <v>196</v>
      </c>
    </row>
    <row r="99" spans="1:11" x14ac:dyDescent="0.15">
      <c r="A99" t="s">
        <v>125</v>
      </c>
      <c r="K99" t="s">
        <v>129</v>
      </c>
    </row>
    <row r="100" spans="1:11" x14ac:dyDescent="0.15">
      <c r="A100" t="s">
        <v>139</v>
      </c>
      <c r="K100" t="s">
        <v>181</v>
      </c>
    </row>
    <row r="101" spans="1:11" x14ac:dyDescent="0.15">
      <c r="A101" t="s">
        <v>140</v>
      </c>
      <c r="K101" t="s">
        <v>182</v>
      </c>
    </row>
    <row r="102" spans="1:11" x14ac:dyDescent="0.15">
      <c r="A102" t="s">
        <v>141</v>
      </c>
      <c r="K102" t="s">
        <v>183</v>
      </c>
    </row>
    <row r="103" spans="1:11" x14ac:dyDescent="0.15">
      <c r="A103" t="s">
        <v>142</v>
      </c>
      <c r="K103" t="s">
        <v>184</v>
      </c>
    </row>
    <row r="104" spans="1:11" x14ac:dyDescent="0.15">
      <c r="A104" t="s">
        <v>143</v>
      </c>
      <c r="K104" t="s">
        <v>185</v>
      </c>
    </row>
    <row r="105" spans="1:11" x14ac:dyDescent="0.15">
      <c r="A105" t="s">
        <v>144</v>
      </c>
      <c r="K105" t="s">
        <v>186</v>
      </c>
    </row>
    <row r="106" spans="1:11" x14ac:dyDescent="0.15">
      <c r="A106" t="s">
        <v>145</v>
      </c>
      <c r="K106" t="s">
        <v>187</v>
      </c>
    </row>
    <row r="107" spans="1:11" x14ac:dyDescent="0.15">
      <c r="A107" t="s">
        <v>146</v>
      </c>
      <c r="K107" t="s">
        <v>188</v>
      </c>
    </row>
    <row r="108" spans="1:11" x14ac:dyDescent="0.15">
      <c r="A108" t="s">
        <v>147</v>
      </c>
      <c r="K108" t="s">
        <v>189</v>
      </c>
    </row>
    <row r="109" spans="1:11" x14ac:dyDescent="0.15">
      <c r="A109" t="s">
        <v>127</v>
      </c>
      <c r="K109" t="s">
        <v>190</v>
      </c>
    </row>
    <row r="110" spans="1:11" x14ac:dyDescent="0.15">
      <c r="A110" t="s">
        <v>148</v>
      </c>
      <c r="K110" t="s">
        <v>191</v>
      </c>
    </row>
    <row r="111" spans="1:11" x14ac:dyDescent="0.15">
      <c r="A111" t="s">
        <v>149</v>
      </c>
      <c r="K111" t="s">
        <v>192</v>
      </c>
    </row>
    <row r="112" spans="1:11" x14ac:dyDescent="0.15">
      <c r="A112" t="s">
        <v>150</v>
      </c>
      <c r="K112" t="s">
        <v>197</v>
      </c>
    </row>
    <row r="113" spans="1:11" x14ac:dyDescent="0.15">
      <c r="A113" t="s">
        <v>151</v>
      </c>
      <c r="K113" t="s">
        <v>155</v>
      </c>
    </row>
    <row r="114" spans="1:11" x14ac:dyDescent="0.15">
      <c r="A114" t="s">
        <v>152</v>
      </c>
      <c r="K114" t="s">
        <v>125</v>
      </c>
    </row>
    <row r="115" spans="1:11" x14ac:dyDescent="0.15">
      <c r="A115" t="s">
        <v>153</v>
      </c>
      <c r="K115" t="s">
        <v>168</v>
      </c>
    </row>
    <row r="116" spans="1:11" x14ac:dyDescent="0.15">
      <c r="A116" t="s">
        <v>129</v>
      </c>
      <c r="K116" t="s">
        <v>169</v>
      </c>
    </row>
    <row r="117" spans="1:11" x14ac:dyDescent="0.15">
      <c r="A117" t="s">
        <v>159</v>
      </c>
      <c r="K117" t="s">
        <v>170</v>
      </c>
    </row>
    <row r="118" spans="1:11" x14ac:dyDescent="0.15">
      <c r="A118" t="s">
        <v>155</v>
      </c>
      <c r="K118" t="s">
        <v>171</v>
      </c>
    </row>
    <row r="119" spans="1:11" x14ac:dyDescent="0.15">
      <c r="A119" t="s">
        <v>125</v>
      </c>
      <c r="K119" t="s">
        <v>172</v>
      </c>
    </row>
    <row r="120" spans="1:11" x14ac:dyDescent="0.15">
      <c r="A120" t="s">
        <v>139</v>
      </c>
      <c r="K120" t="s">
        <v>173</v>
      </c>
    </row>
    <row r="121" spans="1:11" x14ac:dyDescent="0.15">
      <c r="A121" t="s">
        <v>140</v>
      </c>
      <c r="K121" t="s">
        <v>174</v>
      </c>
    </row>
    <row r="122" spans="1:11" x14ac:dyDescent="0.15">
      <c r="A122" t="s">
        <v>141</v>
      </c>
      <c r="K122" t="s">
        <v>175</v>
      </c>
    </row>
    <row r="123" spans="1:11" x14ac:dyDescent="0.15">
      <c r="A123" t="s">
        <v>142</v>
      </c>
      <c r="K123" t="s">
        <v>176</v>
      </c>
    </row>
    <row r="124" spans="1:11" x14ac:dyDescent="0.15">
      <c r="A124" t="s">
        <v>143</v>
      </c>
      <c r="K124" t="s">
        <v>127</v>
      </c>
    </row>
    <row r="125" spans="1:11" x14ac:dyDescent="0.15">
      <c r="A125" t="s">
        <v>144</v>
      </c>
      <c r="K125" t="s">
        <v>177</v>
      </c>
    </row>
    <row r="126" spans="1:11" x14ac:dyDescent="0.15">
      <c r="A126" t="s">
        <v>145</v>
      </c>
      <c r="K126" t="s">
        <v>149</v>
      </c>
    </row>
    <row r="127" spans="1:11" x14ac:dyDescent="0.15">
      <c r="A127" t="s">
        <v>146</v>
      </c>
      <c r="K127" t="s">
        <v>178</v>
      </c>
    </row>
    <row r="128" spans="1:11" x14ac:dyDescent="0.15">
      <c r="A128" t="s">
        <v>147</v>
      </c>
      <c r="K128" t="s">
        <v>151</v>
      </c>
    </row>
    <row r="129" spans="1:11" x14ac:dyDescent="0.15">
      <c r="A129" t="s">
        <v>127</v>
      </c>
      <c r="K129" t="s">
        <v>179</v>
      </c>
    </row>
    <row r="130" spans="1:11" x14ac:dyDescent="0.15">
      <c r="A130" t="s">
        <v>148</v>
      </c>
      <c r="K130" t="s">
        <v>198</v>
      </c>
    </row>
    <row r="131" spans="1:11" x14ac:dyDescent="0.15">
      <c r="A131" t="s">
        <v>149</v>
      </c>
      <c r="K131" t="s">
        <v>129</v>
      </c>
    </row>
    <row r="132" spans="1:11" x14ac:dyDescent="0.15">
      <c r="A132" t="s">
        <v>150</v>
      </c>
      <c r="K132" t="s">
        <v>181</v>
      </c>
    </row>
    <row r="133" spans="1:11" x14ac:dyDescent="0.15">
      <c r="A133" t="s">
        <v>151</v>
      </c>
      <c r="K133" t="s">
        <v>182</v>
      </c>
    </row>
    <row r="134" spans="1:11" x14ac:dyDescent="0.15">
      <c r="A134" t="s">
        <v>152</v>
      </c>
      <c r="K134" t="s">
        <v>183</v>
      </c>
    </row>
    <row r="135" spans="1:11" x14ac:dyDescent="0.15">
      <c r="A135" t="s">
        <v>153</v>
      </c>
      <c r="K135" t="s">
        <v>184</v>
      </c>
    </row>
    <row r="136" spans="1:11" x14ac:dyDescent="0.15">
      <c r="A136" t="s">
        <v>129</v>
      </c>
      <c r="K136" t="s">
        <v>185</v>
      </c>
    </row>
    <row r="137" spans="1:11" x14ac:dyDescent="0.15">
      <c r="A137" t="s">
        <v>160</v>
      </c>
      <c r="K137" t="s">
        <v>186</v>
      </c>
    </row>
    <row r="138" spans="1:11" x14ac:dyDescent="0.15">
      <c r="A138" t="s">
        <v>155</v>
      </c>
      <c r="K138" t="s">
        <v>187</v>
      </c>
    </row>
    <row r="139" spans="1:11" x14ac:dyDescent="0.15">
      <c r="A139" t="s">
        <v>125</v>
      </c>
      <c r="K139" t="s">
        <v>188</v>
      </c>
    </row>
    <row r="140" spans="1:11" x14ac:dyDescent="0.15">
      <c r="A140" t="s">
        <v>139</v>
      </c>
      <c r="K140" t="s">
        <v>189</v>
      </c>
    </row>
    <row r="141" spans="1:11" x14ac:dyDescent="0.15">
      <c r="A141" t="s">
        <v>140</v>
      </c>
      <c r="K141" t="s">
        <v>190</v>
      </c>
    </row>
    <row r="142" spans="1:11" x14ac:dyDescent="0.15">
      <c r="A142" t="s">
        <v>141</v>
      </c>
      <c r="K142" t="s">
        <v>191</v>
      </c>
    </row>
    <row r="143" spans="1:11" x14ac:dyDescent="0.15">
      <c r="A143" t="s">
        <v>142</v>
      </c>
      <c r="K143" t="s">
        <v>192</v>
      </c>
    </row>
    <row r="144" spans="1:11" x14ac:dyDescent="0.15">
      <c r="A144" t="s">
        <v>143</v>
      </c>
      <c r="K144" t="s">
        <v>199</v>
      </c>
    </row>
    <row r="145" spans="1:11" x14ac:dyDescent="0.15">
      <c r="A145" t="s">
        <v>144</v>
      </c>
      <c r="K145" t="s">
        <v>155</v>
      </c>
    </row>
    <row r="146" spans="1:11" x14ac:dyDescent="0.15">
      <c r="A146" t="s">
        <v>145</v>
      </c>
      <c r="K146" t="s">
        <v>125</v>
      </c>
    </row>
    <row r="147" spans="1:11" x14ac:dyDescent="0.15">
      <c r="A147" t="s">
        <v>146</v>
      </c>
      <c r="K147" t="s">
        <v>168</v>
      </c>
    </row>
    <row r="148" spans="1:11" x14ac:dyDescent="0.15">
      <c r="A148" t="s">
        <v>147</v>
      </c>
      <c r="K148" t="s">
        <v>169</v>
      </c>
    </row>
    <row r="149" spans="1:11" x14ac:dyDescent="0.15">
      <c r="A149" t="s">
        <v>127</v>
      </c>
      <c r="K149" t="s">
        <v>170</v>
      </c>
    </row>
    <row r="150" spans="1:11" x14ac:dyDescent="0.15">
      <c r="A150" t="s">
        <v>148</v>
      </c>
      <c r="K150" t="s">
        <v>171</v>
      </c>
    </row>
    <row r="151" spans="1:11" x14ac:dyDescent="0.15">
      <c r="A151" t="s">
        <v>149</v>
      </c>
      <c r="K151" t="s">
        <v>172</v>
      </c>
    </row>
    <row r="152" spans="1:11" x14ac:dyDescent="0.15">
      <c r="A152" t="s">
        <v>150</v>
      </c>
      <c r="K152" t="s">
        <v>173</v>
      </c>
    </row>
    <row r="153" spans="1:11" x14ac:dyDescent="0.15">
      <c r="A153" t="s">
        <v>151</v>
      </c>
      <c r="K153" t="s">
        <v>174</v>
      </c>
    </row>
    <row r="154" spans="1:11" x14ac:dyDescent="0.15">
      <c r="A154" t="s">
        <v>152</v>
      </c>
      <c r="K154" t="s">
        <v>175</v>
      </c>
    </row>
    <row r="155" spans="1:11" x14ac:dyDescent="0.15">
      <c r="A155" t="s">
        <v>153</v>
      </c>
      <c r="K155" t="s">
        <v>176</v>
      </c>
    </row>
    <row r="156" spans="1:11" x14ac:dyDescent="0.15">
      <c r="A156" t="s">
        <v>129</v>
      </c>
      <c r="K156" t="s">
        <v>127</v>
      </c>
    </row>
    <row r="157" spans="1:11" x14ac:dyDescent="0.15">
      <c r="A157" t="s">
        <v>161</v>
      </c>
      <c r="K157" t="s">
        <v>177</v>
      </c>
    </row>
    <row r="158" spans="1:11" x14ac:dyDescent="0.15">
      <c r="A158" t="s">
        <v>155</v>
      </c>
      <c r="K158" t="s">
        <v>149</v>
      </c>
    </row>
    <row r="159" spans="1:11" x14ac:dyDescent="0.15">
      <c r="A159" t="s">
        <v>125</v>
      </c>
      <c r="K159" t="s">
        <v>178</v>
      </c>
    </row>
    <row r="160" spans="1:11" x14ac:dyDescent="0.15">
      <c r="A160" t="s">
        <v>139</v>
      </c>
      <c r="K160" t="s">
        <v>151</v>
      </c>
    </row>
    <row r="161" spans="1:11" x14ac:dyDescent="0.15">
      <c r="A161" t="s">
        <v>140</v>
      </c>
      <c r="K161" t="s">
        <v>179</v>
      </c>
    </row>
    <row r="162" spans="1:11" x14ac:dyDescent="0.15">
      <c r="A162" t="s">
        <v>141</v>
      </c>
      <c r="K162" t="s">
        <v>200</v>
      </c>
    </row>
    <row r="163" spans="1:11" x14ac:dyDescent="0.15">
      <c r="A163" t="s">
        <v>142</v>
      </c>
      <c r="K163" t="s">
        <v>129</v>
      </c>
    </row>
    <row r="164" spans="1:11" x14ac:dyDescent="0.15">
      <c r="A164" t="s">
        <v>143</v>
      </c>
      <c r="K164" t="s">
        <v>181</v>
      </c>
    </row>
    <row r="165" spans="1:11" x14ac:dyDescent="0.15">
      <c r="A165" t="s">
        <v>144</v>
      </c>
      <c r="K165" t="s">
        <v>182</v>
      </c>
    </row>
    <row r="166" spans="1:11" x14ac:dyDescent="0.15">
      <c r="A166" t="s">
        <v>145</v>
      </c>
      <c r="K166" t="s">
        <v>183</v>
      </c>
    </row>
    <row r="167" spans="1:11" x14ac:dyDescent="0.15">
      <c r="A167" t="s">
        <v>146</v>
      </c>
      <c r="K167" t="s">
        <v>184</v>
      </c>
    </row>
    <row r="168" spans="1:11" x14ac:dyDescent="0.15">
      <c r="A168" t="s">
        <v>147</v>
      </c>
      <c r="K168" t="s">
        <v>185</v>
      </c>
    </row>
    <row r="169" spans="1:11" x14ac:dyDescent="0.15">
      <c r="A169" t="s">
        <v>127</v>
      </c>
      <c r="K169" t="s">
        <v>186</v>
      </c>
    </row>
    <row r="170" spans="1:11" x14ac:dyDescent="0.15">
      <c r="A170" t="s">
        <v>148</v>
      </c>
      <c r="K170" t="s">
        <v>187</v>
      </c>
    </row>
    <row r="171" spans="1:11" x14ac:dyDescent="0.15">
      <c r="A171" t="s">
        <v>149</v>
      </c>
      <c r="K171" t="s">
        <v>188</v>
      </c>
    </row>
    <row r="172" spans="1:11" x14ac:dyDescent="0.15">
      <c r="A172" t="s">
        <v>150</v>
      </c>
      <c r="K172" t="s">
        <v>189</v>
      </c>
    </row>
    <row r="173" spans="1:11" x14ac:dyDescent="0.15">
      <c r="A173" t="s">
        <v>151</v>
      </c>
      <c r="K173" t="s">
        <v>190</v>
      </c>
    </row>
    <row r="174" spans="1:11" x14ac:dyDescent="0.15">
      <c r="A174" t="s">
        <v>152</v>
      </c>
      <c r="K174" t="s">
        <v>191</v>
      </c>
    </row>
    <row r="175" spans="1:11" x14ac:dyDescent="0.15">
      <c r="A175" t="s">
        <v>153</v>
      </c>
      <c r="K175" t="s">
        <v>192</v>
      </c>
    </row>
    <row r="176" spans="1:11" x14ac:dyDescent="0.15">
      <c r="A176" t="s">
        <v>129</v>
      </c>
      <c r="K176" t="s">
        <v>201</v>
      </c>
    </row>
    <row r="177" spans="1:11" x14ac:dyDescent="0.15">
      <c r="A177" t="s">
        <v>162</v>
      </c>
      <c r="K177" t="s">
        <v>155</v>
      </c>
    </row>
    <row r="178" spans="1:11" x14ac:dyDescent="0.15">
      <c r="A178" t="s">
        <v>155</v>
      </c>
      <c r="K178" t="s">
        <v>125</v>
      </c>
    </row>
    <row r="179" spans="1:11" x14ac:dyDescent="0.15">
      <c r="A179" t="s">
        <v>125</v>
      </c>
      <c r="K179" t="s">
        <v>168</v>
      </c>
    </row>
    <row r="180" spans="1:11" x14ac:dyDescent="0.15">
      <c r="A180" t="s">
        <v>139</v>
      </c>
      <c r="K180" t="s">
        <v>169</v>
      </c>
    </row>
    <row r="181" spans="1:11" x14ac:dyDescent="0.15">
      <c r="A181" t="s">
        <v>140</v>
      </c>
      <c r="K181" t="s">
        <v>170</v>
      </c>
    </row>
    <row r="182" spans="1:11" x14ac:dyDescent="0.15">
      <c r="A182" t="s">
        <v>141</v>
      </c>
      <c r="K182" t="s">
        <v>171</v>
      </c>
    </row>
    <row r="183" spans="1:11" x14ac:dyDescent="0.15">
      <c r="A183" t="s">
        <v>142</v>
      </c>
      <c r="K183" t="s">
        <v>172</v>
      </c>
    </row>
    <row r="184" spans="1:11" x14ac:dyDescent="0.15">
      <c r="A184" t="s">
        <v>143</v>
      </c>
      <c r="K184" t="s">
        <v>173</v>
      </c>
    </row>
    <row r="185" spans="1:11" x14ac:dyDescent="0.15">
      <c r="A185" t="s">
        <v>144</v>
      </c>
      <c r="K185" t="s">
        <v>174</v>
      </c>
    </row>
    <row r="186" spans="1:11" x14ac:dyDescent="0.15">
      <c r="A186" t="s">
        <v>145</v>
      </c>
      <c r="K186" t="s">
        <v>175</v>
      </c>
    </row>
    <row r="187" spans="1:11" x14ac:dyDescent="0.15">
      <c r="A187" t="s">
        <v>146</v>
      </c>
      <c r="K187" t="s">
        <v>176</v>
      </c>
    </row>
    <row r="188" spans="1:11" x14ac:dyDescent="0.15">
      <c r="A188" t="s">
        <v>147</v>
      </c>
      <c r="K188" t="s">
        <v>127</v>
      </c>
    </row>
    <row r="189" spans="1:11" x14ac:dyDescent="0.15">
      <c r="A189" t="s">
        <v>127</v>
      </c>
      <c r="K189" t="s">
        <v>177</v>
      </c>
    </row>
    <row r="190" spans="1:11" x14ac:dyDescent="0.15">
      <c r="A190" t="s">
        <v>148</v>
      </c>
      <c r="K190" t="s">
        <v>149</v>
      </c>
    </row>
    <row r="191" spans="1:11" x14ac:dyDescent="0.15">
      <c r="A191" t="s">
        <v>149</v>
      </c>
      <c r="K191" t="s">
        <v>178</v>
      </c>
    </row>
    <row r="192" spans="1:11" x14ac:dyDescent="0.15">
      <c r="A192" t="s">
        <v>150</v>
      </c>
      <c r="K192" t="s">
        <v>151</v>
      </c>
    </row>
    <row r="193" spans="1:11" x14ac:dyDescent="0.15">
      <c r="A193" t="s">
        <v>151</v>
      </c>
      <c r="K193" t="s">
        <v>179</v>
      </c>
    </row>
    <row r="194" spans="1:11" x14ac:dyDescent="0.15">
      <c r="A194" t="s">
        <v>152</v>
      </c>
      <c r="K194" t="s">
        <v>202</v>
      </c>
    </row>
    <row r="195" spans="1:11" x14ac:dyDescent="0.15">
      <c r="A195" t="s">
        <v>153</v>
      </c>
      <c r="K195" t="s">
        <v>129</v>
      </c>
    </row>
    <row r="196" spans="1:11" x14ac:dyDescent="0.15">
      <c r="A196" t="s">
        <v>129</v>
      </c>
      <c r="K196" t="s">
        <v>181</v>
      </c>
    </row>
    <row r="197" spans="1:11" x14ac:dyDescent="0.15">
      <c r="A197" t="s">
        <v>163</v>
      </c>
      <c r="K197" t="s">
        <v>182</v>
      </c>
    </row>
    <row r="198" spans="1:11" x14ac:dyDescent="0.15">
      <c r="K198" t="s">
        <v>183</v>
      </c>
    </row>
    <row r="199" spans="1:11" x14ac:dyDescent="0.15">
      <c r="K199" t="s">
        <v>184</v>
      </c>
    </row>
    <row r="200" spans="1:11" x14ac:dyDescent="0.15">
      <c r="K200" t="s">
        <v>185</v>
      </c>
    </row>
    <row r="201" spans="1:11" x14ac:dyDescent="0.15">
      <c r="K201" t="s">
        <v>186</v>
      </c>
    </row>
    <row r="202" spans="1:11" x14ac:dyDescent="0.15">
      <c r="K202" t="s">
        <v>187</v>
      </c>
    </row>
    <row r="203" spans="1:11" x14ac:dyDescent="0.15">
      <c r="K203" t="s">
        <v>188</v>
      </c>
    </row>
    <row r="204" spans="1:11" x14ac:dyDescent="0.15">
      <c r="K204" t="s">
        <v>189</v>
      </c>
    </row>
    <row r="205" spans="1:11" x14ac:dyDescent="0.15">
      <c r="K205" t="s">
        <v>190</v>
      </c>
    </row>
    <row r="206" spans="1:11" x14ac:dyDescent="0.15">
      <c r="K206" t="s">
        <v>191</v>
      </c>
    </row>
    <row r="207" spans="1:11" x14ac:dyDescent="0.15">
      <c r="K207" t="s">
        <v>192</v>
      </c>
    </row>
    <row r="208" spans="1:11" x14ac:dyDescent="0.15">
      <c r="K208" t="s">
        <v>203</v>
      </c>
    </row>
    <row r="209" spans="11:11" x14ac:dyDescent="0.15">
      <c r="K209" t="s">
        <v>155</v>
      </c>
    </row>
    <row r="210" spans="11:11" x14ac:dyDescent="0.15">
      <c r="K210" t="s">
        <v>125</v>
      </c>
    </row>
    <row r="211" spans="11:11" x14ac:dyDescent="0.15">
      <c r="K211" t="s">
        <v>168</v>
      </c>
    </row>
    <row r="212" spans="11:11" x14ac:dyDescent="0.15">
      <c r="K212" t="s">
        <v>169</v>
      </c>
    </row>
    <row r="213" spans="11:11" x14ac:dyDescent="0.15">
      <c r="K213" t="s">
        <v>170</v>
      </c>
    </row>
    <row r="214" spans="11:11" x14ac:dyDescent="0.15">
      <c r="K214" t="s">
        <v>171</v>
      </c>
    </row>
    <row r="215" spans="11:11" x14ac:dyDescent="0.15">
      <c r="K215" t="s">
        <v>172</v>
      </c>
    </row>
    <row r="216" spans="11:11" x14ac:dyDescent="0.15">
      <c r="K216" t="s">
        <v>173</v>
      </c>
    </row>
    <row r="217" spans="11:11" x14ac:dyDescent="0.15">
      <c r="K217" t="s">
        <v>174</v>
      </c>
    </row>
    <row r="218" spans="11:11" x14ac:dyDescent="0.15">
      <c r="K218" t="s">
        <v>175</v>
      </c>
    </row>
    <row r="219" spans="11:11" x14ac:dyDescent="0.15">
      <c r="K219" t="s">
        <v>176</v>
      </c>
    </row>
    <row r="220" spans="11:11" x14ac:dyDescent="0.15">
      <c r="K220" t="s">
        <v>127</v>
      </c>
    </row>
    <row r="221" spans="11:11" x14ac:dyDescent="0.15">
      <c r="K221" t="s">
        <v>177</v>
      </c>
    </row>
    <row r="222" spans="11:11" x14ac:dyDescent="0.15">
      <c r="K222" t="s">
        <v>149</v>
      </c>
    </row>
    <row r="223" spans="11:11" x14ac:dyDescent="0.15">
      <c r="K223" t="s">
        <v>178</v>
      </c>
    </row>
    <row r="224" spans="11:11" x14ac:dyDescent="0.15">
      <c r="K224" t="s">
        <v>151</v>
      </c>
    </row>
    <row r="225" spans="11:11" x14ac:dyDescent="0.15">
      <c r="K225" t="s">
        <v>179</v>
      </c>
    </row>
    <row r="226" spans="11:11" x14ac:dyDescent="0.15">
      <c r="K226" t="s">
        <v>204</v>
      </c>
    </row>
    <row r="227" spans="11:11" x14ac:dyDescent="0.15">
      <c r="K227" t="s">
        <v>129</v>
      </c>
    </row>
    <row r="228" spans="11:11" x14ac:dyDescent="0.15">
      <c r="K228" t="s">
        <v>181</v>
      </c>
    </row>
    <row r="229" spans="11:11" x14ac:dyDescent="0.15">
      <c r="K229" t="s">
        <v>182</v>
      </c>
    </row>
    <row r="230" spans="11:11" x14ac:dyDescent="0.15">
      <c r="K230" t="s">
        <v>183</v>
      </c>
    </row>
    <row r="231" spans="11:11" x14ac:dyDescent="0.15">
      <c r="K231" t="s">
        <v>184</v>
      </c>
    </row>
    <row r="232" spans="11:11" x14ac:dyDescent="0.15">
      <c r="K232" t="s">
        <v>185</v>
      </c>
    </row>
    <row r="233" spans="11:11" x14ac:dyDescent="0.15">
      <c r="K233" t="s">
        <v>186</v>
      </c>
    </row>
    <row r="234" spans="11:11" x14ac:dyDescent="0.15">
      <c r="K234" t="s">
        <v>187</v>
      </c>
    </row>
    <row r="235" spans="11:11" x14ac:dyDescent="0.15">
      <c r="K235" t="s">
        <v>188</v>
      </c>
    </row>
    <row r="236" spans="11:11" x14ac:dyDescent="0.15">
      <c r="K236" t="s">
        <v>189</v>
      </c>
    </row>
    <row r="237" spans="11:11" x14ac:dyDescent="0.15">
      <c r="K237" t="s">
        <v>190</v>
      </c>
    </row>
    <row r="238" spans="11:11" x14ac:dyDescent="0.15">
      <c r="K238" t="s">
        <v>191</v>
      </c>
    </row>
    <row r="239" spans="11:11" x14ac:dyDescent="0.15">
      <c r="K239" t="s">
        <v>192</v>
      </c>
    </row>
    <row r="240" spans="11:11" x14ac:dyDescent="0.15">
      <c r="K240" t="s">
        <v>205</v>
      </c>
    </row>
    <row r="241" spans="11:11" x14ac:dyDescent="0.15">
      <c r="K241" t="s">
        <v>155</v>
      </c>
    </row>
    <row r="242" spans="11:11" x14ac:dyDescent="0.15">
      <c r="K242" t="s">
        <v>125</v>
      </c>
    </row>
    <row r="243" spans="11:11" x14ac:dyDescent="0.15">
      <c r="K243" t="s">
        <v>168</v>
      </c>
    </row>
    <row r="244" spans="11:11" x14ac:dyDescent="0.15">
      <c r="K244" t="s">
        <v>169</v>
      </c>
    </row>
    <row r="245" spans="11:11" x14ac:dyDescent="0.15">
      <c r="K245" t="s">
        <v>170</v>
      </c>
    </row>
    <row r="246" spans="11:11" x14ac:dyDescent="0.15">
      <c r="K246" t="s">
        <v>171</v>
      </c>
    </row>
    <row r="247" spans="11:11" x14ac:dyDescent="0.15">
      <c r="K247" t="s">
        <v>172</v>
      </c>
    </row>
    <row r="248" spans="11:11" x14ac:dyDescent="0.15">
      <c r="K248" t="s">
        <v>173</v>
      </c>
    </row>
    <row r="249" spans="11:11" x14ac:dyDescent="0.15">
      <c r="K249" t="s">
        <v>174</v>
      </c>
    </row>
    <row r="250" spans="11:11" x14ac:dyDescent="0.15">
      <c r="K250" t="s">
        <v>175</v>
      </c>
    </row>
    <row r="251" spans="11:11" x14ac:dyDescent="0.15">
      <c r="K251" t="s">
        <v>176</v>
      </c>
    </row>
    <row r="252" spans="11:11" x14ac:dyDescent="0.15">
      <c r="K252" t="s">
        <v>127</v>
      </c>
    </row>
    <row r="253" spans="11:11" x14ac:dyDescent="0.15">
      <c r="K253" t="s">
        <v>177</v>
      </c>
    </row>
    <row r="254" spans="11:11" x14ac:dyDescent="0.15">
      <c r="K254" t="s">
        <v>149</v>
      </c>
    </row>
    <row r="255" spans="11:11" x14ac:dyDescent="0.15">
      <c r="K255" t="s">
        <v>178</v>
      </c>
    </row>
    <row r="256" spans="11:11" x14ac:dyDescent="0.15">
      <c r="K256" t="s">
        <v>151</v>
      </c>
    </row>
    <row r="257" spans="11:11" x14ac:dyDescent="0.15">
      <c r="K257" t="s">
        <v>179</v>
      </c>
    </row>
    <row r="258" spans="11:11" x14ac:dyDescent="0.15">
      <c r="K258" t="s">
        <v>206</v>
      </c>
    </row>
    <row r="259" spans="11:11" x14ac:dyDescent="0.15">
      <c r="K259" t="s">
        <v>129</v>
      </c>
    </row>
    <row r="260" spans="11:11" x14ac:dyDescent="0.15">
      <c r="K260" t="s">
        <v>181</v>
      </c>
    </row>
    <row r="261" spans="11:11" x14ac:dyDescent="0.15">
      <c r="K261" t="s">
        <v>182</v>
      </c>
    </row>
    <row r="262" spans="11:11" x14ac:dyDescent="0.15">
      <c r="K262" t="s">
        <v>183</v>
      </c>
    </row>
    <row r="263" spans="11:11" x14ac:dyDescent="0.15">
      <c r="K263" t="s">
        <v>184</v>
      </c>
    </row>
    <row r="264" spans="11:11" x14ac:dyDescent="0.15">
      <c r="K264" t="s">
        <v>185</v>
      </c>
    </row>
    <row r="265" spans="11:11" x14ac:dyDescent="0.15">
      <c r="K265" t="s">
        <v>186</v>
      </c>
    </row>
    <row r="266" spans="11:11" x14ac:dyDescent="0.15">
      <c r="K266" t="s">
        <v>187</v>
      </c>
    </row>
    <row r="267" spans="11:11" x14ac:dyDescent="0.15">
      <c r="K267" t="s">
        <v>188</v>
      </c>
    </row>
    <row r="268" spans="11:11" x14ac:dyDescent="0.15">
      <c r="K268" t="s">
        <v>189</v>
      </c>
    </row>
    <row r="269" spans="11:11" x14ac:dyDescent="0.15">
      <c r="K269" t="s">
        <v>190</v>
      </c>
    </row>
    <row r="270" spans="11:11" x14ac:dyDescent="0.15">
      <c r="K270" t="s">
        <v>191</v>
      </c>
    </row>
    <row r="271" spans="11:11" x14ac:dyDescent="0.15">
      <c r="K271" t="s">
        <v>192</v>
      </c>
    </row>
    <row r="272" spans="11:11" x14ac:dyDescent="0.15">
      <c r="K272" t="s">
        <v>207</v>
      </c>
    </row>
    <row r="273" spans="11:11" x14ac:dyDescent="0.15">
      <c r="K273" t="s">
        <v>155</v>
      </c>
    </row>
    <row r="274" spans="11:11" x14ac:dyDescent="0.15">
      <c r="K274" t="s">
        <v>125</v>
      </c>
    </row>
    <row r="275" spans="11:11" x14ac:dyDescent="0.15">
      <c r="K275" t="s">
        <v>168</v>
      </c>
    </row>
    <row r="276" spans="11:11" x14ac:dyDescent="0.15">
      <c r="K276" t="s">
        <v>169</v>
      </c>
    </row>
    <row r="277" spans="11:11" x14ac:dyDescent="0.15">
      <c r="K277" t="s">
        <v>170</v>
      </c>
    </row>
    <row r="278" spans="11:11" x14ac:dyDescent="0.15">
      <c r="K278" t="s">
        <v>171</v>
      </c>
    </row>
    <row r="279" spans="11:11" x14ac:dyDescent="0.15">
      <c r="K279" t="s">
        <v>172</v>
      </c>
    </row>
    <row r="280" spans="11:11" x14ac:dyDescent="0.15">
      <c r="K280" t="s">
        <v>173</v>
      </c>
    </row>
    <row r="281" spans="11:11" x14ac:dyDescent="0.15">
      <c r="K281" t="s">
        <v>174</v>
      </c>
    </row>
    <row r="282" spans="11:11" x14ac:dyDescent="0.15">
      <c r="K282" t="s">
        <v>175</v>
      </c>
    </row>
    <row r="283" spans="11:11" x14ac:dyDescent="0.15">
      <c r="K283" t="s">
        <v>176</v>
      </c>
    </row>
    <row r="284" spans="11:11" x14ac:dyDescent="0.15">
      <c r="K284" t="s">
        <v>127</v>
      </c>
    </row>
    <row r="285" spans="11:11" x14ac:dyDescent="0.15">
      <c r="K285" t="s">
        <v>177</v>
      </c>
    </row>
    <row r="286" spans="11:11" x14ac:dyDescent="0.15">
      <c r="K286" t="s">
        <v>149</v>
      </c>
    </row>
    <row r="287" spans="11:11" x14ac:dyDescent="0.15">
      <c r="K287" t="s">
        <v>178</v>
      </c>
    </row>
    <row r="288" spans="11:11" x14ac:dyDescent="0.15">
      <c r="K288" t="s">
        <v>151</v>
      </c>
    </row>
    <row r="289" spans="11:11" x14ac:dyDescent="0.15">
      <c r="K289" t="s">
        <v>179</v>
      </c>
    </row>
    <row r="290" spans="11:11" x14ac:dyDescent="0.15">
      <c r="K290" t="s">
        <v>208</v>
      </c>
    </row>
    <row r="291" spans="11:11" x14ac:dyDescent="0.15">
      <c r="K291" t="s">
        <v>129</v>
      </c>
    </row>
    <row r="292" spans="11:11" x14ac:dyDescent="0.15">
      <c r="K292" t="s">
        <v>181</v>
      </c>
    </row>
    <row r="293" spans="11:11" x14ac:dyDescent="0.15">
      <c r="K293" t="s">
        <v>182</v>
      </c>
    </row>
    <row r="294" spans="11:11" x14ac:dyDescent="0.15">
      <c r="K294" t="s">
        <v>183</v>
      </c>
    </row>
    <row r="295" spans="11:11" x14ac:dyDescent="0.15">
      <c r="K295" t="s">
        <v>184</v>
      </c>
    </row>
    <row r="296" spans="11:11" x14ac:dyDescent="0.15">
      <c r="K296" t="s">
        <v>185</v>
      </c>
    </row>
    <row r="297" spans="11:11" x14ac:dyDescent="0.15">
      <c r="K297" t="s">
        <v>186</v>
      </c>
    </row>
    <row r="298" spans="11:11" x14ac:dyDescent="0.15">
      <c r="K298" t="s">
        <v>187</v>
      </c>
    </row>
    <row r="299" spans="11:11" x14ac:dyDescent="0.15">
      <c r="K299" t="s">
        <v>188</v>
      </c>
    </row>
    <row r="300" spans="11:11" x14ac:dyDescent="0.15">
      <c r="K300" t="s">
        <v>189</v>
      </c>
    </row>
    <row r="301" spans="11:11" x14ac:dyDescent="0.15">
      <c r="K301" t="s">
        <v>190</v>
      </c>
    </row>
    <row r="302" spans="11:11" x14ac:dyDescent="0.15">
      <c r="K302" t="s">
        <v>191</v>
      </c>
    </row>
    <row r="303" spans="11:11" x14ac:dyDescent="0.15">
      <c r="K303" t="s">
        <v>192</v>
      </c>
    </row>
    <row r="304" spans="11:11" x14ac:dyDescent="0.15">
      <c r="K304" t="s">
        <v>209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规则配置表</vt:lpstr>
      <vt:lpstr>规则条件表</vt:lpstr>
      <vt:lpstr>校验规则</vt:lpstr>
      <vt:lpstr>参考SQL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2020-12-16T09:41:25Z</dcterms:modified>
</cp:coreProperties>
</file>