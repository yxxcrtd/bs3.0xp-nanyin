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规则配置表" sheetId="1" r:id="rId1"/>
    <sheet name="规则条件表" sheetId="2" r:id="rId2"/>
    <sheet name="Sheet1" sheetId="6" r:id="rId3"/>
    <sheet name="Sheet2" sheetId="5" r:id="rId4"/>
  </sheets>
  <definedNames>
    <definedName name="_xlnm._FilterDatabase" localSheetId="0" hidden="1">规则配置表!$A$1:$L$1</definedName>
    <definedName name="_xlnm._FilterDatabase" localSheetId="1" hidden="1">规则条件表!$A$1:$J$1</definedName>
  </definedNames>
  <calcPr calcId="152511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" i="1"/>
  <c r="J2" i="2" l="1"/>
  <c r="J3" i="2"/>
  <c r="J4" i="2"/>
  <c r="J5" i="2"/>
  <c r="J6" i="2"/>
</calcChain>
</file>

<file path=xl/sharedStrings.xml><?xml version="1.0" encoding="utf-8"?>
<sst xmlns="http://schemas.openxmlformats.org/spreadsheetml/2006/main" count="471" uniqueCount="211">
  <si>
    <t>CHECKRULEID</t>
  </si>
  <si>
    <t>CHECKMETHOD</t>
  </si>
  <si>
    <t>SRCPROPERTY</t>
  </si>
  <si>
    <t>COMPARETO</t>
  </si>
  <si>
    <t>OBJVALUE</t>
  </si>
  <si>
    <t>NULLABLE</t>
  </si>
  <si>
    <t>REMARK</t>
  </si>
  <si>
    <t>STATUS</t>
  </si>
  <si>
    <t>备注</t>
  </si>
  <si>
    <t>CHECKCONDITIONID</t>
  </si>
  <si>
    <t>==</t>
  </si>
  <si>
    <t>E</t>
  </si>
  <si>
    <t>isCustomizedString</t>
  </si>
  <si>
    <t>交易流通场所</t>
  </si>
  <si>
    <t>isNotEmpty</t>
  </si>
  <si>
    <t>lessThanCharLength</t>
  </si>
  <si>
    <t>inDatadict</t>
  </si>
  <si>
    <t>003E4A49-6810-5A9E-E050-007F01006A85</t>
  </si>
  <si>
    <t>123E4A49-6810-5A9E-E050-007F01006A15</t>
  </si>
  <si>
    <t>N</t>
  </si>
  <si>
    <t>0</t>
  </si>
  <si>
    <t>Y</t>
  </si>
  <si>
    <t>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</t>
  </si>
  <si>
    <t>备注要素不可为空</t>
  </si>
  <si>
    <t>257</t>
  </si>
  <si>
    <t>备注不能超过256字符</t>
  </si>
  <si>
    <t>备注必须填写白名单中的文字。</t>
  </si>
  <si>
    <t>compareValue</t>
  </si>
  <si>
    <t>99</t>
  </si>
  <si>
    <t>SVR_YES_OR_NO</t>
  </si>
  <si>
    <t>INDUSTRY_SHARES2</t>
  </si>
  <si>
    <t>股票类型不在值域范围内</t>
  </si>
  <si>
    <t>是否为质押融资不在值域范围内</t>
  </si>
  <si>
    <t>INVEST_STAGE</t>
  </si>
  <si>
    <t>123E4A49-6810-5A9E-E050-007F01006A97</t>
  </si>
  <si>
    <t>SVR_INVEST_STAGE</t>
  </si>
  <si>
    <t>884807E5-DF77-D920-E050-007F010077FD</t>
  </si>
  <si>
    <t>784807E5-DF7B-D920-E050-007F010077FD</t>
  </si>
  <si>
    <t>884807E5-EF00-D123-E050-007F010077FD</t>
  </si>
  <si>
    <t>776807E5-DFA1-D920-E050-117F010078FD</t>
  </si>
  <si>
    <t>884807E5-DF7A-D920-E050-117F010078FD</t>
  </si>
  <si>
    <t>776807E5-DFA1-D920-E050-117F010079FD</t>
  </si>
  <si>
    <t>884807E5-DF7A-D920-E050-117F010079FD</t>
  </si>
  <si>
    <t>776807E5-DFA1-D920-E050-117F010080FD</t>
  </si>
  <si>
    <t>884807E5-DF7A-D920-E050-117F010080FD</t>
  </si>
  <si>
    <t>FINANCIAL_COMISSUE</t>
  </si>
  <si>
    <t>284807E5-DF28-D920-E050-007F010098FD</t>
  </si>
  <si>
    <t>PRIVATE_FLAG</t>
  </si>
  <si>
    <t>003E4A49-6810-5A9E-E050-007F01016A56</t>
  </si>
  <si>
    <t>BONDTOSTOCK_FLAG</t>
  </si>
  <si>
    <t>003E4A49-6810-5A9E-E050-007F01026A56</t>
  </si>
  <si>
    <t>PPPFLAG</t>
  </si>
  <si>
    <t>884807E5-EF00-D124-E050-007F010077FD</t>
  </si>
  <si>
    <t>是否由金融资产投资公司发行要素不在值域范围内。</t>
  </si>
  <si>
    <t>HTML-NAME</t>
  </si>
  <si>
    <t>行业二级分类</t>
  </si>
  <si>
    <t>人行机构规模</t>
  </si>
  <si>
    <t>行业</t>
    <phoneticPr fontId="2" type="noConversion"/>
  </si>
  <si>
    <t>投资阶段</t>
    <phoneticPr fontId="2" type="noConversion"/>
  </si>
  <si>
    <t>发行机构类型（按技术领域划分）</t>
    <phoneticPr fontId="2" type="noConversion"/>
  </si>
  <si>
    <t>发行机构类型（按规模划分）</t>
  </si>
  <si>
    <t>发行机构类型（按经济类型划分）</t>
  </si>
  <si>
    <t>交易流通场所</t>
    <phoneticPr fontId="2" type="noConversion"/>
  </si>
  <si>
    <t>投向地方政府融资平台</t>
  </si>
  <si>
    <t>是否投向“市场化债转股相关产品的部分”</t>
  </si>
  <si>
    <t>是否由金融资产投资公司发行要素</t>
  </si>
  <si>
    <t>公共PPP</t>
  </si>
  <si>
    <t>投资阶段</t>
  </si>
  <si>
    <t>行业</t>
  </si>
  <si>
    <t>股票类型</t>
  </si>
  <si>
    <t>发行机构类型（按技术领域划分）</t>
  </si>
  <si>
    <t>是否为质押融资</t>
  </si>
  <si>
    <t>投向地方政府融资平台的部分</t>
  </si>
  <si>
    <t>投向金融资产投资公司或其附属机构发行的私募股权投资基金</t>
  </si>
  <si>
    <t>投向“公共私营合作项目”（PPP）的部分</t>
  </si>
  <si>
    <t>投向市场化债转股相关产品的部分</t>
  </si>
  <si>
    <t>股权退出安排</t>
  </si>
  <si>
    <t>是否为债转股</t>
  </si>
  <si>
    <t>二级资产类别</t>
    <phoneticPr fontId="2" type="noConversion"/>
  </si>
  <si>
    <t>资产/负债类别</t>
    <phoneticPr fontId="2" type="noConversion"/>
  </si>
  <si>
    <t>股票类型</t>
    <phoneticPr fontId="2" type="noConversion"/>
  </si>
  <si>
    <t>是否为质押融资</t>
    <phoneticPr fontId="2" type="noConversion"/>
  </si>
  <si>
    <t>股权退出安排</t>
    <phoneticPr fontId="2" type="noConversion"/>
  </si>
  <si>
    <t>是否为债转股</t>
    <phoneticPr fontId="2" type="noConversion"/>
  </si>
  <si>
    <t>884807E5-DF6F-D920-E050-007F010077FD</t>
  </si>
  <si>
    <t>SHARES_TYPE</t>
  </si>
  <si>
    <t>股票类型要素不可为空</t>
  </si>
  <si>
    <t>884807E5-DF70-D920-E050-007F010077FD</t>
  </si>
  <si>
    <t>884807E5-DF70-D920-E050-107F010077FD</t>
  </si>
  <si>
    <t>884807E5-DF75-D920-E050-007F010077FD</t>
  </si>
  <si>
    <t>IS_PLEDGE</t>
  </si>
  <si>
    <t>是否为质押融资要素不可为空</t>
  </si>
  <si>
    <t>884807E5-DF75-D920-E050-107F010077FD</t>
  </si>
  <si>
    <t>884807E5-DF76-D920-E050-007F010077FD</t>
  </si>
  <si>
    <t>884807E5-EF00-D116-E050-007F010077FD</t>
  </si>
  <si>
    <t>DEPT_EQUITY</t>
  </si>
  <si>
    <t>是否为债转股要素不能为空。</t>
  </si>
  <si>
    <t>是否由金融资产投资公司发行要素必须为空。</t>
  </si>
  <si>
    <t>投向地方政府融资平台要素不在值域范围内。</t>
  </si>
  <si>
    <t>是否投向“市场化债转股相关产品的部分”不在值域范围内。</t>
  </si>
  <si>
    <t>公共PPP不在值域范围内。</t>
  </si>
  <si>
    <t>投资阶段要素必须在值域范围内。</t>
  </si>
  <si>
    <t>884807E5-DF6F-D920-E050-107F010077FD</t>
  </si>
  <si>
    <t>SVR_SHARES_TYPE</t>
  </si>
  <si>
    <t>884807E5-EF00-D118-E050-007F010077FD</t>
  </si>
  <si>
    <t>是否为债转股要素不在值域范围内。</t>
  </si>
  <si>
    <t>784807E5-DF7A-D920-E050-007F010077FD</t>
  </si>
  <si>
    <t>股票类型为99其他</t>
  </si>
  <si>
    <t>投资阶段为99其他</t>
  </si>
  <si>
    <t>PARTY_TYPE1</t>
  </si>
  <si>
    <t>PARTY_TYPE2</t>
  </si>
  <si>
    <t>PARTY_TYPE3</t>
  </si>
  <si>
    <t>bussRepEquityInfoDto.repAssetType</t>
  </si>
  <si>
    <t>bussRepEquityInfoDto.repSharesType</t>
  </si>
  <si>
    <t>bussRepEquityInfoDto.repIndustry</t>
  </si>
  <si>
    <t>bussRepEquityInfoDto.repIndustryLevel2</t>
  </si>
  <si>
    <t>bussRepEquityInfoDto.repIsPledge</t>
  </si>
  <si>
    <t>bussRepEquityInfoDto.repEquityQuit</t>
  </si>
  <si>
    <t>bussRepEquityInfoDto.repDeptEquity</t>
  </si>
  <si>
    <t>bussRepEquityInfoDto.repInvestStage</t>
  </si>
  <si>
    <t>bussRepEquityInfoDto.repPartyType3</t>
  </si>
  <si>
    <t>bussRepEquityInfoDto.repPartyType1</t>
  </si>
  <si>
    <t>bussRepEquityInfoDto.repInstitSize</t>
  </si>
  <si>
    <t>bussRepEquityInfoDto.repPartyType2</t>
  </si>
  <si>
    <t>bussRepEquityInfoDto.repTradeMarket</t>
  </si>
  <si>
    <t>bussRepEquityInfoDto.repPrivateprdFlag</t>
  </si>
  <si>
    <t>bussRepEquityInfoDto.repBondtostockFlag</t>
  </si>
  <si>
    <t>bussRepEquityInfoDto.repPrivatefundFlag</t>
  </si>
  <si>
    <t>bussRepEquityInfoDto.repPppflag</t>
  </si>
  <si>
    <t>bussRepEquityInfoDto.repSmallcredit</t>
  </si>
  <si>
    <t>bussRepEquityInfoDto.repRemark</t>
    <phoneticPr fontId="2" type="noConversion"/>
  </si>
  <si>
    <t>HTML-NAME</t>
    <phoneticPr fontId="2" type="noConversion"/>
  </si>
  <si>
    <t>FinStockInfo002</t>
    <phoneticPr fontId="2" type="noConversion"/>
  </si>
  <si>
    <t>小微企业信贷资产流转和收益权转让</t>
    <phoneticPr fontId="2" type="noConversion"/>
  </si>
  <si>
    <t>PAGE_ID</t>
    <phoneticPr fontId="2" type="noConversion"/>
  </si>
  <si>
    <t>CHECKRULEID</t>
    <phoneticPr fontId="2" type="noConversion"/>
  </si>
  <si>
    <t>DELETE FROM CHB_DATACHECK_RULE_INV WHERE PAGE_ID = 'FinStockInfo002';</t>
    <phoneticPr fontId="2" type="noConversion"/>
  </si>
  <si>
    <t>DELETE FROM CHB_DATACHECK_CONDITION_INV WHERE CHECKRULEID IN (SELECT CHECKRULEID FROM CHB_DATACHECK_RULE_INV WHERE PAGE_ID = 'FinStockInfo002');</t>
    <phoneticPr fontId="2" type="noConversion"/>
  </si>
  <si>
    <t>要素</t>
    <phoneticPr fontId="2" type="noConversion"/>
  </si>
  <si>
    <t>中债数据字典</t>
    <phoneticPr fontId="2" type="noConversion"/>
  </si>
  <si>
    <t>投组数据字典</t>
    <phoneticPr fontId="2" type="noConversion"/>
  </si>
  <si>
    <t>备注</t>
    <phoneticPr fontId="2" type="noConversion"/>
  </si>
  <si>
    <t>YES_OR_NO</t>
    <phoneticPr fontId="2" type="noConversion"/>
  </si>
  <si>
    <t>YES_NO 01 是
YES_NO 02 否
YES_OR_NO N 否
YES_OR_NO Y 是</t>
    <phoneticPr fontId="2" type="noConversion"/>
  </si>
  <si>
    <t>YES_OR_NO</t>
    <phoneticPr fontId="2" type="noConversion"/>
  </si>
  <si>
    <t>INSTITUTION_INDUSTRY_SECOND_LEVEL</t>
    <phoneticPr fontId="2" type="noConversion"/>
  </si>
  <si>
    <t>行业二级分类不可为空</t>
    <phoneticPr fontId="2" type="noConversion"/>
  </si>
  <si>
    <t>行业二级分类不在值域范围内。</t>
    <phoneticPr fontId="2" type="noConversion"/>
  </si>
  <si>
    <t>inArray</t>
    <phoneticPr fontId="2" type="noConversion"/>
  </si>
  <si>
    <t>N,01</t>
    <phoneticPr fontId="2" type="noConversion"/>
  </si>
  <si>
    <t>N,01</t>
    <phoneticPr fontId="2" type="noConversion"/>
  </si>
  <si>
    <t>人行机构规模要素不在值域范围内。</t>
    <phoneticPr fontId="2" type="noConversion"/>
  </si>
  <si>
    <t>INSTIT_SIZE</t>
    <phoneticPr fontId="2" type="noConversion"/>
  </si>
  <si>
    <t>884807E5-DF76-D920-E050-007F010077FD</t>
    <phoneticPr fontId="2" type="noConversion"/>
  </si>
  <si>
    <t>884807E5-DF77-D920-E050-007F010077FD</t>
    <phoneticPr fontId="2" type="noConversion"/>
  </si>
  <si>
    <t>884807E5-DF7A-D920-E050-117F010078FD</t>
    <phoneticPr fontId="2" type="noConversion"/>
  </si>
  <si>
    <t>884807E5-DF7A-D920-E050-117F010079FD</t>
    <phoneticPr fontId="2" type="noConversion"/>
  </si>
  <si>
    <t>884807E5-DF7A-D920-E050-117F010080FD</t>
    <phoneticPr fontId="2" type="noConversion"/>
  </si>
  <si>
    <t>284807E5-DF28-D920-E050-007F010099FD</t>
    <phoneticPr fontId="2" type="noConversion"/>
  </si>
  <si>
    <t>ASSET_ID</t>
  </si>
  <si>
    <t>21</t>
  </si>
  <si>
    <t>finprodMarketId</t>
    <phoneticPr fontId="2" type="noConversion"/>
  </si>
  <si>
    <t>ASSET_NAME</t>
  </si>
  <si>
    <t>201</t>
  </si>
  <si>
    <t>finprodName</t>
    <phoneticPr fontId="2" type="noConversion"/>
  </si>
  <si>
    <t>7ae5d599-f93a-56bb-a8b9-dd3ed969bd8c</t>
  </si>
  <si>
    <t>b22f191a-6eef-5083-9cbb-6c3e251568fd</t>
  </si>
  <si>
    <t>be0f251d-9ae8-596b-be20-67932bf0d087</t>
  </si>
  <si>
    <t>INSTIT_SIZE</t>
  </si>
  <si>
    <t>D</t>
    <phoneticPr fontId="2" type="noConversion"/>
  </si>
  <si>
    <t>D</t>
    <phoneticPr fontId="2" type="noConversion"/>
  </si>
  <si>
    <t>E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</si>
  <si>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</si>
  <si>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</si>
  <si>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</si>
  <si>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</si>
  <si>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资产代码要素不能过长。</t>
    <phoneticPr fontId="2" type="noConversion"/>
  </si>
  <si>
    <t>资产/企业名称要素不可为空且不能过长。</t>
    <phoneticPr fontId="2" type="noConversion"/>
  </si>
  <si>
    <t>资产/企业名称必须填写白名单中的文字。</t>
    <phoneticPr fontId="2" type="noConversion"/>
  </si>
  <si>
    <t>资产代码必须填写白名单中的文字。</t>
    <phoneticPr fontId="2" type="noConversion"/>
  </si>
  <si>
    <t>eae5d599-f93a-56cb-a8b9-dd2ed969bd8d</t>
    <phoneticPr fontId="2" type="noConversion"/>
  </si>
  <si>
    <t>企业类型（按规模划分）为99其他</t>
    <phoneticPr fontId="2" type="noConversion"/>
  </si>
  <si>
    <t>企业类型（按技术领域划分）为99其他</t>
    <phoneticPr fontId="2" type="noConversion"/>
  </si>
  <si>
    <t>企业类型（按经济类型划分）为99其他</t>
    <phoneticPr fontId="2" type="noConversion"/>
  </si>
  <si>
    <t>CHECKCLASS</t>
    <phoneticPr fontId="2" type="noConversion"/>
  </si>
  <si>
    <t>com.joyintech.tams.invest.common.ChbBaseCheckLib</t>
  </si>
  <si>
    <t>284807E5-DF28-D920-E060-007F0100ZL29</t>
  </si>
  <si>
    <t>FinStockInfo002</t>
  </si>
  <si>
    <t>SHARES_TYPE1</t>
  </si>
  <si>
    <t>企业类型（按规模划分）要素不可为空。</t>
  </si>
  <si>
    <t>insert into CHB_DATACHECK_RULE_INV values ('284807E5-DF28-D920-E060-007F0100ZL29','FinStockInfo002','isNotEmpty','bussRepEquityInfoDto.repPartyType1','','','N','企业类型（按规模划分）要素不可为空。','E','com.joyintech.tams.invest.common.ChbBaseCheckLib');</t>
  </si>
  <si>
    <t>284807E5-DF28-D920-E060-007F0100ZL30</t>
  </si>
  <si>
    <t>SVR_PARTY_TYPE1</t>
  </si>
  <si>
    <t>企业类型（按规模划分）不在值域范围内。</t>
  </si>
  <si>
    <t>insert into CHB_DATACHECK_RULE_INV values ('284807E5-DF28-D920-E060-007F0100ZL30','FinStockInfo002','inDatadict','bussRepEquityInfoDto.repPartyType1','==','SVR_PARTY_TYPE1','Y','企业类型（按规模划分）不在值域范围内。','E','com.joyintech.tams.invest.common.ChbBaseCheckLib');</t>
  </si>
  <si>
    <t>284807E5-DF28-D920-E060-007F0100ZL31</t>
  </si>
  <si>
    <t>SHARES_TYPE2</t>
  </si>
  <si>
    <t>企业类型（按经济类型划分）要素不可为空。</t>
  </si>
  <si>
    <t>insert into CHB_DATACHECK_RULE_INV values ('284807E5-DF28-D920-E060-007F0100ZL31','FinStockInfo002','isNotEmpty','bussRepEquityInfoDto.repPartyType2','','','N','企业类型（按经济类型划分）要素不可为空。','E','com.joyintech.tams.invest.common.ChbBaseCheckLib');</t>
  </si>
  <si>
    <t>284807E5-DF28-D920-E060-007F0100ZL32</t>
  </si>
  <si>
    <t>SVR_PARTY_TYPE2</t>
  </si>
  <si>
    <t>企业类型（按经济类型划分）不在值域范围内。</t>
  </si>
  <si>
    <t>insert into CHB_DATACHECK_RULE_INV values ('284807E5-DF28-D920-E060-007F0100ZL32','FinStockInfo002','inDatadict','bussRepEquityInfoDto.repPartyType2','','SVR_PARTY_TYPE2','Y','企业类型（按经济类型划分）不在值域范围内。','E','com.joyintech.tams.invest.common.ChbBaseCheckLib');</t>
  </si>
  <si>
    <t>284807E5-DF28-D920-E060-007F0100ZL33</t>
  </si>
  <si>
    <t>SHARES_TYPE3</t>
  </si>
  <si>
    <t>企业类型（按技术领域划分）要素不可为空。</t>
  </si>
  <si>
    <t>insert into CHB_DATACHECK_RULE_INV values ('284807E5-DF28-D920-E060-007F0100ZL33','FinStockInfo002','isNotEmpty','bussRepEquityInfoDto.repPartyType3','','','N','企业类型（按技术领域划分）要素不可为空。','E','com.joyintech.tams.invest.common.ChbBaseCheckLib');</t>
  </si>
  <si>
    <t>284807E5-DF28-D920-E060-007F0100ZL34</t>
  </si>
  <si>
    <t>SVR_PARTY_TYPE3</t>
  </si>
  <si>
    <t>企业类型（按技术领域划分）不在值域范围内。</t>
  </si>
  <si>
    <t>insert into CHB_DATACHECK_RULE_INV values ('284807E5-DF28-D920-E060-007F0100ZL34','FinStockInfo002','inDatadict','bussRepEquityInfoDto.repPartyType3','','SVR_PARTY_TYPE3','Y','企业类型（按技术领域划分）不在值域范围内。','E','com.joyintech.tams.invest.common.ChbBaseCheckLib');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</si>
</sst>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9"/>
      <color rgb="FF008000"/>
      <name val="宋体"/>
      <family val="3"/>
      <charset val="134"/>
      <scheme val="minor"/>
    </font>
    <font>
      <strike/>
      <sz val="9"/>
      <color rgb="FF444444"/>
      <name val="微软雅黑"/>
      <family val="2"/>
      <charset val="134"/>
    </font>
    <font>
      <strike/>
      <sz val="11"/>
      <color theme="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0" fillId="2" borderId="0" xfId="0" applyFill="1"/>
    <xf numFmtId="0" fontId="4" fillId="0" borderId="0" xfId="0" applyFont="1" applyFill="1" applyAlignment="1">
      <alignment horizontal="center"/>
    </xf>
    <xf numFmtId="0" fontId="0" fillId="2" borderId="1" xfId="0" applyFill="1" applyBorder="1"/>
    <xf numFmtId="0" fontId="5" fillId="0" borderId="0" xfId="0" applyFont="1" applyAlignment="1">
      <alignment vertical="center"/>
    </xf>
    <xf numFmtId="0" fontId="4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/>
    <xf numFmtId="0" fontId="1" fillId="0" borderId="1" xfId="0" applyFont="1" applyFill="1" applyBorder="1"/>
    <xf numFmtId="49" fontId="1" fillId="0" borderId="1" xfId="0" applyNumberFormat="1" applyFont="1" applyFill="1" applyBorder="1"/>
    <xf numFmtId="0" fontId="0" fillId="0" borderId="1" xfId="0" applyFill="1" applyBorder="1" applyAlignment="1">
      <alignment vertical="center"/>
    </xf>
    <xf numFmtId="0" fontId="0" fillId="0" borderId="0" xfId="0" applyBorder="1"/>
    <xf numFmtId="0" fontId="0" fillId="2" borderId="0" xfId="0" applyFill="1" applyBorder="1"/>
    <xf numFmtId="0" fontId="0" fillId="0" borderId="2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tabSelected="1" topLeftCell="E22" workbookViewId="0">
      <selection activeCell="I28" sqref="I28:I33"/>
    </sheetView>
  </sheetViews>
  <sheetFormatPr defaultRowHeight="13.5" x14ac:dyDescent="0.15"/>
  <cols>
    <col min="1" max="1" width="37.5" style="6" customWidth="1"/>
    <col min="2" max="2" width="20.125" style="6" customWidth="1"/>
    <col min="3" max="3" width="17.75" style="6" customWidth="1"/>
    <col min="4" max="4" width="18.375" style="6" customWidth="1"/>
    <col min="5" max="5" width="14.625" style="6" customWidth="1"/>
    <col min="6" max="6" width="16.125" style="6" customWidth="1"/>
    <col min="7" max="7" width="14.125" style="6" customWidth="1"/>
    <col min="8" max="8" width="36.875" style="6" customWidth="1"/>
    <col min="9" max="9" width="9" style="6"/>
    <col min="10" max="10" width="42.5" style="6" customWidth="1"/>
    <col min="11" max="11" width="42.5" style="20" customWidth="1"/>
  </cols>
  <sheetData>
    <row r="1" spans="1:12" s="9" customFormat="1" x14ac:dyDescent="0.15">
      <c r="A1" s="4" t="s">
        <v>0</v>
      </c>
      <c r="B1" s="4" t="s">
        <v>134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12" t="s">
        <v>131</v>
      </c>
      <c r="K1" s="12" t="s">
        <v>184</v>
      </c>
      <c r="L1" s="12" t="s">
        <v>136</v>
      </c>
    </row>
    <row r="2" spans="1:12" x14ac:dyDescent="0.15">
      <c r="A2" s="3" t="s">
        <v>18</v>
      </c>
      <c r="B2" s="3" t="s">
        <v>132</v>
      </c>
      <c r="C2" s="3" t="s">
        <v>12</v>
      </c>
      <c r="D2" s="3" t="s">
        <v>6</v>
      </c>
      <c r="E2" s="3"/>
      <c r="F2" s="3" t="s">
        <v>22</v>
      </c>
      <c r="G2" s="3" t="s">
        <v>21</v>
      </c>
      <c r="H2" s="3" t="s">
        <v>26</v>
      </c>
      <c r="I2" s="3" t="s">
        <v>171</v>
      </c>
      <c r="J2" s="6" t="s">
        <v>130</v>
      </c>
      <c r="K2" s="6" t="s">
        <v>185</v>
      </c>
      <c r="L2" s="6" t="str">
        <f>CONCATENATE("insert into CHB_DATACHECK_RULE_INV values ('",A2,"','",B2,"','",C2,"','",J2,"','",E2,"','",F2,"','",G2,"','",H2,"','",I2,"','",K2,"');")</f>
        <v>insert into CHB_DATACHECK_RULE_INV values ('123E4A49-6810-5A9E-E050-007F01006A15','FinStockInfo002','isCustomizedString','bussRepEquityInfoDto.rep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备注必须填写白名单中的文字。','E','com.joyintech.tams.invest.common.ChbBaseCheckLib');</v>
      </c>
    </row>
    <row r="3" spans="1:12" x14ac:dyDescent="0.15">
      <c r="A3" s="3" t="s">
        <v>17</v>
      </c>
      <c r="B3" s="3" t="s">
        <v>132</v>
      </c>
      <c r="C3" s="3" t="s">
        <v>15</v>
      </c>
      <c r="D3" s="3" t="s">
        <v>6</v>
      </c>
      <c r="E3" s="3"/>
      <c r="F3" s="3" t="s">
        <v>24</v>
      </c>
      <c r="G3" s="3" t="s">
        <v>21</v>
      </c>
      <c r="H3" s="3" t="s">
        <v>25</v>
      </c>
      <c r="I3" s="3" t="s">
        <v>11</v>
      </c>
      <c r="J3" s="6" t="s">
        <v>130</v>
      </c>
      <c r="K3" s="6" t="s">
        <v>185</v>
      </c>
      <c r="L3" s="6" t="str">
        <f t="shared" ref="L3:L27" si="0">CONCATENATE("insert into CHB_DATACHECK_RULE_INV values ('",A3,"','",B3,"','",C3,"','",J3,"','",E3,"','",F3,"','",G3,"','",H3,"','",I3,"','",K3,"');")</f>
        <v>insert into CHB_DATACHECK_RULE_INV values ('003E4A49-6810-5A9E-E050-007F01006A85','FinStockInfo002','lessThanCharLength','bussRepEquityInfoDto.repRemark','','257','Y','备注不能超过256字符','E','com.joyintech.tams.invest.common.ChbBaseCheckLib');</v>
      </c>
    </row>
    <row r="4" spans="1:12" x14ac:dyDescent="0.15">
      <c r="A4" s="3" t="s">
        <v>153</v>
      </c>
      <c r="B4" s="3" t="s">
        <v>132</v>
      </c>
      <c r="C4" s="3" t="s">
        <v>14</v>
      </c>
      <c r="D4" s="3" t="s">
        <v>6</v>
      </c>
      <c r="E4" s="3"/>
      <c r="F4" s="3" t="s">
        <v>20</v>
      </c>
      <c r="G4" s="3" t="s">
        <v>19</v>
      </c>
      <c r="H4" s="3" t="s">
        <v>23</v>
      </c>
      <c r="I4" s="3" t="s">
        <v>172</v>
      </c>
      <c r="J4" s="6" t="s">
        <v>130</v>
      </c>
      <c r="K4" s="6" t="s">
        <v>185</v>
      </c>
      <c r="L4" s="6" t="str">
        <f t="shared" si="0"/>
        <v>insert into CHB_DATACHECK_RULE_INV values ('884807E5-DF76-D920-E050-007F010077FD','FinStockInfo002','isNotEmpty','bussRepEquityInfoDto.repRemark','','0','N','备注要素不可为空','D','com.joyintech.tams.invest.common.ChbBaseCheckLib');</v>
      </c>
    </row>
    <row r="5" spans="1:12" x14ac:dyDescent="0.15">
      <c r="A5" s="3" t="s">
        <v>154</v>
      </c>
      <c r="B5" s="3" t="s">
        <v>132</v>
      </c>
      <c r="C5" s="3" t="s">
        <v>14</v>
      </c>
      <c r="D5" s="3" t="s">
        <v>6</v>
      </c>
      <c r="E5" s="3"/>
      <c r="F5" s="3" t="s">
        <v>20</v>
      </c>
      <c r="G5" s="3" t="s">
        <v>19</v>
      </c>
      <c r="H5" s="3" t="s">
        <v>23</v>
      </c>
      <c r="I5" s="3" t="s">
        <v>172</v>
      </c>
      <c r="J5" s="6" t="s">
        <v>130</v>
      </c>
      <c r="K5" s="6" t="s">
        <v>185</v>
      </c>
      <c r="L5" s="6" t="str">
        <f t="shared" si="0"/>
        <v>insert into CHB_DATACHECK_RULE_INV values ('884807E5-DF77-D920-E050-007F010077FD','FinStockInfo002','isNotEmpty','bussRepEquityInfoDto.repRemark','','0','N','备注要素不可为空','D','com.joyintech.tams.invest.common.ChbBaseCheckLib');</v>
      </c>
    </row>
    <row r="6" spans="1:12" x14ac:dyDescent="0.15">
      <c r="A6" s="3" t="s">
        <v>155</v>
      </c>
      <c r="B6" s="3" t="s">
        <v>132</v>
      </c>
      <c r="C6" s="3" t="s">
        <v>14</v>
      </c>
      <c r="D6" s="3" t="s">
        <v>6</v>
      </c>
      <c r="E6" s="3"/>
      <c r="F6" s="3" t="s">
        <v>20</v>
      </c>
      <c r="G6" s="3" t="s">
        <v>19</v>
      </c>
      <c r="H6" s="3" t="s">
        <v>23</v>
      </c>
      <c r="I6" s="3" t="s">
        <v>172</v>
      </c>
      <c r="J6" s="6" t="s">
        <v>130</v>
      </c>
      <c r="K6" s="6" t="s">
        <v>185</v>
      </c>
      <c r="L6" s="6" t="str">
        <f t="shared" si="0"/>
        <v>insert into CHB_DATACHECK_RULE_INV values ('884807E5-DF7A-D920-E050-117F010078FD','FinStockInfo002','isNotEmpty','bussRepEquityInfoDto.repRemark','','0','N','备注要素不可为空','D','com.joyintech.tams.invest.common.ChbBaseCheckLib');</v>
      </c>
    </row>
    <row r="7" spans="1:12" x14ac:dyDescent="0.15">
      <c r="A7" s="3" t="s">
        <v>156</v>
      </c>
      <c r="B7" s="3" t="s">
        <v>132</v>
      </c>
      <c r="C7" s="3" t="s">
        <v>14</v>
      </c>
      <c r="D7" s="3" t="s">
        <v>6</v>
      </c>
      <c r="E7" s="3"/>
      <c r="F7" s="3" t="s">
        <v>20</v>
      </c>
      <c r="G7" s="3" t="s">
        <v>19</v>
      </c>
      <c r="H7" s="3" t="s">
        <v>23</v>
      </c>
      <c r="I7" s="3" t="s">
        <v>172</v>
      </c>
      <c r="J7" s="6" t="s">
        <v>130</v>
      </c>
      <c r="K7" s="6" t="s">
        <v>185</v>
      </c>
      <c r="L7" s="6" t="str">
        <f t="shared" si="0"/>
        <v>insert into CHB_DATACHECK_RULE_INV values ('884807E5-DF7A-D920-E050-117F010079FD','FinStockInfo002','isNotEmpty','bussRepEquityInfoDto.repRemark','','0','N','备注要素不可为空','D','com.joyintech.tams.invest.common.ChbBaseCheckLib');</v>
      </c>
    </row>
    <row r="8" spans="1:12" x14ac:dyDescent="0.15">
      <c r="A8" s="3" t="s">
        <v>157</v>
      </c>
      <c r="B8" s="3" t="s">
        <v>132</v>
      </c>
      <c r="C8" s="3" t="s">
        <v>14</v>
      </c>
      <c r="D8" s="3" t="s">
        <v>6</v>
      </c>
      <c r="E8" s="3"/>
      <c r="F8" s="3" t="s">
        <v>20</v>
      </c>
      <c r="G8" s="3" t="s">
        <v>19</v>
      </c>
      <c r="H8" s="3" t="s">
        <v>23</v>
      </c>
      <c r="I8" s="3" t="s">
        <v>172</v>
      </c>
      <c r="J8" s="6" t="s">
        <v>130</v>
      </c>
      <c r="K8" s="6" t="s">
        <v>185</v>
      </c>
      <c r="L8" s="6" t="str">
        <f t="shared" si="0"/>
        <v>insert into CHB_DATACHECK_RULE_INV values ('884807E5-DF7A-D920-E050-117F010080FD','FinStockInfo002','isNotEmpty','bussRepEquityInfoDto.repRemark','','0','N','备注要素不可为空','D','com.joyintech.tams.invest.common.ChbBaseCheckLib');</v>
      </c>
    </row>
    <row r="9" spans="1:12" x14ac:dyDescent="0.15">
      <c r="A9" s="3" t="s">
        <v>50</v>
      </c>
      <c r="B9" s="3" t="s">
        <v>132</v>
      </c>
      <c r="C9" s="3" t="s">
        <v>16</v>
      </c>
      <c r="D9" s="3" t="s">
        <v>51</v>
      </c>
      <c r="E9" s="3" t="s">
        <v>10</v>
      </c>
      <c r="F9" s="3" t="s">
        <v>29</v>
      </c>
      <c r="G9" s="3" t="s">
        <v>21</v>
      </c>
      <c r="H9" s="3" t="s">
        <v>100</v>
      </c>
      <c r="I9" s="3" t="s">
        <v>170</v>
      </c>
      <c r="J9" s="6" t="s">
        <v>128</v>
      </c>
      <c r="K9" s="6" t="s">
        <v>185</v>
      </c>
      <c r="L9" s="6" t="str">
        <f t="shared" si="0"/>
        <v>insert into CHB_DATACHECK_RULE_INV values ('003E4A49-6810-5A9E-E050-007F01026A56','FinStockInfo002','inDatadict','bussRepEquityInfoDto.repPppflag','==','SVR_YES_OR_NO','Y','公共PPP不在值域范围内。','D','com.joyintech.tams.invest.common.ChbBaseCheckLib');</v>
      </c>
    </row>
    <row r="10" spans="1:12" x14ac:dyDescent="0.15">
      <c r="A10" s="3" t="s">
        <v>102</v>
      </c>
      <c r="B10" s="3" t="s">
        <v>132</v>
      </c>
      <c r="C10" s="3" t="s">
        <v>16</v>
      </c>
      <c r="D10" s="3" t="s">
        <v>85</v>
      </c>
      <c r="E10" s="3" t="s">
        <v>10</v>
      </c>
      <c r="F10" s="3" t="s">
        <v>103</v>
      </c>
      <c r="G10" s="3" t="s">
        <v>21</v>
      </c>
      <c r="H10" s="3" t="s">
        <v>31</v>
      </c>
      <c r="I10" s="3" t="s">
        <v>170</v>
      </c>
      <c r="J10" s="6" t="s">
        <v>113</v>
      </c>
      <c r="K10" s="6" t="s">
        <v>185</v>
      </c>
      <c r="L10" s="6" t="str">
        <f t="shared" si="0"/>
        <v>insert into CHB_DATACHECK_RULE_INV values ('884807E5-DF6F-D920-E050-107F010077FD','FinStockInfo002','inDatadict','bussRepEquityInfoDto.repSharesType','==','SVR_SHARES_TYPE','Y','股票类型不在值域范围内','D','com.joyintech.tams.invest.common.ChbBaseCheckLib');</v>
      </c>
    </row>
    <row r="11" spans="1:12" x14ac:dyDescent="0.15">
      <c r="A11" s="3" t="s">
        <v>84</v>
      </c>
      <c r="B11" s="3" t="s">
        <v>132</v>
      </c>
      <c r="C11" s="3" t="s">
        <v>14</v>
      </c>
      <c r="D11" s="3" t="s">
        <v>85</v>
      </c>
      <c r="E11" s="3"/>
      <c r="F11" s="3"/>
      <c r="G11" s="3" t="s">
        <v>19</v>
      </c>
      <c r="H11" s="3" t="s">
        <v>86</v>
      </c>
      <c r="I11" s="3" t="s">
        <v>172</v>
      </c>
      <c r="J11" s="6" t="s">
        <v>113</v>
      </c>
      <c r="K11" s="6" t="s">
        <v>185</v>
      </c>
      <c r="L11" s="6" t="str">
        <f t="shared" si="0"/>
        <v>insert into CHB_DATACHECK_RULE_INV values ('884807E5-DF6F-D920-E050-007F010077FD','FinStockInfo002','isNotEmpty','bussRepEquityInfoDto.repSharesType','','','N','股票类型要素不可为空','D','com.joyintech.tams.invest.common.ChbBaseCheckLib');</v>
      </c>
    </row>
    <row r="12" spans="1:12" x14ac:dyDescent="0.15">
      <c r="A12" s="3" t="s">
        <v>88</v>
      </c>
      <c r="B12" s="3" t="s">
        <v>132</v>
      </c>
      <c r="C12" s="3" t="s">
        <v>16</v>
      </c>
      <c r="D12" s="3" t="s">
        <v>30</v>
      </c>
      <c r="E12" s="3" t="s">
        <v>10</v>
      </c>
      <c r="F12" s="3" t="s">
        <v>145</v>
      </c>
      <c r="G12" s="3" t="s">
        <v>21</v>
      </c>
      <c r="H12" s="3" t="s">
        <v>147</v>
      </c>
      <c r="I12" s="3" t="s">
        <v>170</v>
      </c>
      <c r="J12" s="6" t="s">
        <v>115</v>
      </c>
      <c r="K12" s="6" t="s">
        <v>185</v>
      </c>
      <c r="L12" s="6" t="str">
        <f t="shared" si="0"/>
        <v>insert into CHB_DATACHECK_RULE_INV values ('884807E5-DF70-D920-E050-107F010077FD','FinStockInfo002','inDatadict','bussRepEquityInfoDto.repIndustryLevel2','==','INSTITUTION_INDUSTRY_SECOND_LEVEL','Y','行业二级分类不在值域范围内。','D','com.joyintech.tams.invest.common.ChbBaseCheckLib');</v>
      </c>
    </row>
    <row r="13" spans="1:12" x14ac:dyDescent="0.15">
      <c r="A13" s="3" t="s">
        <v>87</v>
      </c>
      <c r="B13" s="3" t="s">
        <v>132</v>
      </c>
      <c r="C13" s="3" t="s">
        <v>14</v>
      </c>
      <c r="D13" s="3" t="s">
        <v>30</v>
      </c>
      <c r="E13" s="3"/>
      <c r="F13" s="3"/>
      <c r="G13" s="3" t="s">
        <v>19</v>
      </c>
      <c r="H13" s="3" t="s">
        <v>146</v>
      </c>
      <c r="I13" s="3" t="s">
        <v>170</v>
      </c>
      <c r="J13" s="6" t="s">
        <v>115</v>
      </c>
      <c r="K13" s="6" t="s">
        <v>185</v>
      </c>
      <c r="L13" s="6" t="str">
        <f t="shared" si="0"/>
        <v>insert into CHB_DATACHECK_RULE_INV values ('884807E5-DF70-D920-E050-007F010077FD','FinStockInfo002','isNotEmpty','bussRepEquityInfoDto.repIndustryLevel2','','','N','行业二级分类不可为空','D','com.joyintech.tams.invest.common.ChbBaseCheckLib');</v>
      </c>
    </row>
    <row r="14" spans="1:12" x14ac:dyDescent="0.15">
      <c r="A14" s="3" t="s">
        <v>158</v>
      </c>
      <c r="B14" s="3" t="s">
        <v>132</v>
      </c>
      <c r="C14" s="3" t="s">
        <v>16</v>
      </c>
      <c r="D14" s="3" t="s">
        <v>152</v>
      </c>
      <c r="E14" s="3" t="s">
        <v>10</v>
      </c>
      <c r="F14" s="3" t="s">
        <v>168</v>
      </c>
      <c r="G14" s="3" t="s">
        <v>21</v>
      </c>
      <c r="H14" s="3" t="s">
        <v>151</v>
      </c>
      <c r="I14" s="3" t="s">
        <v>173</v>
      </c>
      <c r="J14" s="6" t="s">
        <v>122</v>
      </c>
      <c r="K14" s="6" t="s">
        <v>185</v>
      </c>
      <c r="L14" s="6" t="str">
        <f t="shared" si="0"/>
        <v>insert into CHB_DATACHECK_RULE_INV values ('284807E5-DF28-D920-E050-007F010099FD','FinStockInfo002','inDatadict','bussRepEquityInfoDto.repInstitSize','==','INSTIT_SIZE','Y','人行机构规模要素不在值域范围内。','D','com.joyintech.tams.invest.common.ChbBaseCheckLib');</v>
      </c>
    </row>
    <row r="15" spans="1:12" x14ac:dyDescent="0.15">
      <c r="A15" s="3" t="s">
        <v>48</v>
      </c>
      <c r="B15" s="3" t="s">
        <v>132</v>
      </c>
      <c r="C15" s="3" t="s">
        <v>16</v>
      </c>
      <c r="D15" s="3" t="s">
        <v>49</v>
      </c>
      <c r="E15" s="3" t="s">
        <v>10</v>
      </c>
      <c r="F15" s="3" t="s">
        <v>29</v>
      </c>
      <c r="G15" s="3" t="s">
        <v>21</v>
      </c>
      <c r="H15" s="3" t="s">
        <v>99</v>
      </c>
      <c r="I15" s="3" t="s">
        <v>174</v>
      </c>
      <c r="J15" s="6" t="s">
        <v>126</v>
      </c>
      <c r="K15" s="6" t="s">
        <v>185</v>
      </c>
      <c r="L15" s="6" t="str">
        <f t="shared" si="0"/>
        <v>insert into CHB_DATACHECK_RULE_INV values ('003E4A49-6810-5A9E-E050-007F01016A56','FinStockInfo002','inDatadict','bussRepEquityInfoDto.repBondtostockFlag','==','SVR_YES_OR_NO','Y','是否投向“市场化债转股相关产品的部分”不在值域范围内。','D','com.joyintech.tams.invest.common.ChbBaseCheckLib');</v>
      </c>
    </row>
    <row r="16" spans="1:12" x14ac:dyDescent="0.15">
      <c r="A16" s="3" t="s">
        <v>94</v>
      </c>
      <c r="B16" s="3" t="s">
        <v>132</v>
      </c>
      <c r="C16" s="3" t="s">
        <v>14</v>
      </c>
      <c r="D16" s="3" t="s">
        <v>95</v>
      </c>
      <c r="E16" s="3"/>
      <c r="F16" s="3"/>
      <c r="G16" s="3" t="s">
        <v>19</v>
      </c>
      <c r="H16" s="3" t="s">
        <v>96</v>
      </c>
      <c r="I16" s="3" t="s">
        <v>174</v>
      </c>
      <c r="J16" s="6" t="s">
        <v>118</v>
      </c>
      <c r="K16" s="6" t="s">
        <v>185</v>
      </c>
      <c r="L16" s="6" t="str">
        <f t="shared" si="0"/>
        <v>insert into CHB_DATACHECK_RULE_INV values ('884807E5-EF00-D116-E050-007F010077FD','FinStockInfo002','isNotEmpty','bussRepEquityInfoDto.repDeptEquity','','','N','是否为债转股要素不能为空。','D','com.joyintech.tams.invest.common.ChbBaseCheckLib');</v>
      </c>
    </row>
    <row r="17" spans="1:12" x14ac:dyDescent="0.15">
      <c r="A17" s="3" t="s">
        <v>104</v>
      </c>
      <c r="B17" s="3" t="s">
        <v>132</v>
      </c>
      <c r="C17" s="3" t="s">
        <v>148</v>
      </c>
      <c r="D17" s="3" t="s">
        <v>95</v>
      </c>
      <c r="E17" s="3" t="s">
        <v>10</v>
      </c>
      <c r="F17" s="3" t="s">
        <v>149</v>
      </c>
      <c r="G17" s="3" t="s">
        <v>21</v>
      </c>
      <c r="H17" s="3" t="s">
        <v>105</v>
      </c>
      <c r="I17" s="3" t="s">
        <v>175</v>
      </c>
      <c r="J17" s="6" t="s">
        <v>118</v>
      </c>
      <c r="K17" s="6" t="s">
        <v>185</v>
      </c>
      <c r="L17" s="6" t="str">
        <f t="shared" si="0"/>
        <v>insert into CHB_DATACHECK_RULE_INV values ('884807E5-EF00-D118-E050-007F010077FD','FinStockInfo002','inArray','bussRepEquityInfoDto.repDeptEquity','==','N,01','Y','是否为债转股要素不在值域范围内。','D','com.joyintech.tams.invest.common.ChbBaseCheckLib');</v>
      </c>
    </row>
    <row r="18" spans="1:12" x14ac:dyDescent="0.15">
      <c r="A18" s="3" t="s">
        <v>92</v>
      </c>
      <c r="B18" s="3" t="s">
        <v>132</v>
      </c>
      <c r="C18" s="3" t="s">
        <v>148</v>
      </c>
      <c r="D18" s="3" t="s">
        <v>90</v>
      </c>
      <c r="E18" s="3" t="s">
        <v>10</v>
      </c>
      <c r="F18" s="3" t="s">
        <v>150</v>
      </c>
      <c r="G18" s="3" t="s">
        <v>21</v>
      </c>
      <c r="H18" s="3" t="s">
        <v>32</v>
      </c>
      <c r="I18" s="3" t="s">
        <v>175</v>
      </c>
      <c r="J18" s="6" t="s">
        <v>116</v>
      </c>
      <c r="K18" s="6" t="s">
        <v>185</v>
      </c>
      <c r="L18" s="6" t="str">
        <f t="shared" si="0"/>
        <v>insert into CHB_DATACHECK_RULE_INV values ('884807E5-DF75-D920-E050-107F010077FD','FinStockInfo002','inArray','bussRepEquityInfoDto.repIsPledge','==','N,01','Y','是否为质押融资不在值域范围内','D','com.joyintech.tams.invest.common.ChbBaseCheckLib');</v>
      </c>
    </row>
    <row r="19" spans="1:12" x14ac:dyDescent="0.15">
      <c r="A19" s="3" t="s">
        <v>89</v>
      </c>
      <c r="B19" s="3" t="s">
        <v>132</v>
      </c>
      <c r="C19" s="3" t="s">
        <v>14</v>
      </c>
      <c r="D19" s="3" t="s">
        <v>90</v>
      </c>
      <c r="E19" s="3"/>
      <c r="F19" s="3"/>
      <c r="G19" s="3" t="s">
        <v>19</v>
      </c>
      <c r="H19" s="3" t="s">
        <v>91</v>
      </c>
      <c r="I19" s="3" t="s">
        <v>173</v>
      </c>
      <c r="J19" s="6" t="s">
        <v>116</v>
      </c>
      <c r="K19" s="6" t="s">
        <v>185</v>
      </c>
      <c r="L19" s="6" t="str">
        <f t="shared" si="0"/>
        <v>insert into CHB_DATACHECK_RULE_INV values ('884807E5-DF75-D920-E050-007F010077FD','FinStockInfo002','isNotEmpty','bussRepEquityInfoDto.repIsPledge','','','N','是否为质押融资要素不可为空','D','com.joyintech.tams.invest.common.ChbBaseCheckLib');</v>
      </c>
    </row>
    <row r="20" spans="1:12" x14ac:dyDescent="0.15">
      <c r="A20" s="3" t="s">
        <v>38</v>
      </c>
      <c r="B20" s="3" t="s">
        <v>132</v>
      </c>
      <c r="C20" s="3" t="s">
        <v>15</v>
      </c>
      <c r="D20" s="3" t="s">
        <v>45</v>
      </c>
      <c r="E20" s="3" t="s">
        <v>10</v>
      </c>
      <c r="F20" s="3" t="s">
        <v>20</v>
      </c>
      <c r="G20" s="3" t="s">
        <v>21</v>
      </c>
      <c r="H20" s="3" t="s">
        <v>97</v>
      </c>
      <c r="I20" s="3" t="s">
        <v>169</v>
      </c>
      <c r="J20" s="6" t="s">
        <v>127</v>
      </c>
      <c r="K20" s="6" t="s">
        <v>185</v>
      </c>
      <c r="L20" s="6" t="str">
        <f t="shared" si="0"/>
        <v>insert into CHB_DATACHECK_RULE_INV values ('884807E5-EF00-D123-E050-007F010077FD','FinStockInfo002','lessThanCharLength','bussRepEquityInfoDto.repPrivatefundFlag','==','0','Y','是否由金融资产投资公司发行要素必须为空。','D','com.joyintech.tams.invest.common.ChbBaseCheckLib');</v>
      </c>
    </row>
    <row r="21" spans="1:12" x14ac:dyDescent="0.15">
      <c r="A21" s="3" t="s">
        <v>52</v>
      </c>
      <c r="B21" s="3" t="s">
        <v>132</v>
      </c>
      <c r="C21" s="3" t="s">
        <v>16</v>
      </c>
      <c r="D21" s="3" t="s">
        <v>45</v>
      </c>
      <c r="E21" s="3"/>
      <c r="F21" s="3" t="s">
        <v>29</v>
      </c>
      <c r="G21" s="3" t="s">
        <v>21</v>
      </c>
      <c r="H21" s="3" t="s">
        <v>53</v>
      </c>
      <c r="I21" s="3" t="s">
        <v>170</v>
      </c>
      <c r="J21" s="6" t="s">
        <v>127</v>
      </c>
      <c r="K21" s="6" t="s">
        <v>185</v>
      </c>
      <c r="L21" s="6" t="str">
        <f t="shared" si="0"/>
        <v>insert into CHB_DATACHECK_RULE_INV values ('884807E5-EF00-D124-E050-007F010077FD','FinStockInfo002','inDatadict','bussRepEquityInfoDto.repPrivatefundFlag','','SVR_YES_OR_NO','Y','是否由金融资产投资公司发行要素不在值域范围内。','D','com.joyintech.tams.invest.common.ChbBaseCheckLib');</v>
      </c>
    </row>
    <row r="22" spans="1:12" x14ac:dyDescent="0.15">
      <c r="A22" s="3" t="s">
        <v>46</v>
      </c>
      <c r="B22" s="3" t="s">
        <v>132</v>
      </c>
      <c r="C22" s="3" t="s">
        <v>16</v>
      </c>
      <c r="D22" s="3" t="s">
        <v>47</v>
      </c>
      <c r="E22" s="3" t="s">
        <v>10</v>
      </c>
      <c r="F22" s="3" t="s">
        <v>29</v>
      </c>
      <c r="G22" s="3" t="s">
        <v>21</v>
      </c>
      <c r="H22" s="3" t="s">
        <v>98</v>
      </c>
      <c r="I22" s="3" t="s">
        <v>170</v>
      </c>
      <c r="J22" s="6" t="s">
        <v>125</v>
      </c>
      <c r="K22" s="6" t="s">
        <v>185</v>
      </c>
      <c r="L22" s="6" t="str">
        <f t="shared" si="0"/>
        <v>insert into CHB_DATACHECK_RULE_INV values ('284807E5-DF28-D920-E050-007F010098FD','FinStockInfo002','inDatadict','bussRepEquityInfoDto.repPrivateprdFlag','==','SVR_YES_OR_NO','Y','投向地方政府融资平台要素不在值域范围内。','D','com.joyintech.tams.invest.common.ChbBaseCheckLib');</v>
      </c>
    </row>
    <row r="23" spans="1:12" x14ac:dyDescent="0.15">
      <c r="A23" s="3" t="s">
        <v>34</v>
      </c>
      <c r="B23" s="3" t="s">
        <v>132</v>
      </c>
      <c r="C23" s="3" t="s">
        <v>16</v>
      </c>
      <c r="D23" s="3" t="s">
        <v>33</v>
      </c>
      <c r="E23" s="3" t="s">
        <v>10</v>
      </c>
      <c r="F23" s="3" t="s">
        <v>35</v>
      </c>
      <c r="G23" s="3" t="s">
        <v>21</v>
      </c>
      <c r="H23" s="3" t="s">
        <v>101</v>
      </c>
      <c r="I23" s="3" t="s">
        <v>170</v>
      </c>
      <c r="J23" s="6" t="s">
        <v>119</v>
      </c>
      <c r="K23" s="6" t="s">
        <v>185</v>
      </c>
      <c r="L23" s="6" t="str">
        <f t="shared" si="0"/>
        <v>insert into CHB_DATACHECK_RULE_INV values ('123E4A49-6810-5A9E-E050-007F01006A97','FinStockInfo002','inDatadict','bussRepEquityInfoDto.repInvestStage','==','SVR_INVEST_STAGE','Y','投资阶段要素必须在值域范围内。','D','com.joyintech.tams.invest.common.ChbBaseCheckLib');</v>
      </c>
    </row>
    <row r="24" spans="1:12" x14ac:dyDescent="0.15">
      <c r="A24" s="3" t="s">
        <v>165</v>
      </c>
      <c r="B24" s="3" t="s">
        <v>132</v>
      </c>
      <c r="C24" s="17" t="s">
        <v>15</v>
      </c>
      <c r="D24" s="17" t="s">
        <v>159</v>
      </c>
      <c r="E24" s="17"/>
      <c r="F24" s="18" t="s">
        <v>160</v>
      </c>
      <c r="G24" s="17" t="s">
        <v>21</v>
      </c>
      <c r="H24" s="17" t="s">
        <v>176</v>
      </c>
      <c r="I24" s="17" t="s">
        <v>11</v>
      </c>
      <c r="J24" s="17" t="s">
        <v>161</v>
      </c>
      <c r="K24" s="6" t="s">
        <v>185</v>
      </c>
      <c r="L24" s="6" t="str">
        <f t="shared" si="0"/>
        <v>insert into CHB_DATACHECK_RULE_INV values ('7ae5d599-f93a-56bb-a8b9-dd3ed969bd8c','FinStockInfo002','lessThanCharLength','finprodMarketId','','21','Y','资产代码要素不能过长。','E','com.joyintech.tams.invest.common.ChbBaseCheckLib');</v>
      </c>
    </row>
    <row r="25" spans="1:12" x14ac:dyDescent="0.15">
      <c r="A25" s="3" t="s">
        <v>180</v>
      </c>
      <c r="B25" s="3" t="s">
        <v>132</v>
      </c>
      <c r="C25" s="17" t="s">
        <v>12</v>
      </c>
      <c r="D25" s="17" t="s">
        <v>159</v>
      </c>
      <c r="E25" s="17"/>
      <c r="F25" s="18" t="s">
        <v>22</v>
      </c>
      <c r="G25" s="17" t="s">
        <v>21</v>
      </c>
      <c r="H25" s="17" t="s">
        <v>179</v>
      </c>
      <c r="I25" s="17" t="s">
        <v>11</v>
      </c>
      <c r="J25" s="17" t="s">
        <v>161</v>
      </c>
      <c r="K25" s="6" t="s">
        <v>185</v>
      </c>
      <c r="L25" s="6" t="str">
        <f t="shared" si="0"/>
        <v>insert into CHB_DATACHECK_RULE_INV values ('eae5d599-f93a-56cb-a8b9-dd2ed969bd8d','FinStockInfo002','isCustomizedString','finprodMarketId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资产代码必须填写白名单中的文字。','E','com.joyintech.tams.invest.common.ChbBaseCheckLib');</v>
      </c>
    </row>
    <row r="26" spans="1:12" x14ac:dyDescent="0.15">
      <c r="A26" s="3" t="s">
        <v>166</v>
      </c>
      <c r="B26" s="3" t="s">
        <v>132</v>
      </c>
      <c r="C26" s="17" t="s">
        <v>15</v>
      </c>
      <c r="D26" s="17" t="s">
        <v>162</v>
      </c>
      <c r="E26" s="17"/>
      <c r="F26" s="18" t="s">
        <v>163</v>
      </c>
      <c r="G26" s="17" t="s">
        <v>19</v>
      </c>
      <c r="H26" s="17" t="s">
        <v>177</v>
      </c>
      <c r="I26" s="17" t="s">
        <v>11</v>
      </c>
      <c r="J26" s="17" t="s">
        <v>164</v>
      </c>
      <c r="K26" s="6" t="s">
        <v>185</v>
      </c>
      <c r="L26" s="6" t="str">
        <f t="shared" si="0"/>
        <v>insert into CHB_DATACHECK_RULE_INV values ('b22f191a-6eef-5083-9cbb-6c3e251568fd','FinStockInfo002','lessThanCharLength','finprodName','','201','N','资产/企业名称要素不可为空且不能过长。','E','com.joyintech.tams.invest.common.ChbBaseCheckLib');</v>
      </c>
    </row>
    <row r="27" spans="1:12" x14ac:dyDescent="0.15">
      <c r="A27" s="3" t="s">
        <v>167</v>
      </c>
      <c r="B27" s="3" t="s">
        <v>132</v>
      </c>
      <c r="C27" s="17" t="s">
        <v>12</v>
      </c>
      <c r="D27" s="17" t="s">
        <v>162</v>
      </c>
      <c r="E27" s="17"/>
      <c r="F27" s="18" t="s">
        <v>22</v>
      </c>
      <c r="G27" s="17" t="s">
        <v>21</v>
      </c>
      <c r="H27" s="17" t="s">
        <v>178</v>
      </c>
      <c r="I27" s="17" t="s">
        <v>11</v>
      </c>
      <c r="J27" s="17" t="s">
        <v>164</v>
      </c>
      <c r="K27" s="6" t="s">
        <v>185</v>
      </c>
      <c r="L27" s="6" t="str">
        <f t="shared" si="0"/>
        <v>insert into CHB_DATACHECK_RULE_INV values ('be0f251d-9ae8-596b-be20-67932bf0d087','FinStockInfo002','isCustomizedString','finprodNam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资产/企业名称必须填写白名单中的文字。','E','com.joyintech.tams.invest.common.ChbBaseCheckLib');</v>
      </c>
    </row>
    <row r="28" spans="1:12" x14ac:dyDescent="0.15">
      <c r="A28" s="22" t="s">
        <v>186</v>
      </c>
      <c r="B28" s="22" t="s">
        <v>187</v>
      </c>
      <c r="C28" s="22" t="s">
        <v>14</v>
      </c>
      <c r="D28" s="22" t="s">
        <v>188</v>
      </c>
      <c r="E28" s="22"/>
      <c r="F28" s="22"/>
      <c r="G28" s="22" t="s">
        <v>19</v>
      </c>
      <c r="H28" s="22" t="s">
        <v>189</v>
      </c>
      <c r="I28" s="3" t="s">
        <v>169</v>
      </c>
      <c r="J28" s="22" t="s">
        <v>121</v>
      </c>
      <c r="K28" s="20" t="s">
        <v>185</v>
      </c>
      <c r="L28" t="s">
        <v>190</v>
      </c>
    </row>
    <row r="29" spans="1:12" x14ac:dyDescent="0.15">
      <c r="A29" s="6" t="s">
        <v>191</v>
      </c>
      <c r="B29" s="6" t="s">
        <v>187</v>
      </c>
      <c r="C29" s="6" t="s">
        <v>16</v>
      </c>
      <c r="D29" s="6" t="s">
        <v>188</v>
      </c>
      <c r="E29" s="6" t="s">
        <v>10</v>
      </c>
      <c r="F29" s="6" t="s">
        <v>192</v>
      </c>
      <c r="G29" s="6" t="s">
        <v>21</v>
      </c>
      <c r="H29" s="6" t="s">
        <v>193</v>
      </c>
      <c r="I29" s="3" t="s">
        <v>169</v>
      </c>
      <c r="J29" s="6" t="s">
        <v>121</v>
      </c>
      <c r="K29" s="20" t="s">
        <v>185</v>
      </c>
      <c r="L29" t="s">
        <v>194</v>
      </c>
    </row>
    <row r="30" spans="1:12" x14ac:dyDescent="0.15">
      <c r="A30" s="6" t="s">
        <v>195</v>
      </c>
      <c r="B30" s="6" t="s">
        <v>187</v>
      </c>
      <c r="C30" s="6" t="s">
        <v>14</v>
      </c>
      <c r="D30" s="6" t="s">
        <v>196</v>
      </c>
      <c r="G30" s="6" t="s">
        <v>19</v>
      </c>
      <c r="H30" s="6" t="s">
        <v>197</v>
      </c>
      <c r="I30" s="3" t="s">
        <v>169</v>
      </c>
      <c r="J30" s="6" t="s">
        <v>123</v>
      </c>
      <c r="K30" s="20" t="s">
        <v>185</v>
      </c>
      <c r="L30" t="s">
        <v>198</v>
      </c>
    </row>
    <row r="31" spans="1:12" x14ac:dyDescent="0.15">
      <c r="A31" s="6" t="s">
        <v>199</v>
      </c>
      <c r="B31" s="6" t="s">
        <v>187</v>
      </c>
      <c r="C31" s="6" t="s">
        <v>16</v>
      </c>
      <c r="D31" s="6" t="s">
        <v>196</v>
      </c>
      <c r="F31" s="6" t="s">
        <v>200</v>
      </c>
      <c r="G31" s="6" t="s">
        <v>21</v>
      </c>
      <c r="H31" s="6" t="s">
        <v>201</v>
      </c>
      <c r="I31" s="3" t="s">
        <v>169</v>
      </c>
      <c r="J31" s="6" t="s">
        <v>123</v>
      </c>
      <c r="K31" s="20" t="s">
        <v>185</v>
      </c>
      <c r="L31" t="s">
        <v>202</v>
      </c>
    </row>
    <row r="32" spans="1:12" x14ac:dyDescent="0.15">
      <c r="A32" s="6" t="s">
        <v>203</v>
      </c>
      <c r="B32" s="6" t="s">
        <v>187</v>
      </c>
      <c r="C32" s="6" t="s">
        <v>14</v>
      </c>
      <c r="D32" s="6" t="s">
        <v>204</v>
      </c>
      <c r="G32" s="6" t="s">
        <v>19</v>
      </c>
      <c r="H32" s="6" t="s">
        <v>205</v>
      </c>
      <c r="I32" s="3" t="s">
        <v>169</v>
      </c>
      <c r="J32" s="6" t="s">
        <v>120</v>
      </c>
      <c r="K32" s="20" t="s">
        <v>185</v>
      </c>
      <c r="L32" t="s">
        <v>206</v>
      </c>
    </row>
    <row r="33" spans="1:12" x14ac:dyDescent="0.15">
      <c r="A33" s="6" t="s">
        <v>207</v>
      </c>
      <c r="B33" s="6" t="s">
        <v>187</v>
      </c>
      <c r="C33" s="6" t="s">
        <v>16</v>
      </c>
      <c r="D33" s="6" t="s">
        <v>204</v>
      </c>
      <c r="F33" s="6" t="s">
        <v>208</v>
      </c>
      <c r="G33" s="6" t="s">
        <v>21</v>
      </c>
      <c r="H33" s="6" t="s">
        <v>209</v>
      </c>
      <c r="I33" s="3" t="s">
        <v>169</v>
      </c>
      <c r="J33" s="6" t="s">
        <v>120</v>
      </c>
      <c r="K33" s="20" t="s">
        <v>185</v>
      </c>
      <c r="L33" t="s">
        <v>210</v>
      </c>
    </row>
    <row r="66" spans="1:11" s="8" customFormat="1" x14ac:dyDescent="0.1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21"/>
    </row>
    <row r="67" spans="1:11" s="8" customFormat="1" x14ac:dyDescent="0.1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21"/>
    </row>
    <row r="68" spans="1:11" s="8" customFormat="1" x14ac:dyDescent="0.1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21"/>
    </row>
    <row r="69" spans="1:11" s="8" customFormat="1" x14ac:dyDescent="0.1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21"/>
    </row>
    <row r="93" spans="1:11" s="8" customFormat="1" x14ac:dyDescent="0.1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21"/>
    </row>
  </sheetData>
  <autoFilter ref="A1:L1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A2" sqref="A2:XFD2"/>
    </sheetView>
  </sheetViews>
  <sheetFormatPr defaultRowHeight="13.5" x14ac:dyDescent="0.15"/>
  <cols>
    <col min="1" max="1" width="37.625" style="2" customWidth="1"/>
    <col min="2" max="2" width="38.375" style="2" customWidth="1"/>
    <col min="3" max="3" width="19.125" style="2" customWidth="1"/>
    <col min="4" max="4" width="16.875" style="2" customWidth="1"/>
    <col min="5" max="5" width="15.5" style="2" customWidth="1"/>
    <col min="6" max="6" width="26.375" style="2" customWidth="1"/>
    <col min="7" max="7" width="33.25" style="2" customWidth="1"/>
    <col min="8" max="8" width="11.75" style="2" customWidth="1"/>
    <col min="9" max="9" width="39.875" style="1" customWidth="1"/>
    <col min="10" max="16384" width="9" style="1"/>
  </cols>
  <sheetData>
    <row r="1" spans="1:10" s="5" customFormat="1" x14ac:dyDescent="0.15">
      <c r="A1" s="4" t="s">
        <v>9</v>
      </c>
      <c r="B1" s="4" t="s">
        <v>135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6</v>
      </c>
      <c r="H1" s="4" t="s">
        <v>7</v>
      </c>
      <c r="I1" s="7" t="s">
        <v>54</v>
      </c>
      <c r="J1" s="5" t="s">
        <v>137</v>
      </c>
    </row>
    <row r="2" spans="1:10" x14ac:dyDescent="0.15">
      <c r="A2" s="3" t="s">
        <v>39</v>
      </c>
      <c r="B2" s="3" t="s">
        <v>40</v>
      </c>
      <c r="C2" s="3" t="s">
        <v>27</v>
      </c>
      <c r="D2" s="3" t="s">
        <v>109</v>
      </c>
      <c r="E2" s="3" t="s">
        <v>10</v>
      </c>
      <c r="F2" s="3" t="s">
        <v>28</v>
      </c>
      <c r="G2" s="19" t="s">
        <v>181</v>
      </c>
      <c r="H2" s="3" t="s">
        <v>170</v>
      </c>
      <c r="I2" s="6" t="s">
        <v>121</v>
      </c>
      <c r="J2" t="str">
        <f t="shared" ref="J2:J6" si="0">CONCATENATE("INSERT INTO CHB_DATACHECK_CONDITION_INV VALUES ('",A2,"','",B2,"','",C2,"','",I2,"','",E2,"','",F2,"','",G2,"','",H2,"');")</f>
        <v>INSERT INTO CHB_DATACHECK_CONDITION_INV VALUES ('776807E5-DFA1-D920-E050-117F010078FD','884807E5-DF7A-D920-E050-117F010078FD','compareValue','bussRepEquityInfoDto.repPartyType1','==','99','企业类型（按规模划分）为99其他','D');</v>
      </c>
    </row>
    <row r="3" spans="1:10" x14ac:dyDescent="0.15">
      <c r="A3" s="3" t="s">
        <v>43</v>
      </c>
      <c r="B3" s="3" t="s">
        <v>44</v>
      </c>
      <c r="C3" s="3" t="s">
        <v>27</v>
      </c>
      <c r="D3" s="3" t="s">
        <v>111</v>
      </c>
      <c r="E3" s="3" t="s">
        <v>10</v>
      </c>
      <c r="F3" s="3" t="s">
        <v>28</v>
      </c>
      <c r="G3" s="19" t="s">
        <v>182</v>
      </c>
      <c r="H3" s="3" t="s">
        <v>170</v>
      </c>
      <c r="I3" s="6" t="s">
        <v>120</v>
      </c>
      <c r="J3" t="str">
        <f t="shared" si="0"/>
        <v>INSERT INTO CHB_DATACHECK_CONDITION_INV VALUES ('776807E5-DFA1-D920-E050-117F010080FD','884807E5-DF7A-D920-E050-117F010080FD','compareValue','bussRepEquityInfoDto.repPartyType3','==','99','企业类型（按技术领域划分）为99其他','D');</v>
      </c>
    </row>
    <row r="4" spans="1:10" x14ac:dyDescent="0.15">
      <c r="A4" s="3" t="s">
        <v>41</v>
      </c>
      <c r="B4" s="3" t="s">
        <v>42</v>
      </c>
      <c r="C4" s="3" t="s">
        <v>27</v>
      </c>
      <c r="D4" s="3" t="s">
        <v>110</v>
      </c>
      <c r="E4" s="3" t="s">
        <v>10</v>
      </c>
      <c r="F4" s="3" t="s">
        <v>28</v>
      </c>
      <c r="G4" s="19" t="s">
        <v>183</v>
      </c>
      <c r="H4" s="3" t="s">
        <v>170</v>
      </c>
      <c r="I4" s="6" t="s">
        <v>123</v>
      </c>
      <c r="J4" t="str">
        <f t="shared" si="0"/>
        <v>INSERT INTO CHB_DATACHECK_CONDITION_INV VALUES ('776807E5-DFA1-D920-E050-117F010079FD','884807E5-DF7A-D920-E050-117F010079FD','compareValue','bussRepEquityInfoDto.repPartyType2','==','99','企业类型（按经济类型划分）为99其他','D');</v>
      </c>
    </row>
    <row r="5" spans="1:10" x14ac:dyDescent="0.15">
      <c r="A5" s="3" t="s">
        <v>106</v>
      </c>
      <c r="B5" s="3" t="s">
        <v>93</v>
      </c>
      <c r="C5" s="3" t="s">
        <v>27</v>
      </c>
      <c r="D5" s="3" t="s">
        <v>85</v>
      </c>
      <c r="E5" s="3" t="s">
        <v>10</v>
      </c>
      <c r="F5" s="3" t="s">
        <v>28</v>
      </c>
      <c r="G5" s="3" t="s">
        <v>107</v>
      </c>
      <c r="H5" s="3" t="s">
        <v>170</v>
      </c>
      <c r="I5" s="6" t="s">
        <v>113</v>
      </c>
      <c r="J5" t="str">
        <f t="shared" si="0"/>
        <v>INSERT INTO CHB_DATACHECK_CONDITION_INV VALUES ('784807E5-DF7A-D920-E050-007F010077FD','884807E5-DF76-D920-E050-007F010077FD','compareValue','bussRepEquityInfoDto.repSharesType','==','99','股票类型为99其他','D');</v>
      </c>
    </row>
    <row r="6" spans="1:10" x14ac:dyDescent="0.15">
      <c r="A6" s="3" t="s">
        <v>37</v>
      </c>
      <c r="B6" s="3" t="s">
        <v>36</v>
      </c>
      <c r="C6" s="3" t="s">
        <v>27</v>
      </c>
      <c r="D6" s="3" t="s">
        <v>33</v>
      </c>
      <c r="E6" s="3" t="s">
        <v>10</v>
      </c>
      <c r="F6" s="3" t="s">
        <v>28</v>
      </c>
      <c r="G6" s="3" t="s">
        <v>108</v>
      </c>
      <c r="H6" s="3" t="s">
        <v>170</v>
      </c>
      <c r="I6" s="6" t="s">
        <v>119</v>
      </c>
      <c r="J6" t="str">
        <f t="shared" si="0"/>
        <v>INSERT INTO CHB_DATACHECK_CONDITION_INV VALUES ('784807E5-DF7B-D920-E050-007F010077FD','884807E5-DF77-D920-E050-007F010077FD','compareValue','bussRepEquityInfoDto.repInvestStage','==','99','投资阶段为99其他','D');</v>
      </c>
    </row>
  </sheetData>
  <autoFilter ref="A1:J1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D4" sqref="D4"/>
    </sheetView>
  </sheetViews>
  <sheetFormatPr defaultRowHeight="13.5" x14ac:dyDescent="0.15"/>
  <cols>
    <col min="1" max="1" width="20.375" customWidth="1"/>
    <col min="2" max="2" width="15.25" customWidth="1"/>
    <col min="4" max="4" width="28.75" customWidth="1"/>
  </cols>
  <sheetData>
    <row r="1" spans="1:8" x14ac:dyDescent="0.15">
      <c r="A1" s="3" t="s">
        <v>138</v>
      </c>
      <c r="B1" s="3" t="s">
        <v>139</v>
      </c>
      <c r="C1" s="3" t="s">
        <v>140</v>
      </c>
      <c r="D1" s="3" t="s">
        <v>141</v>
      </c>
    </row>
    <row r="2" spans="1:8" s="16" customFormat="1" ht="56.25" customHeight="1" x14ac:dyDescent="0.15">
      <c r="A2" s="13" t="s">
        <v>81</v>
      </c>
      <c r="B2" s="14" t="s">
        <v>29</v>
      </c>
      <c r="C2" s="14" t="s">
        <v>144</v>
      </c>
      <c r="D2" s="15" t="s">
        <v>143</v>
      </c>
      <c r="E2" s="3" t="s">
        <v>148</v>
      </c>
      <c r="F2" s="3"/>
      <c r="G2" s="3" t="s">
        <v>10</v>
      </c>
      <c r="H2" s="3" t="s">
        <v>149</v>
      </c>
    </row>
    <row r="3" spans="1:8" s="16" customFormat="1" ht="57.75" customHeight="1" x14ac:dyDescent="0.15">
      <c r="A3" s="13" t="s">
        <v>83</v>
      </c>
      <c r="B3" s="14" t="s">
        <v>29</v>
      </c>
      <c r="C3" s="14" t="s">
        <v>142</v>
      </c>
      <c r="D3" s="15" t="s">
        <v>143</v>
      </c>
      <c r="E3" s="3" t="s">
        <v>148</v>
      </c>
      <c r="F3" s="3"/>
      <c r="G3" s="3" t="s">
        <v>10</v>
      </c>
      <c r="H3" s="3" t="s">
        <v>150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B22" sqref="B22"/>
    </sheetView>
  </sheetViews>
  <sheetFormatPr defaultRowHeight="13.5" x14ac:dyDescent="0.15"/>
  <cols>
    <col min="1" max="1" width="44.375" customWidth="1"/>
    <col min="2" max="2" width="56.875" customWidth="1"/>
    <col min="3" max="3" width="41.5" customWidth="1"/>
  </cols>
  <sheetData>
    <row r="1" spans="1:3" x14ac:dyDescent="0.15">
      <c r="A1" t="s">
        <v>112</v>
      </c>
      <c r="B1" t="s">
        <v>78</v>
      </c>
      <c r="C1" t="s">
        <v>79</v>
      </c>
    </row>
    <row r="2" spans="1:3" x14ac:dyDescent="0.15">
      <c r="A2" t="s">
        <v>113</v>
      </c>
      <c r="B2" t="s">
        <v>80</v>
      </c>
      <c r="C2" t="s">
        <v>69</v>
      </c>
    </row>
    <row r="3" spans="1:3" x14ac:dyDescent="0.15">
      <c r="A3" t="s">
        <v>114</v>
      </c>
      <c r="B3" t="s">
        <v>68</v>
      </c>
      <c r="C3" t="s">
        <v>57</v>
      </c>
    </row>
    <row r="4" spans="1:3" x14ac:dyDescent="0.15">
      <c r="A4" t="s">
        <v>115</v>
      </c>
      <c r="B4" t="s">
        <v>55</v>
      </c>
      <c r="C4" t="s">
        <v>55</v>
      </c>
    </row>
    <row r="5" spans="1:3" x14ac:dyDescent="0.15">
      <c r="A5" t="s">
        <v>116</v>
      </c>
      <c r="B5" t="s">
        <v>81</v>
      </c>
      <c r="C5" t="s">
        <v>71</v>
      </c>
    </row>
    <row r="6" spans="1:3" x14ac:dyDescent="0.15">
      <c r="A6" t="s">
        <v>117</v>
      </c>
      <c r="B6" t="s">
        <v>82</v>
      </c>
      <c r="C6" t="s">
        <v>76</v>
      </c>
    </row>
    <row r="7" spans="1:3" x14ac:dyDescent="0.15">
      <c r="A7" t="s">
        <v>118</v>
      </c>
      <c r="B7" t="s">
        <v>83</v>
      </c>
      <c r="C7" t="s">
        <v>77</v>
      </c>
    </row>
    <row r="8" spans="1:3" x14ac:dyDescent="0.15">
      <c r="A8" t="s">
        <v>119</v>
      </c>
      <c r="B8" t="s">
        <v>67</v>
      </c>
      <c r="C8" t="s">
        <v>58</v>
      </c>
    </row>
    <row r="9" spans="1:3" x14ac:dyDescent="0.15">
      <c r="A9" t="s">
        <v>120</v>
      </c>
      <c r="B9" t="s">
        <v>70</v>
      </c>
      <c r="C9" t="s">
        <v>59</v>
      </c>
    </row>
    <row r="10" spans="1:3" x14ac:dyDescent="0.15">
      <c r="A10" t="s">
        <v>121</v>
      </c>
      <c r="B10" t="s">
        <v>60</v>
      </c>
      <c r="C10" t="s">
        <v>60</v>
      </c>
    </row>
    <row r="11" spans="1:3" x14ac:dyDescent="0.15">
      <c r="A11" t="s">
        <v>122</v>
      </c>
      <c r="B11" t="s">
        <v>56</v>
      </c>
      <c r="C11" t="s">
        <v>56</v>
      </c>
    </row>
    <row r="12" spans="1:3" x14ac:dyDescent="0.15">
      <c r="A12" t="s">
        <v>123</v>
      </c>
      <c r="B12" t="s">
        <v>61</v>
      </c>
      <c r="C12" t="s">
        <v>61</v>
      </c>
    </row>
    <row r="13" spans="1:3" x14ac:dyDescent="0.15">
      <c r="A13" t="s">
        <v>124</v>
      </c>
      <c r="B13" t="s">
        <v>13</v>
      </c>
      <c r="C13" t="s">
        <v>62</v>
      </c>
    </row>
    <row r="14" spans="1:3" x14ac:dyDescent="0.15">
      <c r="A14" t="s">
        <v>125</v>
      </c>
      <c r="B14" t="s">
        <v>72</v>
      </c>
      <c r="C14" t="s">
        <v>63</v>
      </c>
    </row>
    <row r="15" spans="1:3" x14ac:dyDescent="0.15">
      <c r="A15" t="s">
        <v>126</v>
      </c>
      <c r="B15" t="s">
        <v>75</v>
      </c>
      <c r="C15" t="s">
        <v>64</v>
      </c>
    </row>
    <row r="16" spans="1:3" x14ac:dyDescent="0.15">
      <c r="A16" t="s">
        <v>127</v>
      </c>
      <c r="B16" t="s">
        <v>73</v>
      </c>
      <c r="C16" t="s">
        <v>65</v>
      </c>
    </row>
    <row r="17" spans="1:3" x14ac:dyDescent="0.15">
      <c r="A17" t="s">
        <v>128</v>
      </c>
      <c r="B17" t="s">
        <v>74</v>
      </c>
      <c r="C17" t="s">
        <v>66</v>
      </c>
    </row>
    <row r="18" spans="1:3" s="8" customFormat="1" x14ac:dyDescent="0.15">
      <c r="A18" s="8" t="s">
        <v>129</v>
      </c>
      <c r="B18" s="8" t="s">
        <v>133</v>
      </c>
    </row>
    <row r="19" spans="1:3" x14ac:dyDescent="0.15">
      <c r="A19" t="s">
        <v>130</v>
      </c>
      <c r="B19" t="s">
        <v>8</v>
      </c>
      <c r="C19" t="s">
        <v>8</v>
      </c>
    </row>
    <row r="21" spans="1:3" x14ac:dyDescent="0.15">
      <c r="B21" s="1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规则配置表</vt:lpstr>
      <vt:lpstr>规则条件表</vt:lpstr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2021-01-11T01:53:59Z</dcterms:modified>
</cp:coreProperties>
</file>