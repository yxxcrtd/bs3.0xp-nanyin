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配置表" sheetId="1" r:id="rId1"/>
    <sheet name="规则条件表" sheetId="2" r:id="rId2"/>
    <sheet name="Sheet2" sheetId="5" r:id="rId3"/>
    <sheet name="前置条件备份" sheetId="6" r:id="rId4"/>
  </sheets>
  <definedNames>
    <definedName name="_xlnm._FilterDatabase" localSheetId="0" hidden="1">规则配置表!$A$1:$L$69</definedName>
    <definedName name="_xlnm._FilterDatabase" localSheetId="1" hidden="1">规则条件表!$A$1:$J$11</definedName>
  </definedName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2" i="1"/>
  <c r="J2" i="2" l="1"/>
  <c r="J3" i="2"/>
  <c r="J4" i="2"/>
  <c r="J5" i="2"/>
  <c r="J6" i="2"/>
  <c r="J7" i="2"/>
  <c r="J8" i="2"/>
  <c r="J9" i="2"/>
  <c r="J10" i="2"/>
  <c r="J11" i="2"/>
</calcChain>
</file>

<file path=xl/sharedStrings.xml><?xml version="1.0" encoding="utf-8"?>
<sst xmlns="http://schemas.openxmlformats.org/spreadsheetml/2006/main" count="906" uniqueCount="369">
  <si>
    <t>CHECKRULEID</t>
  </si>
  <si>
    <t>CHECKMETHOD</t>
  </si>
  <si>
    <t>SRCPROPERTY</t>
  </si>
  <si>
    <t>COMPARETO</t>
  </si>
  <si>
    <t>OBJVALUE</t>
  </si>
  <si>
    <t>NULLABLE</t>
  </si>
  <si>
    <t>REMARK</t>
  </si>
  <si>
    <t>STATUS</t>
  </si>
  <si>
    <t>CHECKCONDITIONID</t>
  </si>
  <si>
    <t>==</t>
  </si>
  <si>
    <t>E</t>
  </si>
  <si>
    <t>isCustomizedString</t>
  </si>
  <si>
    <t>isNotEmpty</t>
  </si>
  <si>
    <t>lessThanCharLength</t>
  </si>
  <si>
    <t>inDatadict</t>
  </si>
  <si>
    <t>N</t>
  </si>
  <si>
    <t>0</t>
  </si>
  <si>
    <t>Y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</si>
  <si>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</si>
  <si>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备注要素不可为空</t>
  </si>
  <si>
    <t>257</t>
  </si>
  <si>
    <t>备注不能超过256字符</t>
  </si>
  <si>
    <t>备注必须填写白名单中的文字。</t>
  </si>
  <si>
    <t>compareValue</t>
  </si>
  <si>
    <t>99</t>
  </si>
  <si>
    <t>SVR_YES_OR_NO</t>
  </si>
  <si>
    <t>01</t>
  </si>
  <si>
    <t>FINANCIAL_COMISSUE</t>
  </si>
  <si>
    <t>BONDTOSTOCK_FLAG</t>
  </si>
  <si>
    <t>PPPFLAG</t>
  </si>
  <si>
    <t>HTML-NAME</t>
  </si>
  <si>
    <t>行业二级分类</t>
  </si>
  <si>
    <t>投向“公共私营合作项目”（PPP）的部分</t>
    <phoneticPr fontId="2" type="noConversion"/>
  </si>
  <si>
    <t>是否由金融资产投资公司发行</t>
    <phoneticPr fontId="2" type="noConversion"/>
  </si>
  <si>
    <t>小微企业信贷资产流转和收益权转让</t>
    <phoneticPr fontId="2" type="noConversion"/>
  </si>
  <si>
    <t>公共PPP</t>
    <phoneticPr fontId="2" type="noConversion"/>
  </si>
  <si>
    <t>是否投向“市场化债转股相关产品的部分”</t>
    <phoneticPr fontId="2" type="noConversion"/>
  </si>
  <si>
    <t>PAGE_ID</t>
    <phoneticPr fontId="2" type="noConversion"/>
  </si>
  <si>
    <t>资管计划发起人机构编码</t>
  </si>
  <si>
    <t>资管计划发起人机构编码</t>
    <phoneticPr fontId="2" type="noConversion"/>
  </si>
  <si>
    <t>资管计划登记编码</t>
  </si>
  <si>
    <t>资金实际投向</t>
  </si>
  <si>
    <t>资金实际投向</t>
    <phoneticPr fontId="2" type="noConversion"/>
  </si>
  <si>
    <t>资金运用方式</t>
  </si>
  <si>
    <t>行业</t>
  </si>
  <si>
    <t>行业</t>
    <phoneticPr fontId="2" type="noConversion"/>
  </si>
  <si>
    <t>行业二级分类</t>
    <phoneticPr fontId="2" type="noConversion"/>
  </si>
  <si>
    <t>资管计划属性</t>
  </si>
  <si>
    <t>是否有预期收益率</t>
  </si>
  <si>
    <t>预期最高收益率</t>
  </si>
  <si>
    <t>预期最高收益率</t>
    <phoneticPr fontId="2" type="noConversion"/>
  </si>
  <si>
    <t>预期最低收益率</t>
  </si>
  <si>
    <t>购买结构</t>
  </si>
  <si>
    <t>管理方式</t>
  </si>
  <si>
    <t>管理费率%</t>
  </si>
  <si>
    <t>托管费率%</t>
  </si>
  <si>
    <t>交易相关合计费率%</t>
  </si>
  <si>
    <t>中介服务机构合计费率%</t>
  </si>
  <si>
    <t>其他合计费率%</t>
  </si>
  <si>
    <t>金额</t>
  </si>
  <si>
    <t>是否由金融资产投资公司发行</t>
  </si>
  <si>
    <t>备注</t>
    <phoneticPr fontId="2" type="noConversion"/>
  </si>
  <si>
    <t>bussRepAssetMngProdInfo.repPartyCode</t>
  </si>
  <si>
    <t>bussRepAssetMngProdInfo.repRegistCode</t>
  </si>
  <si>
    <t>bussRepAssetMngProdInfo.repCapiInvest</t>
  </si>
  <si>
    <t>bussRepAssetMngProdInfo.repCapUseWay</t>
  </si>
  <si>
    <t>bussRepAssetMngProdInfo.repCapUseIndu</t>
  </si>
  <si>
    <t>bussRepAssetMngProdInfo.repCapUseInduLevel2</t>
  </si>
  <si>
    <t>bussRepAssetMngProdInfo.repPlanProp</t>
  </si>
  <si>
    <t>bussRepAssetMngProdInfo.repYieldFlag</t>
  </si>
  <si>
    <t>bussRepAssetMngProdInfo.repMaxRate</t>
  </si>
  <si>
    <t>bussRepAssetMngProdInfo.repMinRate</t>
  </si>
  <si>
    <t>bussRepAssetMngProdInfo.repBuyStruct</t>
  </si>
  <si>
    <t>bussRepAssetMngProdInfo.repManageType</t>
  </si>
  <si>
    <t>bussRepAssetMngProdInfo.repIsCtrlBottom</t>
  </si>
  <si>
    <t>bussRepAssetMngProdInfo.repMgrFeeRate</t>
  </si>
  <si>
    <t>bussRepAssetMngProdInfo.repTruFeeRate</t>
  </si>
  <si>
    <t>bussRepAssetMngProdInfo.repTradeFeeRate</t>
  </si>
  <si>
    <t>bussRepAssetMngProdInfo.repAgencyFeeRate</t>
  </si>
  <si>
    <t>bussRepAssetMngProdInfo.repOtherFeeRate</t>
  </si>
  <si>
    <t>bussRepAssetMngProdInfo.repAmt</t>
  </si>
  <si>
    <t>bussRepAssetMngProdInfo.repPrivateprdFlag</t>
  </si>
  <si>
    <t>bussRepAssetMngProdInfo.repPrivatefundFlag</t>
  </si>
  <si>
    <t>bussRepAssetMngProdInfo.repPppflag</t>
  </si>
  <si>
    <t>bussRepAssetMngProdInfo.repSmallcredit</t>
  </si>
  <si>
    <t>bussRepAssetMngProdInfo.repBondtostockFlag</t>
  </si>
  <si>
    <t>bussRepAssetMngProdInfo.financialComissue</t>
  </si>
  <si>
    <t>bussRepAssetMngProdInfo.repRemark</t>
  </si>
  <si>
    <t>资产/负债类别</t>
    <phoneticPr fontId="2" type="noConversion"/>
  </si>
  <si>
    <t>资金运用方式</t>
    <phoneticPr fontId="2" type="noConversion"/>
  </si>
  <si>
    <t>管理费率%</t>
    <phoneticPr fontId="2" type="noConversion"/>
  </si>
  <si>
    <t>中介服务机构合计费率%</t>
    <phoneticPr fontId="2" type="noConversion"/>
  </si>
  <si>
    <t>其他合计费率%</t>
    <phoneticPr fontId="2" type="noConversion"/>
  </si>
  <si>
    <t>资产/负债类别</t>
    <phoneticPr fontId="2" type="noConversion"/>
  </si>
  <si>
    <t>资管计划登记编码</t>
    <phoneticPr fontId="2" type="noConversion"/>
  </si>
  <si>
    <t>资管计划属性</t>
    <phoneticPr fontId="2" type="noConversion"/>
  </si>
  <si>
    <t>是否有预期收益率</t>
    <phoneticPr fontId="2" type="noConversion"/>
  </si>
  <si>
    <t>预期最低收益率</t>
    <phoneticPr fontId="2" type="noConversion"/>
  </si>
  <si>
    <t>购买结构</t>
    <phoneticPr fontId="2" type="noConversion"/>
  </si>
  <si>
    <t>管理方式</t>
    <phoneticPr fontId="2" type="noConversion"/>
  </si>
  <si>
    <t>是否掌控计划底层资产详情</t>
    <phoneticPr fontId="2" type="noConversion"/>
  </si>
  <si>
    <t>托管费率%</t>
    <phoneticPr fontId="2" type="noConversion"/>
  </si>
  <si>
    <t>交易相关合计费率%</t>
    <phoneticPr fontId="2" type="noConversion"/>
  </si>
  <si>
    <t>金额</t>
    <phoneticPr fontId="2" type="noConversion"/>
  </si>
  <si>
    <t>是否投向金融资产投资公司发行的私募资产管理产品</t>
    <phoneticPr fontId="2" type="noConversion"/>
  </si>
  <si>
    <t>投向金融资产投资公司或其附属机构发行的私募股权投资基金</t>
    <phoneticPr fontId="2" type="noConversion"/>
  </si>
  <si>
    <t>投向市场化债转股相关产品的部分</t>
    <phoneticPr fontId="2" type="noConversion"/>
  </si>
  <si>
    <t>RATE_FLAG</t>
  </si>
  <si>
    <t>是否有预期收益率不可为空</t>
  </si>
  <si>
    <t>isNumber2</t>
  </si>
  <si>
    <t>AMT</t>
  </si>
  <si>
    <t>15,2</t>
  </si>
  <si>
    <t>金额格式必须为n(15,2)格式。</t>
  </si>
  <si>
    <t>PARTY_CODE</t>
  </si>
  <si>
    <t>资管计划发起人机构编码要素不可为空。</t>
  </si>
  <si>
    <t>金额要素不可为空</t>
  </si>
  <si>
    <t>compareValueAsNumber</t>
  </si>
  <si>
    <t>&gt;=</t>
  </si>
  <si>
    <t>金额必须大于等于0</t>
  </si>
  <si>
    <t>TRU_ACT_TYPE</t>
  </si>
  <si>
    <t>SVR_TRU_ACT_TYPE</t>
  </si>
  <si>
    <t>资金实际投向不在值域范围内</t>
  </si>
  <si>
    <t>资金实际投向要素不可为空</t>
  </si>
  <si>
    <t>inArray</t>
  </si>
  <si>
    <t>20,21,22,23</t>
  </si>
  <si>
    <t>资金实际投向01至19选项为历史数据，不得修改或新增</t>
  </si>
  <si>
    <t>INVEST_TYPE</t>
  </si>
  <si>
    <t>资金运用方式要素不可为空</t>
  </si>
  <si>
    <t>CAP_USE_INDU_LEVEL2</t>
  </si>
  <si>
    <t>PRO_PROPERTY</t>
  </si>
  <si>
    <t>资管计划属性要素不可为空</t>
  </si>
  <si>
    <t>SVR_PRO_PROPERTY</t>
  </si>
  <si>
    <t>资管计划属性不在值域范围内</t>
  </si>
  <si>
    <t>是否有预期收益率不在值域范围内</t>
  </si>
  <si>
    <t>MAX_RATE</t>
  </si>
  <si>
    <t>预期最高收益率%要素不可为空</t>
  </si>
  <si>
    <t>预期最高收益率%要素必须为空</t>
  </si>
  <si>
    <t>MIN_RATE</t>
  </si>
  <si>
    <t>预期最低收益率%要素必须为空</t>
  </si>
  <si>
    <t>BUY_STRUCT</t>
  </si>
  <si>
    <t>SVR_BUY_STRUCT</t>
  </si>
  <si>
    <t>购买结构要素不在值域范围内。</t>
  </si>
  <si>
    <t>MANAGE_TYPE</t>
  </si>
  <si>
    <t>SVR_MANAGE_STYLE</t>
  </si>
  <si>
    <t>管理方式要素不在值域范围内。</t>
  </si>
  <si>
    <t>MGR_FEE_RATE</t>
  </si>
  <si>
    <t>8,5</t>
  </si>
  <si>
    <t>管理费率%以百分数形式表示时必须为n（8,5）格式</t>
  </si>
  <si>
    <t>管理费率%要素不可为空</t>
  </si>
  <si>
    <t>TRU_FEE_RATE</t>
  </si>
  <si>
    <t>托管费率%以百分数形式表示时必须为n（8,5）格式</t>
  </si>
  <si>
    <t>托管费率%要素不可为空</t>
  </si>
  <si>
    <t>TRADE_FEE_RATE</t>
  </si>
  <si>
    <t>交易相关合计费率%以百分数形式表示时必须为n（8,5）格式</t>
  </si>
  <si>
    <t>交易相关合计费率%要素不可为空</t>
  </si>
  <si>
    <t>AGENCY_FEE_RATE</t>
  </si>
  <si>
    <t>中介服务机构合计费率%以百分数形式表示时必须为n（8,5）格式</t>
  </si>
  <si>
    <t>中介服务机构合计费率%要素不可为空</t>
  </si>
  <si>
    <t>OTHER_FEE_RATE</t>
  </si>
  <si>
    <t>其他合计费率%以百分数形式表示时必须为n（8,5）格式</t>
  </si>
  <si>
    <t>管理费率计算公式需要在备注中说明。</t>
  </si>
  <si>
    <t>托管费率计算公式需要在备注中说明。</t>
  </si>
  <si>
    <t>交易相关合计费率计算公式需要在备注中说明</t>
  </si>
  <si>
    <t>中介服务机构合计费率计算公式需要在备注中说明。</t>
  </si>
  <si>
    <t>其他合计费率计算公式需要在备注中说明。</t>
  </si>
  <si>
    <t>是否由金融资产投资公司发行要素不能为空。</t>
  </si>
  <si>
    <t>是否由金融资产投资公司发行要素必须为空。</t>
  </si>
  <si>
    <t>管理方式要素不可以为空</t>
  </si>
  <si>
    <t>是否投向“市场化债转股相关产品的部分”不在值域范围内。</t>
  </si>
  <si>
    <t>公共PPP不在值域范围内。</t>
  </si>
  <si>
    <t>资管计划发起人机构编码必须填写白名单中的文字。</t>
  </si>
  <si>
    <t>CHECK_CODE</t>
  </si>
  <si>
    <t>资管计划登记编码必须填写白名单中的文字。</t>
  </si>
  <si>
    <t>资金运用方式必须填写白名单中的文字。</t>
  </si>
  <si>
    <t>ASSET_TYPE</t>
  </si>
  <si>
    <t>资产/负债类别不在值域范围内</t>
  </si>
  <si>
    <t>33</t>
  </si>
  <si>
    <t>资管计划登记编码要素不可超长。</t>
  </si>
  <si>
    <t>&lt;=</t>
  </si>
  <si>
    <t>301</t>
  </si>
  <si>
    <t>资金运用方式过长</t>
  </si>
  <si>
    <t>INSTITUTION_INDUSTRY_SECOND_LEVEL</t>
  </si>
  <si>
    <t>资金运用行业不在值域范围内</t>
  </si>
  <si>
    <t>预期最高收益率%以百分数形式表示时必须为n（8,5）格式</t>
  </si>
  <si>
    <t>预期最高收益率%必须大于等于0</t>
  </si>
  <si>
    <t>预期最低收益率%以百分数形式表示时必须为n(8,5)格式</t>
  </si>
  <si>
    <t>comparePropertyAsNumber</t>
  </si>
  <si>
    <t>预期最低收益率必须小于等于预期最高收益率</t>
  </si>
  <si>
    <t>管理费率%必须大于等于0。</t>
  </si>
  <si>
    <t>托管费率%必须大于等于0。</t>
  </si>
  <si>
    <t>交易相关合计费率%必须大于等于0</t>
  </si>
  <si>
    <t>其他合计费率%必须大于等于0。</t>
  </si>
  <si>
    <t>ASSET_TYPE2</t>
  </si>
  <si>
    <t>1705</t>
  </si>
  <si>
    <t>02</t>
  </si>
  <si>
    <t>&gt;</t>
  </si>
  <si>
    <t>当托管费率不为0时</t>
  </si>
  <si>
    <t>当交易相关合计费率不为0时</t>
  </si>
  <si>
    <t>管理费率不为0</t>
  </si>
  <si>
    <t>当中介服务机构合计费率不为0时</t>
  </si>
  <si>
    <t>当其他合计费率不为0时</t>
  </si>
  <si>
    <t>是否有预期收益率为是</t>
  </si>
  <si>
    <t>是否有预期收益率为否</t>
  </si>
  <si>
    <t>bussRepAssetMngProdInfo.repAssetType</t>
    <phoneticPr fontId="2" type="noConversion"/>
  </si>
  <si>
    <t>bussRepAssetMngProdInfo.repYieldFlag</t>
    <phoneticPr fontId="2" type="noConversion"/>
  </si>
  <si>
    <t>bussRepAssetMngProdInfo.repPlanProp</t>
    <phoneticPr fontId="2" type="noConversion"/>
  </si>
  <si>
    <t>bussRepAssetMngProdInfo.repRemark</t>
    <phoneticPr fontId="2" type="noConversion"/>
  </si>
  <si>
    <t>bussRepAssetMngProdInfo.repCapiInvest</t>
    <phoneticPr fontId="2" type="noConversion"/>
  </si>
  <si>
    <t>bussRepAssetMngProdInfo.repPlanProp</t>
    <phoneticPr fontId="2" type="noConversion"/>
  </si>
  <si>
    <t>bussRepAssetMngProdInfo.repPppflag</t>
    <phoneticPr fontId="2" type="noConversion"/>
  </si>
  <si>
    <t>资管计划发起人机构编码过长</t>
    <phoneticPr fontId="2" type="noConversion"/>
  </si>
  <si>
    <t>bussRepAssetMngProdInfo.repPartyCode</t>
    <phoneticPr fontId="2" type="noConversion"/>
  </si>
  <si>
    <t>其他合计费率%要素不可为空</t>
    <phoneticPr fontId="2" type="noConversion"/>
  </si>
  <si>
    <t>bussRepAssetMngProdInfo.repMinRate</t>
    <phoneticPr fontId="2" type="noConversion"/>
  </si>
  <si>
    <t>bussRepAssetMngProdInfo.repMaxRate</t>
    <phoneticPr fontId="2" type="noConversion"/>
  </si>
  <si>
    <t>bussRepAssetMngProdInfo.repMgrFeeRate</t>
    <phoneticPr fontId="2" type="noConversion"/>
  </si>
  <si>
    <t>bussRepAssetMngProdInfo.repManageType</t>
    <phoneticPr fontId="2" type="noConversion"/>
  </si>
  <si>
    <t>bussRepAssetMngProdInfo.repCapUseWay</t>
    <phoneticPr fontId="2" type="noConversion"/>
  </si>
  <si>
    <t>是否由金融资产投资公司发行要素不在值域范围内。</t>
    <phoneticPr fontId="2" type="noConversion"/>
  </si>
  <si>
    <t>bussRepAssetMngProdInfo.repPrivateprdFlag</t>
    <phoneticPr fontId="2" type="noConversion"/>
  </si>
  <si>
    <t>bussRepAssetMngProdInfo.repRegistCode</t>
    <phoneticPr fontId="2" type="noConversion"/>
  </si>
  <si>
    <t>资金运用行业要素不可为空</t>
    <phoneticPr fontId="2" type="noConversion"/>
  </si>
  <si>
    <t>bussRepAssetMngProdInfo.repCapUseInduLevel2</t>
    <phoneticPr fontId="2" type="noConversion"/>
  </si>
  <si>
    <t>购买结构要素不可以为空</t>
    <phoneticPr fontId="2" type="noConversion"/>
  </si>
  <si>
    <t>bussRepAssetMngProdInfo.repBuyStruct</t>
    <phoneticPr fontId="2" type="noConversion"/>
  </si>
  <si>
    <t>bussRepAssetMngProdInfo.repBondtostockFlag</t>
    <phoneticPr fontId="2" type="noConversion"/>
  </si>
  <si>
    <t>bussRepAssetMngProdInfo.repAmt</t>
    <phoneticPr fontId="2" type="noConversion"/>
  </si>
  <si>
    <t>中介服务机构合计费率%必须大于等于0。</t>
    <phoneticPr fontId="2" type="noConversion"/>
  </si>
  <si>
    <t>bussRepAssetMngProdInfo.repTradeFeeRate</t>
    <phoneticPr fontId="2" type="noConversion"/>
  </si>
  <si>
    <t>bussRepAssetMngProdInfo.repOtherFeeRate</t>
    <phoneticPr fontId="2" type="noConversion"/>
  </si>
  <si>
    <t>bussRepAssetMngProdInfo.repTruFeeRate</t>
    <phoneticPr fontId="2" type="noConversion"/>
  </si>
  <si>
    <t>bussRepAssetMngProdInfo.repAgencyFeeRate</t>
    <phoneticPr fontId="2" type="noConversion"/>
  </si>
  <si>
    <t>885607E5-DF91-D920-F050-007F010077FD</t>
  </si>
  <si>
    <t>885607E5-DF91-D920-F050-007F037077FD</t>
  </si>
  <si>
    <t>884807E5-EF00-D122-F050-007F010077FD</t>
  </si>
  <si>
    <t>884807E5-DF35-D920-F050-007F010077FD</t>
  </si>
  <si>
    <t>884807E5-DF7C-D920-F050-007F010077FD</t>
  </si>
  <si>
    <t>884807E5-DF7F-D920-F036-007F010077FD</t>
  </si>
  <si>
    <t>884807E5-DF80-D920-F050-107F010077FD</t>
  </si>
  <si>
    <t>884807E5-DF82-D920-F050-007F010077FD</t>
  </si>
  <si>
    <t>884807E5-DF82-D920-F050-107F010077FD</t>
  </si>
  <si>
    <t>884807E5-DF82-D920-F050-207FD10077FD</t>
  </si>
  <si>
    <t>884807E5-DF83-D920-F050-007F010077FD</t>
  </si>
  <si>
    <t>884807E5-DF84-D920-F050-007F010077FD</t>
  </si>
  <si>
    <t>884807E5-DF88-D920-F050-007F010077FD</t>
  </si>
  <si>
    <t>884807E5-DF88-D920-F050-207F010877FD</t>
  </si>
  <si>
    <t>884807E5-DF89-D920-F050-007F010077FD</t>
  </si>
  <si>
    <t>884807E5-DF89-D920-F050-207F010077FD</t>
  </si>
  <si>
    <t>884807E5-DF90-D920-F050-007F010077FD</t>
  </si>
  <si>
    <t>884807E5-DF91-D920-F050-007F010077FD</t>
  </si>
  <si>
    <t>884807E5-DF93-D920-F050-007F010077FD</t>
  </si>
  <si>
    <t>884807E5-DF93-D920-F050-107F030077FD</t>
  </si>
  <si>
    <t>884807E5-DF95-D920-F050-007F010077FD</t>
  </si>
  <si>
    <t>884807E5-DF95-D920-F050-107F710077FD</t>
  </si>
  <si>
    <t>884807E5-DF97-D920-F050-007F010077FD</t>
  </si>
  <si>
    <t>884807E5-DF97-D920-F050-107F010077FD</t>
  </si>
  <si>
    <t>884807E5-DF99-D920-F050-007F010077FD</t>
  </si>
  <si>
    <t>884807E5-DF99-D920-F050-107F010077FD</t>
  </si>
  <si>
    <t>884807E5-DF9B-D920-F050-007F010077FD</t>
  </si>
  <si>
    <t>884807E5-DF9B-D920-F050-107F010077FD</t>
  </si>
  <si>
    <t>884807E5-DF8F-D920-F050-007F010077FD</t>
  </si>
  <si>
    <t>884807E5-DF8A-D920-F050-007F010077FD</t>
  </si>
  <si>
    <t>884807E5-DF8C-D920-F050-007F010077FD</t>
  </si>
  <si>
    <t>884807E5-DF9D-D920-F050-007F010077FD</t>
  </si>
  <si>
    <t>884807E5-DF9A-D920-F050-007F010077FD</t>
  </si>
  <si>
    <t>884807E5-DF1B-D920-F050-007F010077FD</t>
  </si>
  <si>
    <t>003E4A49-6810-5A9E-F050-007F01016A56</t>
  </si>
  <si>
    <t>884808E5-DF84-D920-F050-107FD10077FD</t>
  </si>
  <si>
    <t>123E4A49-6810-5A9E-F050-007F01006A52</t>
  </si>
  <si>
    <t>884807E5-DF7D-D920-F050-007F010077FD</t>
  </si>
  <si>
    <t>884807E5-EF00-D123-F050-007F010077FD</t>
  </si>
  <si>
    <t>884807E5-EF00-D124-F050-007F010077FD</t>
  </si>
  <si>
    <t>123E4A49-6810-5A9E-F050-007F01006A55</t>
  </si>
  <si>
    <t>884807E5-DF83-D920-F050-A17F010077FD</t>
  </si>
  <si>
    <t>884807E5-DF8A-D920-F050-107F010077FD</t>
  </si>
  <si>
    <t>884807E5-DF8B-D920-F050-007F010077FD</t>
  </si>
  <si>
    <t>884807E5-DF94-D920-F050-007F010077FD</t>
  </si>
  <si>
    <t>884807E5-DF8D-D920-F050-007F010077FD</t>
  </si>
  <si>
    <t>884807E5-DF8E-D920-F050-007F010077FD</t>
  </si>
  <si>
    <t>884807E5-DF9C-D920-F050-007F010077FD</t>
  </si>
  <si>
    <t>123E4A49-6810-5A9E-F050-007F01006A51</t>
  </si>
  <si>
    <t>003E4A49-6810-5A9E-F050-007F01026A56</t>
  </si>
  <si>
    <t>003E4A49-6810-5A9E-F050-007F01006A85</t>
  </si>
  <si>
    <t>123E4A49-6810-5A9E-F050-007F01006A15</t>
  </si>
  <si>
    <t>884807E5-DF98-D924-F050-007F010077FD</t>
  </si>
  <si>
    <t>884807E5-DF96-D920-F050-007F010077FD</t>
  </si>
  <si>
    <t>FinPlanAssetC002</t>
    <phoneticPr fontId="2" type="noConversion"/>
  </si>
  <si>
    <t>DELETE FROM CHB_DATACHECK_RULE_INV WHERE PAGE_ID = 'FinPlanAssetC002';</t>
    <phoneticPr fontId="2" type="noConversion"/>
  </si>
  <si>
    <t>HTML-NAME</t>
    <phoneticPr fontId="2" type="noConversion"/>
  </si>
  <si>
    <t>DELETE FROM CHB_DATACHECK_CONDITION_INV WHERE CHECKRULEID IN (SELECT CHECKRULEID FROM CHB_DATACHECK_RULE_INV WHERE PAGE_ID = 'FinPlanAssetC002');</t>
    <phoneticPr fontId="2" type="noConversion"/>
  </si>
  <si>
    <t>bussRepAssetMngProdInfo.repAssetType</t>
    <phoneticPr fontId="2" type="noConversion"/>
  </si>
  <si>
    <t>SVR_ASSET_TYPE_SECOND_LEVEL</t>
    <phoneticPr fontId="2" type="noConversion"/>
  </si>
  <si>
    <t>784807E5-DFA1-D920-E951-117F010077FD</t>
    <phoneticPr fontId="2" type="noConversion"/>
  </si>
  <si>
    <t>784807E5-DF99-D920-E952-117F010077FD</t>
    <phoneticPr fontId="2" type="noConversion"/>
  </si>
  <si>
    <t>784807E5-DF8E-D920-E953-007F010077FD</t>
    <phoneticPr fontId="2" type="noConversion"/>
  </si>
  <si>
    <t>784807E5-DF98-D920-E954-117F010077FD</t>
    <phoneticPr fontId="2" type="noConversion"/>
  </si>
  <si>
    <t>784807E5-DF8D-D920-E955-007F010077FD</t>
    <phoneticPr fontId="2" type="noConversion"/>
  </si>
  <si>
    <t>784807E5-DF97-D920-E957-007F010077FD</t>
    <phoneticPr fontId="2" type="noConversion"/>
  </si>
  <si>
    <t>784807E5-DF58-D920-E959-007F010098FD</t>
    <phoneticPr fontId="2" type="noConversion"/>
  </si>
  <si>
    <t>784807E5-DF8C-D920-E961-007F010077FD</t>
    <phoneticPr fontId="2" type="noConversion"/>
  </si>
  <si>
    <t>784807E5-DFA0-D920-E962-117F010077FD</t>
    <phoneticPr fontId="2" type="noConversion"/>
  </si>
  <si>
    <t>884807E5-DFA0-D920-F050-007F010077FD</t>
    <phoneticPr fontId="2" type="noConversion"/>
  </si>
  <si>
    <t>884807E5-DFA0-D920-F050-007F010077FD</t>
    <phoneticPr fontId="2" type="noConversion"/>
  </si>
  <si>
    <t>884807E5-DF9E-D920-F050-007F010077FD</t>
    <phoneticPr fontId="2" type="noConversion"/>
  </si>
  <si>
    <t>884807E5-DF9E-D920-F050-007F010077FD</t>
    <phoneticPr fontId="2" type="noConversion"/>
  </si>
  <si>
    <t>884807E5-DF9F-D920-F050-007F010077FD</t>
    <phoneticPr fontId="2" type="noConversion"/>
  </si>
  <si>
    <t>884807E5-DFA2-D920-F050-007F010077FD</t>
    <phoneticPr fontId="2" type="noConversion"/>
  </si>
  <si>
    <t>884807E5-DFA2-D920-F050-007F010077FD</t>
    <phoneticPr fontId="2" type="noConversion"/>
  </si>
  <si>
    <t>884807E5-DFA1-D920-F050-007F010077FD</t>
    <phoneticPr fontId="2" type="noConversion"/>
  </si>
  <si>
    <t>784807E5-DF9A-D920-E958-117F010077FD</t>
    <phoneticPr fontId="2" type="noConversion"/>
  </si>
  <si>
    <t>884807E5-EF00-D122-F050-007F010077FD</t>
    <phoneticPr fontId="2" type="noConversion"/>
  </si>
  <si>
    <t>884807E5-DF8F-D920-F050-007F010077FD</t>
    <phoneticPr fontId="2" type="noConversion"/>
  </si>
  <si>
    <t>884807E5-DF8C-D920-F050-007F010077FD</t>
    <phoneticPr fontId="2" type="noConversion"/>
  </si>
  <si>
    <t>884807E5-DF8A-D920-F050-007F010077FD</t>
    <phoneticPr fontId="2" type="noConversion"/>
  </si>
  <si>
    <t>inArray</t>
    <phoneticPr fontId="2" type="noConversion"/>
  </si>
  <si>
    <t>N,01</t>
    <phoneticPr fontId="2" type="noConversion"/>
  </si>
  <si>
    <t>inArray</t>
    <phoneticPr fontId="2" type="noConversion"/>
  </si>
  <si>
    <t>N,01</t>
    <phoneticPr fontId="2" type="noConversion"/>
  </si>
  <si>
    <t>ASSET_NAME</t>
  </si>
  <si>
    <t>201</t>
  </si>
  <si>
    <t>名称不可为空且不能过长。</t>
  </si>
  <si>
    <t>finprodName</t>
    <phoneticPr fontId="2" type="noConversion"/>
  </si>
  <si>
    <t>名称必须填写白名单中的文字。</t>
  </si>
  <si>
    <t>finprodName</t>
  </si>
  <si>
    <t>ASSET_ID</t>
  </si>
  <si>
    <t>代码必须填写白名单中的文字。</t>
  </si>
  <si>
    <t>finprodMarketId</t>
    <phoneticPr fontId="2" type="noConversion"/>
  </si>
  <si>
    <t>isValidDate</t>
  </si>
  <si>
    <t>VDATE</t>
  </si>
  <si>
    <t>yyyy-MM-dd</t>
  </si>
  <si>
    <t>vdate</t>
    <phoneticPr fontId="2" type="noConversion"/>
  </si>
  <si>
    <t>compareProperty</t>
  </si>
  <si>
    <t>MDATE</t>
  </si>
  <si>
    <t>vdate</t>
    <phoneticPr fontId="2" type="noConversion"/>
  </si>
  <si>
    <t>mdate</t>
    <phoneticPr fontId="2" type="noConversion"/>
  </si>
  <si>
    <t>mdate</t>
    <phoneticPr fontId="2" type="noConversion"/>
  </si>
  <si>
    <t>c36a7d55-7577-510b-aa30-792eec0c87eb</t>
  </si>
  <si>
    <t>3883c5a3-1b85-5a60-9523-c7b071ca3f89</t>
  </si>
  <si>
    <t>21a294fd-309a-563e-984f-9936a1807b8f</t>
  </si>
  <si>
    <t>7159b83d-790b-588d-84fa-fa14e6c30e82</t>
  </si>
  <si>
    <t>2f3385c7-c181-5e8d-9407-c398d583504c</t>
  </si>
  <si>
    <t>daaa8600-7a82-5d65-99af-ea4a7aa545d7</t>
  </si>
  <si>
    <t>D</t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</si>
  <si>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</si>
  <si>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</si>
  <si>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</si>
  <si>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</si>
  <si>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</si>
  <si>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</si>
  <si>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成立日必须为日期格式（YYYY-MM-DD）。</t>
    <phoneticPr fontId="2" type="noConversion"/>
  </si>
  <si>
    <t>成立日不可以为空</t>
    <phoneticPr fontId="2" type="noConversion"/>
  </si>
  <si>
    <t>终止日必须大于等于起息日。</t>
    <phoneticPr fontId="2" type="noConversion"/>
  </si>
  <si>
    <t>终止日要素必须为日期格式（YYYY-MM-DD）。</t>
    <phoneticPr fontId="2" type="noConversion"/>
  </si>
  <si>
    <t>终止日不可以为空</t>
    <phoneticPr fontId="2" type="noConversion"/>
  </si>
  <si>
    <t>CHECKCLASS</t>
    <phoneticPr fontId="2" type="noConversion"/>
  </si>
  <si>
    <t>com.joyintech.tams.invest.common.ChbBaseCheckLib</t>
  </si>
  <si>
    <t>E</t>
    <phoneticPr fontId="2" type="noConversion"/>
  </si>
  <si>
    <t>884807E5-DF7C-D920-F050-107F010077FD</t>
    <phoneticPr fontId="2" type="noConversion"/>
  </si>
  <si>
    <t>PARTY_CODE</t>
    <phoneticPr fontId="2" type="noConversion"/>
  </si>
  <si>
    <t>884807E5-DF9D-D920-F050-007F010077FD</t>
    <phoneticPr fontId="2" type="noConversion"/>
  </si>
  <si>
    <t>5487fed8-0e8c-5db8-beb5-e21689fcb63b</t>
    <phoneticPr fontId="2" type="noConversion"/>
  </si>
  <si>
    <t>D</t>
    <phoneticPr fontId="2" type="noConversion"/>
  </si>
  <si>
    <t>6b406b4e-b442-5a7b-a54a-def83c5f12b8</t>
    <phoneticPr fontId="2" type="noConversion"/>
  </si>
  <si>
    <t>资管计划属性选择“99 其他”场合</t>
    <phoneticPr fontId="2" type="noConversion"/>
  </si>
  <si>
    <t>284807E5-DF28-D920-E060-007F0100ZL37</t>
  </si>
  <si>
    <t>FinPlanAssetC002</t>
  </si>
  <si>
    <t>资产/负债类别不可为空。</t>
  </si>
  <si>
    <t>bussRepAssetMngProdInfo.repAssetType</t>
  </si>
  <si>
    <t>insert into CHB_DATACHECK_RULE_INV values ('284807E5-DF28-D920-E060-007F0100ZL37','FinPlanAssetC002','isNotEmpty','bussRepAssetMngProdInfo.repAssetType','','','N','资产/负债类别不可为空。','E','com.joyintech.tams.invest.common.ChbBaseCheckLib');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</si>
</sst>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2" borderId="0" xfId="0" applyFill="1"/>
    <xf numFmtId="0" fontId="4" fillId="0" borderId="0" xfId="0" applyFont="1" applyFill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1" xfId="0" applyNumberFormat="1" applyBorder="1" applyAlignment="1">
      <alignment vertical="center"/>
    </xf>
    <xf numFmtId="0" fontId="1" fillId="0" borderId="1" xfId="0" applyFont="1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0" fontId="1" fillId="0" borderId="1" xfId="0" applyFont="1" applyFill="1" applyBorder="1"/>
    <xf numFmtId="49" fontId="1" fillId="0" borderId="1" xfId="0" applyNumberFormat="1" applyFont="1" applyFill="1" applyBorder="1"/>
    <xf numFmtId="0" fontId="0" fillId="0" borderId="1" xfId="0" applyFill="1" applyBorder="1" applyAlignment="1">
      <alignment vertical="center"/>
    </xf>
    <xf numFmtId="0" fontId="0" fillId="0" borderId="0" xfId="0" applyBorder="1"/>
    <xf numFmtId="0" fontId="4" fillId="0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0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abSelected="1" workbookViewId="0">
      <selection activeCell="L70" sqref="L70"/>
    </sheetView>
  </sheetViews>
  <sheetFormatPr defaultRowHeight="13.5" x14ac:dyDescent="0.15"/>
  <cols>
    <col min="1" max="1" width="40.5" style="6" bestFit="1" customWidth="1"/>
    <col min="2" max="2" width="20.125" style="6" customWidth="1"/>
    <col min="3" max="3" width="26.125" style="6" bestFit="1" customWidth="1"/>
    <col min="4" max="4" width="21.625" style="6" bestFit="1" customWidth="1"/>
    <col min="5" max="5" width="16" style="6" bestFit="1" customWidth="1"/>
    <col min="6" max="6" width="50.625" style="6" customWidth="1"/>
    <col min="7" max="7" width="14.75" style="6" bestFit="1" customWidth="1"/>
    <col min="8" max="8" width="54.75" style="6" customWidth="1"/>
    <col min="9" max="9" width="10" style="6" customWidth="1"/>
    <col min="10" max="10" width="51.25" style="6" customWidth="1"/>
    <col min="11" max="11" width="51.25" style="20" customWidth="1"/>
  </cols>
  <sheetData>
    <row r="1" spans="1:12" s="9" customFormat="1" x14ac:dyDescent="0.15">
      <c r="A1" s="4" t="s">
        <v>0</v>
      </c>
      <c r="B1" s="4" t="s">
        <v>37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21" t="s">
        <v>288</v>
      </c>
      <c r="K1" s="21" t="s">
        <v>354</v>
      </c>
      <c r="L1" s="21" t="s">
        <v>287</v>
      </c>
    </row>
    <row r="2" spans="1:12" x14ac:dyDescent="0.15">
      <c r="A2" s="3" t="s">
        <v>256</v>
      </c>
      <c r="B2" s="3" t="s">
        <v>286</v>
      </c>
      <c r="C2" s="3" t="s">
        <v>109</v>
      </c>
      <c r="D2" s="3" t="s">
        <v>155</v>
      </c>
      <c r="E2" s="3" t="s">
        <v>117</v>
      </c>
      <c r="F2" s="3" t="s">
        <v>146</v>
      </c>
      <c r="G2" s="3" t="s">
        <v>17</v>
      </c>
      <c r="H2" s="3" t="s">
        <v>156</v>
      </c>
      <c r="I2" s="3" t="s">
        <v>345</v>
      </c>
      <c r="J2" s="6" t="s">
        <v>78</v>
      </c>
      <c r="K2" s="6" t="s">
        <v>355</v>
      </c>
      <c r="L2" s="6" t="str">
        <f>CONCATENATE("insert into CHB_DATACHECK_RULE_INV values ('",A2,"','",B2,"','",C2,"','",J2,"','",E2,"','",F2,"','",G2,"','",H2,"','",I2,"','",K2,"');")</f>
        <v>insert into CHB_DATACHECK_RULE_INV values ('884807E5-DF99-D920-F050-007F010077FD','FinPlanAssetC002','isNumber2','bussRepAssetMngProdInfo.repAgencyFeeRate','&gt;=','8,5','Y','中介服务机构合计费率%以百分数形式表示时必须为n（8,5）格式','D','com.joyintech.tams.invest.common.ChbBaseCheckLib');</v>
      </c>
    </row>
    <row r="3" spans="1:12" x14ac:dyDescent="0.15">
      <c r="A3" s="3" t="s">
        <v>257</v>
      </c>
      <c r="B3" s="3" t="s">
        <v>286</v>
      </c>
      <c r="C3" s="3" t="s">
        <v>12</v>
      </c>
      <c r="D3" s="3" t="s">
        <v>155</v>
      </c>
      <c r="E3" s="3"/>
      <c r="F3" s="3"/>
      <c r="G3" s="3" t="s">
        <v>15</v>
      </c>
      <c r="H3" s="3" t="s">
        <v>157</v>
      </c>
      <c r="I3" s="3" t="s">
        <v>344</v>
      </c>
      <c r="J3" s="6" t="s">
        <v>78</v>
      </c>
      <c r="K3" s="6" t="s">
        <v>355</v>
      </c>
      <c r="L3" s="6" t="str">
        <f t="shared" ref="L3:L65" si="0">CONCATENATE("insert into CHB_DATACHECK_RULE_INV values ('",A3,"','",B3,"','",C3,"','",J3,"','",E3,"','",F3,"','",G3,"','",H3,"','",I3,"','",K3,"');")</f>
        <v>insert into CHB_DATACHECK_RULE_INV values ('884807E5-DF99-D920-F050-107F010077FD','FinPlanAssetC002','isNotEmpty','bussRepAssetMngProdInfo.repAgencyFeeRate','','','N','中介服务机构合计费率%要素不可为空','D','com.joyintech.tams.invest.common.ChbBaseCheckLib');</v>
      </c>
    </row>
    <row r="4" spans="1:12" x14ac:dyDescent="0.15">
      <c r="A4" s="3" t="s">
        <v>264</v>
      </c>
      <c r="B4" s="3" t="s">
        <v>286</v>
      </c>
      <c r="C4" s="3" t="s">
        <v>116</v>
      </c>
      <c r="D4" s="3" t="s">
        <v>155</v>
      </c>
      <c r="E4" s="3" t="s">
        <v>117</v>
      </c>
      <c r="F4" s="3" t="s">
        <v>16</v>
      </c>
      <c r="G4" s="3" t="s">
        <v>17</v>
      </c>
      <c r="H4" s="3" t="s">
        <v>227</v>
      </c>
      <c r="I4" s="3" t="s">
        <v>345</v>
      </c>
      <c r="J4" s="6" t="s">
        <v>78</v>
      </c>
      <c r="K4" s="6" t="s">
        <v>355</v>
      </c>
      <c r="L4" s="6" t="str">
        <f t="shared" si="0"/>
        <v>insert into CHB_DATACHECK_RULE_INV values ('884807E5-DF9A-D920-F050-007F010077FD','FinPlanAssetC002','compareValueAsNumber','bussRepAssetMngProdInfo.repAgencyFeeRate','&gt;=','0','Y','中介服务机构合计费率%必须大于等于0。','D','com.joyintech.tams.invest.common.ChbBaseCheckLib');</v>
      </c>
    </row>
    <row r="5" spans="1:12" x14ac:dyDescent="0.15">
      <c r="A5" s="3" t="s">
        <v>235</v>
      </c>
      <c r="B5" s="3" t="s">
        <v>286</v>
      </c>
      <c r="C5" s="3" t="s">
        <v>109</v>
      </c>
      <c r="D5" s="3" t="s">
        <v>110</v>
      </c>
      <c r="E5" s="3"/>
      <c r="F5" s="3" t="s">
        <v>111</v>
      </c>
      <c r="G5" s="3" t="s">
        <v>17</v>
      </c>
      <c r="H5" s="3" t="s">
        <v>112</v>
      </c>
      <c r="I5" s="3" t="s">
        <v>344</v>
      </c>
      <c r="J5" s="6" t="s">
        <v>80</v>
      </c>
      <c r="K5" s="6" t="s">
        <v>355</v>
      </c>
      <c r="L5" s="6" t="str">
        <f t="shared" si="0"/>
        <v>insert into CHB_DATACHECK_RULE_INV values ('884807E5-DF35-D920-F050-007F010077FD','FinPlanAssetC002','isNumber2','bussRepAssetMngProdInfo.repAmt','','15,2','Y','金额格式必须为n(15,2)格式。','D','com.joyintech.tams.invest.common.ChbBaseCheckLib');</v>
      </c>
    </row>
    <row r="6" spans="1:12" x14ac:dyDescent="0.15">
      <c r="A6" s="3" t="s">
        <v>237</v>
      </c>
      <c r="B6" s="3" t="s">
        <v>286</v>
      </c>
      <c r="C6" s="3" t="s">
        <v>12</v>
      </c>
      <c r="D6" s="3" t="s">
        <v>110</v>
      </c>
      <c r="E6" s="3"/>
      <c r="F6" s="3"/>
      <c r="G6" s="3" t="s">
        <v>15</v>
      </c>
      <c r="H6" s="3" t="s">
        <v>115</v>
      </c>
      <c r="I6" s="3" t="s">
        <v>344</v>
      </c>
      <c r="J6" s="6" t="s">
        <v>80</v>
      </c>
      <c r="K6" s="6" t="s">
        <v>355</v>
      </c>
      <c r="L6" s="6" t="str">
        <f t="shared" si="0"/>
        <v>insert into CHB_DATACHECK_RULE_INV values ('884807E5-DF7F-D920-F036-007F010077FD','FinPlanAssetC002','isNotEmpty','bussRepAssetMngProdInfo.repAmt','','','N','金额要素不可为空','D','com.joyintech.tams.invest.common.ChbBaseCheckLib');</v>
      </c>
    </row>
    <row r="7" spans="1:12" x14ac:dyDescent="0.15">
      <c r="A7" s="3" t="s">
        <v>238</v>
      </c>
      <c r="B7" s="3" t="s">
        <v>286</v>
      </c>
      <c r="C7" s="3" t="s">
        <v>116</v>
      </c>
      <c r="D7" s="3" t="s">
        <v>110</v>
      </c>
      <c r="E7" s="3" t="s">
        <v>117</v>
      </c>
      <c r="F7" s="3" t="s">
        <v>16</v>
      </c>
      <c r="G7" s="3" t="s">
        <v>17</v>
      </c>
      <c r="H7" s="3" t="s">
        <v>118</v>
      </c>
      <c r="I7" s="3" t="s">
        <v>346</v>
      </c>
      <c r="J7" s="6" t="s">
        <v>80</v>
      </c>
      <c r="K7" s="6" t="s">
        <v>355</v>
      </c>
      <c r="L7" s="6" t="str">
        <f t="shared" si="0"/>
        <v>insert into CHB_DATACHECK_RULE_INV values ('884807E5-DF80-D920-F050-107F010077FD','FinPlanAssetC002','compareValueAsNumber','bussRepAssetMngProdInfo.repAmt','&gt;=','0','Y','金额必须大于等于0','D','com.joyintech.tams.invest.common.ChbBaseCheckLib');</v>
      </c>
    </row>
    <row r="8" spans="1:12" x14ac:dyDescent="0.15">
      <c r="A8" s="3" t="s">
        <v>265</v>
      </c>
      <c r="B8" s="3" t="s">
        <v>286</v>
      </c>
      <c r="C8" s="3" t="s">
        <v>14</v>
      </c>
      <c r="D8" s="3" t="s">
        <v>174</v>
      </c>
      <c r="E8" s="3"/>
      <c r="F8" s="3" t="s">
        <v>291</v>
      </c>
      <c r="G8" s="3" t="s">
        <v>17</v>
      </c>
      <c r="H8" s="3" t="s">
        <v>175</v>
      </c>
      <c r="I8" s="3" t="s">
        <v>344</v>
      </c>
      <c r="J8" s="6" t="s">
        <v>203</v>
      </c>
      <c r="K8" s="6" t="s">
        <v>355</v>
      </c>
      <c r="L8" s="6" t="str">
        <f t="shared" si="0"/>
        <v>insert into CHB_DATACHECK_RULE_INV values ('884807E5-DF1B-D920-F050-007F010077FD','FinPlanAssetC002','inDatadict','bussRepAssetMngProdInfo.repAssetType','','SVR_ASSET_TYPE_SECOND_LEVEL','Y','资产/负债类别不在值域范围内','D','com.joyintech.tams.invest.common.ChbBaseCheckLib');</v>
      </c>
    </row>
    <row r="9" spans="1:12" x14ac:dyDescent="0.15">
      <c r="A9" s="3" t="s">
        <v>266</v>
      </c>
      <c r="B9" s="3" t="s">
        <v>286</v>
      </c>
      <c r="C9" s="3" t="s">
        <v>14</v>
      </c>
      <c r="D9" s="3" t="s">
        <v>28</v>
      </c>
      <c r="E9" s="3" t="s">
        <v>9</v>
      </c>
      <c r="F9" s="3" t="s">
        <v>25</v>
      </c>
      <c r="G9" s="3" t="s">
        <v>17</v>
      </c>
      <c r="H9" s="3" t="s">
        <v>168</v>
      </c>
      <c r="I9" s="3" t="s">
        <v>344</v>
      </c>
      <c r="J9" s="6" t="s">
        <v>85</v>
      </c>
      <c r="K9" s="6" t="s">
        <v>355</v>
      </c>
      <c r="L9" s="6" t="str">
        <f t="shared" si="0"/>
        <v>insert into CHB_DATACHECK_RULE_INV values ('003E4A49-6810-5A9E-F050-007F01016A56','FinPlanAssetC002','inDatadict','bussRepAssetMngProdInfo.repBondtostockFlag','==','SVR_YES_OR_NO','Y','是否投向“市场化债转股相关产品的部分”不在值域范围内。','D','com.joyintech.tams.invest.common.ChbBaseCheckLib');</v>
      </c>
    </row>
    <row r="10" spans="1:12" x14ac:dyDescent="0.15">
      <c r="A10" s="3" t="s">
        <v>248</v>
      </c>
      <c r="B10" s="3" t="s">
        <v>286</v>
      </c>
      <c r="C10" s="3" t="s">
        <v>14</v>
      </c>
      <c r="D10" s="3" t="s">
        <v>139</v>
      </c>
      <c r="E10" s="3" t="s">
        <v>9</v>
      </c>
      <c r="F10" s="3" t="s">
        <v>140</v>
      </c>
      <c r="G10" s="3" t="s">
        <v>17</v>
      </c>
      <c r="H10" s="3" t="s">
        <v>141</v>
      </c>
      <c r="I10" s="3" t="s">
        <v>344</v>
      </c>
      <c r="J10" s="6" t="s">
        <v>72</v>
      </c>
      <c r="K10" s="6" t="s">
        <v>355</v>
      </c>
      <c r="L10" s="6" t="str">
        <f t="shared" si="0"/>
        <v>insert into CHB_DATACHECK_RULE_INV values ('884807E5-DF90-D920-F050-007F010077FD','FinPlanAssetC002','inDatadict','bussRepAssetMngProdInfo.repBuyStruct','==','SVR_BUY_STRUCT','Y','购买结构要素不在值域范围内。','D','com.joyintech.tams.invest.common.ChbBaseCheckLib');</v>
      </c>
    </row>
    <row r="11" spans="1:12" x14ac:dyDescent="0.15">
      <c r="A11" s="3" t="s">
        <v>233</v>
      </c>
      <c r="B11" s="3" t="s">
        <v>286</v>
      </c>
      <c r="C11" s="3" t="s">
        <v>12</v>
      </c>
      <c r="D11" s="3" t="s">
        <v>139</v>
      </c>
      <c r="E11" s="3"/>
      <c r="F11" s="3"/>
      <c r="G11" s="3" t="s">
        <v>15</v>
      </c>
      <c r="H11" s="3" t="s">
        <v>223</v>
      </c>
      <c r="I11" s="3" t="s">
        <v>344</v>
      </c>
      <c r="J11" s="6" t="s">
        <v>72</v>
      </c>
      <c r="K11" s="6" t="s">
        <v>355</v>
      </c>
      <c r="L11" s="6" t="str">
        <f t="shared" si="0"/>
        <v>insert into CHB_DATACHECK_RULE_INV values ('885607E5-DF91-D920-F050-007F037077FD','FinPlanAssetC002','isNotEmpty','bussRepAssetMngProdInfo.repBuyStruct','','','N','购买结构要素不可以为空','D','com.joyintech.tams.invest.common.ChbBaseCheckLib');</v>
      </c>
    </row>
    <row r="12" spans="1:12" x14ac:dyDescent="0.15">
      <c r="A12" s="3" t="s">
        <v>243</v>
      </c>
      <c r="B12" s="3" t="s">
        <v>286</v>
      </c>
      <c r="C12" s="3" t="s">
        <v>12</v>
      </c>
      <c r="D12" s="3" t="s">
        <v>128</v>
      </c>
      <c r="E12" s="3"/>
      <c r="F12" s="3"/>
      <c r="G12" s="3" t="s">
        <v>15</v>
      </c>
      <c r="H12" s="3" t="s">
        <v>221</v>
      </c>
      <c r="I12" s="3" t="s">
        <v>344</v>
      </c>
      <c r="J12" s="6" t="s">
        <v>67</v>
      </c>
      <c r="K12" s="6" t="s">
        <v>355</v>
      </c>
      <c r="L12" s="6" t="str">
        <f t="shared" si="0"/>
        <v>insert into CHB_DATACHECK_RULE_INV values ('884807E5-DF84-D920-F050-007F010077FD','FinPlanAssetC002','isNotEmpty','bussRepAssetMngProdInfo.repCapUseInduLevel2','','','N','资金运用行业要素不可为空','D','com.joyintech.tams.invest.common.ChbBaseCheckLib');</v>
      </c>
    </row>
    <row r="13" spans="1:12" x14ac:dyDescent="0.15">
      <c r="A13" s="3" t="s">
        <v>267</v>
      </c>
      <c r="B13" s="3" t="s">
        <v>286</v>
      </c>
      <c r="C13" s="3" t="s">
        <v>14</v>
      </c>
      <c r="D13" s="3" t="s">
        <v>128</v>
      </c>
      <c r="E13" s="3" t="s">
        <v>117</v>
      </c>
      <c r="F13" s="3" t="s">
        <v>181</v>
      </c>
      <c r="G13" s="3" t="s">
        <v>17</v>
      </c>
      <c r="H13" s="3" t="s">
        <v>182</v>
      </c>
      <c r="I13" s="3" t="s">
        <v>347</v>
      </c>
      <c r="J13" s="6" t="s">
        <v>67</v>
      </c>
      <c r="K13" s="6" t="s">
        <v>355</v>
      </c>
      <c r="L13" s="6" t="str">
        <f t="shared" si="0"/>
        <v>insert into CHB_DATACHECK_RULE_INV values ('884808E5-DF84-D920-F050-107FD10077FD','FinPlanAssetC002','inDatadict','bussRepAssetMngProdInfo.repCapUseInduLevel2','&gt;=','INSTITUTION_INDUSTRY_SECOND_LEVEL','Y','资金运用行业不在值域范围内','D','com.joyintech.tams.invest.common.ChbBaseCheckLib');</v>
      </c>
    </row>
    <row r="14" spans="1:12" x14ac:dyDescent="0.15">
      <c r="A14" s="3" t="s">
        <v>268</v>
      </c>
      <c r="B14" s="3" t="s">
        <v>286</v>
      </c>
      <c r="C14" s="3" t="s">
        <v>11</v>
      </c>
      <c r="D14" s="3" t="s">
        <v>171</v>
      </c>
      <c r="E14" s="3"/>
      <c r="F14" s="3" t="s">
        <v>18</v>
      </c>
      <c r="G14" s="3" t="s">
        <v>17</v>
      </c>
      <c r="H14" s="3" t="s">
        <v>172</v>
      </c>
      <c r="I14" s="3" t="s">
        <v>10</v>
      </c>
      <c r="J14" s="6" t="s">
        <v>63</v>
      </c>
      <c r="K14" s="6" t="s">
        <v>355</v>
      </c>
      <c r="L14" s="6" t="str">
        <f t="shared" si="0"/>
        <v>insert into CHB_DATACHECK_RULE_INV values ('123E4A49-6810-5A9E-F050-007F01006A52','FinPlanAssetC002','isCustomizedString','bussRepAssetMngProdInfo.repRegist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管计划登记编码必须填写白名单中的文字。','E','com.joyintech.tams.invest.common.ChbBaseCheckLib');</v>
      </c>
    </row>
    <row r="15" spans="1:12" x14ac:dyDescent="0.15">
      <c r="A15" s="3" t="s">
        <v>269</v>
      </c>
      <c r="B15" s="3" t="s">
        <v>286</v>
      </c>
      <c r="C15" s="3" t="s">
        <v>13</v>
      </c>
      <c r="D15" s="3" t="s">
        <v>171</v>
      </c>
      <c r="E15" s="3"/>
      <c r="F15" s="3" t="s">
        <v>20</v>
      </c>
      <c r="G15" s="3" t="s">
        <v>17</v>
      </c>
      <c r="H15" s="3" t="s">
        <v>177</v>
      </c>
      <c r="I15" s="3" t="s">
        <v>10</v>
      </c>
      <c r="J15" s="6" t="s">
        <v>63</v>
      </c>
      <c r="K15" s="6" t="s">
        <v>355</v>
      </c>
      <c r="L15" s="6" t="str">
        <f t="shared" si="0"/>
        <v>insert into CHB_DATACHECK_RULE_INV values ('884807E5-DF7D-D920-F050-007F010077FD','FinPlanAssetC002','lessThanCharLength','bussRepAssetMngProdInfo.repRegistCode','','257','Y','资管计划登记编码要素不可超长。','E','com.joyintech.tams.invest.common.ChbBaseCheckLib');</v>
      </c>
    </row>
    <row r="16" spans="1:12" x14ac:dyDescent="0.15">
      <c r="A16" s="3" t="s">
        <v>234</v>
      </c>
      <c r="B16" s="3" t="s">
        <v>286</v>
      </c>
      <c r="C16" s="3" t="s">
        <v>12</v>
      </c>
      <c r="D16" s="3" t="s">
        <v>27</v>
      </c>
      <c r="E16" s="3"/>
      <c r="F16" s="3"/>
      <c r="G16" s="3" t="s">
        <v>15</v>
      </c>
      <c r="H16" s="3" t="s">
        <v>165</v>
      </c>
      <c r="I16" s="19" t="s">
        <v>343</v>
      </c>
      <c r="J16" s="6" t="s">
        <v>81</v>
      </c>
      <c r="K16" s="6" t="s">
        <v>355</v>
      </c>
      <c r="L16" s="6" t="str">
        <f t="shared" si="0"/>
        <v>insert into CHB_DATACHECK_RULE_INV values ('884807E5-EF00-D122-F050-007F010077FD','FinPlanAssetC002','isNotEmpty','bussRepAssetMngProdInfo.repPrivateprdFlag','','','N','是否由金融资产投资公司发行要素不能为空。','D','com.joyintech.tams.invest.common.ChbBaseCheckLib');</v>
      </c>
    </row>
    <row r="17" spans="1:12" x14ac:dyDescent="0.15">
      <c r="A17" s="3" t="s">
        <v>270</v>
      </c>
      <c r="B17" s="3" t="s">
        <v>286</v>
      </c>
      <c r="C17" s="3" t="s">
        <v>13</v>
      </c>
      <c r="D17" s="3" t="s">
        <v>27</v>
      </c>
      <c r="E17" s="3" t="s">
        <v>9</v>
      </c>
      <c r="F17" s="3" t="s">
        <v>16</v>
      </c>
      <c r="G17" s="3" t="s">
        <v>17</v>
      </c>
      <c r="H17" s="3" t="s">
        <v>166</v>
      </c>
      <c r="I17" s="19" t="s">
        <v>343</v>
      </c>
      <c r="J17" s="6" t="s">
        <v>81</v>
      </c>
      <c r="K17" s="6" t="s">
        <v>355</v>
      </c>
      <c r="L17" s="6" t="str">
        <f t="shared" si="0"/>
        <v>insert into CHB_DATACHECK_RULE_INV values ('884807E5-EF00-D123-F050-007F010077FD','FinPlanAssetC002','lessThanCharLength','bussRepAssetMngProdInfo.repPrivateprdFlag','==','0','Y','是否由金融资产投资公司发行要素必须为空。','D','com.joyintech.tams.invest.common.ChbBaseCheckLib');</v>
      </c>
    </row>
    <row r="18" spans="1:12" x14ac:dyDescent="0.15">
      <c r="A18" s="3" t="s">
        <v>271</v>
      </c>
      <c r="B18" s="3" t="s">
        <v>286</v>
      </c>
      <c r="C18" s="3" t="s">
        <v>316</v>
      </c>
      <c r="D18" s="3" t="s">
        <v>27</v>
      </c>
      <c r="E18" s="3" t="s">
        <v>9</v>
      </c>
      <c r="F18" s="3" t="s">
        <v>317</v>
      </c>
      <c r="G18" s="3" t="s">
        <v>17</v>
      </c>
      <c r="H18" s="3" t="s">
        <v>218</v>
      </c>
      <c r="I18" s="19" t="s">
        <v>343</v>
      </c>
      <c r="J18" s="6" t="s">
        <v>81</v>
      </c>
      <c r="K18" s="6" t="s">
        <v>355</v>
      </c>
      <c r="L18" s="6" t="str">
        <f t="shared" si="0"/>
        <v>insert into CHB_DATACHECK_RULE_INV values ('884807E5-EF00-D124-F050-007F010077FD','FinPlanAssetC002','inArray','bussRepAssetMngProdInfo.repPrivateprdFlag','==','N,01','Y','是否由金融资产投资公司发行要素不在值域范围内。','D','com.joyintech.tams.invest.common.ChbBaseCheckLib');</v>
      </c>
    </row>
    <row r="19" spans="1:12" x14ac:dyDescent="0.15">
      <c r="A19" s="3" t="s">
        <v>242</v>
      </c>
      <c r="B19" s="3" t="s">
        <v>286</v>
      </c>
      <c r="C19" s="3" t="s">
        <v>12</v>
      </c>
      <c r="D19" s="3" t="s">
        <v>126</v>
      </c>
      <c r="E19" s="3"/>
      <c r="F19" s="3"/>
      <c r="G19" s="3" t="s">
        <v>15</v>
      </c>
      <c r="H19" s="3" t="s">
        <v>127</v>
      </c>
      <c r="I19" s="3" t="s">
        <v>347</v>
      </c>
      <c r="J19" s="6" t="s">
        <v>65</v>
      </c>
      <c r="K19" s="6" t="s">
        <v>355</v>
      </c>
      <c r="L19" s="6" t="str">
        <f t="shared" si="0"/>
        <v>insert into CHB_DATACHECK_RULE_INV values ('884807E5-DF83-D920-F050-007F010077FD','FinPlanAssetC002','isNotEmpty','bussRepAssetMngProdInfo.repCapUseWay','','','N','资金运用方式要素不可为空','D','com.joyintech.tams.invest.common.ChbBaseCheckLib');</v>
      </c>
    </row>
    <row r="20" spans="1:12" x14ac:dyDescent="0.15">
      <c r="A20" s="3" t="s">
        <v>272</v>
      </c>
      <c r="B20" s="3" t="s">
        <v>286</v>
      </c>
      <c r="C20" s="3" t="s">
        <v>11</v>
      </c>
      <c r="D20" s="3" t="s">
        <v>126</v>
      </c>
      <c r="E20" s="3"/>
      <c r="F20" s="3" t="s">
        <v>18</v>
      </c>
      <c r="G20" s="3" t="s">
        <v>17</v>
      </c>
      <c r="H20" s="3" t="s">
        <v>173</v>
      </c>
      <c r="I20" s="3" t="s">
        <v>10</v>
      </c>
      <c r="J20" s="6" t="s">
        <v>65</v>
      </c>
      <c r="K20" s="6" t="s">
        <v>355</v>
      </c>
      <c r="L20" s="6" t="str">
        <f t="shared" si="0"/>
        <v>insert into CHB_DATACHECK_RULE_INV values ('123E4A49-6810-5A9E-F050-007F01006A55','FinPlanAssetC002','isCustomizedString','bussRepAssetMngProdInfo.repCapUseWay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金运用方式必须填写白名单中的文字。','E','com.joyintech.tams.invest.common.ChbBaseCheckLib');</v>
      </c>
    </row>
    <row r="21" spans="1:12" x14ac:dyDescent="0.15">
      <c r="A21" s="3" t="s">
        <v>273</v>
      </c>
      <c r="B21" s="3" t="s">
        <v>286</v>
      </c>
      <c r="C21" s="3" t="s">
        <v>13</v>
      </c>
      <c r="D21" s="3" t="s">
        <v>126</v>
      </c>
      <c r="E21" s="3" t="s">
        <v>178</v>
      </c>
      <c r="F21" s="3" t="s">
        <v>179</v>
      </c>
      <c r="G21" s="3" t="s">
        <v>17</v>
      </c>
      <c r="H21" s="3" t="s">
        <v>180</v>
      </c>
      <c r="I21" s="3" t="s">
        <v>344</v>
      </c>
      <c r="J21" s="6" t="s">
        <v>65</v>
      </c>
      <c r="K21" s="6" t="s">
        <v>355</v>
      </c>
      <c r="L21" s="6" t="str">
        <f t="shared" si="0"/>
        <v>insert into CHB_DATACHECK_RULE_INV values ('884807E5-DF83-D920-F050-A17F010077FD','FinPlanAssetC002','lessThanCharLength','bussRepAssetMngProdInfo.repCapUseWay','&lt;=','301','Y','资金运用方式过长','D','com.joyintech.tams.invest.common.ChbBaseCheckLib');</v>
      </c>
    </row>
    <row r="22" spans="1:12" x14ac:dyDescent="0.15">
      <c r="A22" s="3" t="s">
        <v>249</v>
      </c>
      <c r="B22" s="3" t="s">
        <v>286</v>
      </c>
      <c r="C22" s="3" t="s">
        <v>14</v>
      </c>
      <c r="D22" s="3" t="s">
        <v>142</v>
      </c>
      <c r="E22" s="3" t="s">
        <v>9</v>
      </c>
      <c r="F22" s="3" t="s">
        <v>143</v>
      </c>
      <c r="G22" s="3" t="s">
        <v>17</v>
      </c>
      <c r="H22" s="3" t="s">
        <v>144</v>
      </c>
      <c r="I22" s="3" t="s">
        <v>344</v>
      </c>
      <c r="J22" s="6" t="s">
        <v>73</v>
      </c>
      <c r="K22" s="6" t="s">
        <v>355</v>
      </c>
      <c r="L22" s="6" t="str">
        <f t="shared" si="0"/>
        <v>insert into CHB_DATACHECK_RULE_INV values ('884807E5-DF91-D920-F050-007F010077FD','FinPlanAssetC002','inDatadict','bussRepAssetMngProdInfo.repManageType','==','SVR_MANAGE_STYLE','Y','管理方式要素不在值域范围内。','D','com.joyintech.tams.invest.common.ChbBaseCheckLib');</v>
      </c>
    </row>
    <row r="23" spans="1:12" x14ac:dyDescent="0.15">
      <c r="A23" s="3" t="s">
        <v>232</v>
      </c>
      <c r="B23" s="3" t="s">
        <v>286</v>
      </c>
      <c r="C23" s="3" t="s">
        <v>12</v>
      </c>
      <c r="D23" s="3" t="s">
        <v>142</v>
      </c>
      <c r="E23" s="3"/>
      <c r="F23" s="3"/>
      <c r="G23" s="3" t="s">
        <v>15</v>
      </c>
      <c r="H23" s="3" t="s">
        <v>167</v>
      </c>
      <c r="I23" s="3" t="s">
        <v>344</v>
      </c>
      <c r="J23" s="6" t="s">
        <v>73</v>
      </c>
      <c r="K23" s="6" t="s">
        <v>355</v>
      </c>
      <c r="L23" s="6" t="str">
        <f t="shared" si="0"/>
        <v>insert into CHB_DATACHECK_RULE_INV values ('885607E5-DF91-D920-F050-007F010077FD','FinPlanAssetC002','isNotEmpty','bussRepAssetMngProdInfo.repManageType','','','N','管理方式要素不可以为空','D','com.joyintech.tams.invest.common.ChbBaseCheckLib');</v>
      </c>
    </row>
    <row r="24" spans="1:12" x14ac:dyDescent="0.15">
      <c r="A24" s="3" t="s">
        <v>261</v>
      </c>
      <c r="B24" s="3" t="s">
        <v>286</v>
      </c>
      <c r="C24" s="3" t="s">
        <v>12</v>
      </c>
      <c r="D24" s="3" t="s">
        <v>134</v>
      </c>
      <c r="E24" s="3"/>
      <c r="F24" s="3"/>
      <c r="G24" s="3" t="s">
        <v>15</v>
      </c>
      <c r="H24" s="3" t="s">
        <v>135</v>
      </c>
      <c r="I24" s="3" t="s">
        <v>344</v>
      </c>
      <c r="J24" s="6" t="s">
        <v>70</v>
      </c>
      <c r="K24" s="6" t="s">
        <v>355</v>
      </c>
      <c r="L24" s="6" t="str">
        <f t="shared" si="0"/>
        <v>insert into CHB_DATACHECK_RULE_INV values ('884807E5-DF8A-D920-F050-007F010077FD','FinPlanAssetC002','isNotEmpty','bussRepAssetMngProdInfo.repMaxRate','','','N','预期最高收益率%要素不可为空','D','com.joyintech.tams.invest.common.ChbBaseCheckLib');</v>
      </c>
    </row>
    <row r="25" spans="1:12" x14ac:dyDescent="0.15">
      <c r="A25" s="3" t="s">
        <v>262</v>
      </c>
      <c r="B25" s="3" t="s">
        <v>286</v>
      </c>
      <c r="C25" s="3" t="s">
        <v>13</v>
      </c>
      <c r="D25" s="3" t="s">
        <v>134</v>
      </c>
      <c r="E25" s="3" t="s">
        <v>9</v>
      </c>
      <c r="F25" s="3" t="s">
        <v>16</v>
      </c>
      <c r="G25" s="3" t="s">
        <v>17</v>
      </c>
      <c r="H25" s="3" t="s">
        <v>136</v>
      </c>
      <c r="I25" s="3" t="s">
        <v>344</v>
      </c>
      <c r="J25" s="6" t="s">
        <v>70</v>
      </c>
      <c r="K25" s="6" t="s">
        <v>355</v>
      </c>
      <c r="L25" s="6" t="str">
        <f t="shared" si="0"/>
        <v>insert into CHB_DATACHECK_RULE_INV values ('884807E5-DF8C-D920-F050-007F010077FD','FinPlanAssetC002','lessThanCharLength','bussRepAssetMngProdInfo.repMaxRate','==','0','Y','预期最高收益率%要素必须为空','D','com.joyintech.tams.invest.common.ChbBaseCheckLib');</v>
      </c>
    </row>
    <row r="26" spans="1:12" x14ac:dyDescent="0.15">
      <c r="A26" s="3" t="s">
        <v>274</v>
      </c>
      <c r="B26" s="3" t="s">
        <v>286</v>
      </c>
      <c r="C26" s="3" t="s">
        <v>109</v>
      </c>
      <c r="D26" s="3" t="s">
        <v>134</v>
      </c>
      <c r="E26" s="3"/>
      <c r="F26" s="3" t="s">
        <v>146</v>
      </c>
      <c r="G26" s="3" t="s">
        <v>17</v>
      </c>
      <c r="H26" s="3" t="s">
        <v>183</v>
      </c>
      <c r="I26" s="3" t="s">
        <v>344</v>
      </c>
      <c r="J26" s="6" t="s">
        <v>70</v>
      </c>
      <c r="K26" s="6" t="s">
        <v>355</v>
      </c>
      <c r="L26" s="6" t="str">
        <f t="shared" si="0"/>
        <v>insert into CHB_DATACHECK_RULE_INV values ('884807E5-DF8A-D920-F050-107F010077FD','FinPlanAssetC002','isNumber2','bussRepAssetMngProdInfo.repMaxRate','','8,5','Y','预期最高收益率%以百分数形式表示时必须为n（8,5）格式','D','com.joyintech.tams.invest.common.ChbBaseCheckLib');</v>
      </c>
    </row>
    <row r="27" spans="1:12" x14ac:dyDescent="0.15">
      <c r="A27" s="3" t="s">
        <v>275</v>
      </c>
      <c r="B27" s="3" t="s">
        <v>286</v>
      </c>
      <c r="C27" s="3" t="s">
        <v>116</v>
      </c>
      <c r="D27" s="3" t="s">
        <v>134</v>
      </c>
      <c r="E27" s="3" t="s">
        <v>117</v>
      </c>
      <c r="F27" s="3" t="s">
        <v>16</v>
      </c>
      <c r="G27" s="3" t="s">
        <v>17</v>
      </c>
      <c r="H27" s="3" t="s">
        <v>184</v>
      </c>
      <c r="I27" s="3" t="s">
        <v>344</v>
      </c>
      <c r="J27" s="6" t="s">
        <v>70</v>
      </c>
      <c r="K27" s="6" t="s">
        <v>355</v>
      </c>
      <c r="L27" s="6" t="str">
        <f t="shared" si="0"/>
        <v>insert into CHB_DATACHECK_RULE_INV values ('884807E5-DF8B-D920-F050-007F010077FD','FinPlanAssetC002','compareValueAsNumber','bussRepAssetMngProdInfo.repMaxRate','&gt;=','0','Y','预期最高收益率%必须大于等于0','D','com.joyintech.tams.invest.common.ChbBaseCheckLib');</v>
      </c>
    </row>
    <row r="28" spans="1:12" x14ac:dyDescent="0.15">
      <c r="A28" s="3" t="s">
        <v>250</v>
      </c>
      <c r="B28" s="3" t="s">
        <v>286</v>
      </c>
      <c r="C28" s="3" t="s">
        <v>109</v>
      </c>
      <c r="D28" s="3" t="s">
        <v>145</v>
      </c>
      <c r="E28" s="3" t="s">
        <v>9</v>
      </c>
      <c r="F28" s="3" t="s">
        <v>146</v>
      </c>
      <c r="G28" s="3" t="s">
        <v>17</v>
      </c>
      <c r="H28" s="3" t="s">
        <v>147</v>
      </c>
      <c r="I28" s="3" t="s">
        <v>344</v>
      </c>
      <c r="J28" s="6" t="s">
        <v>75</v>
      </c>
      <c r="K28" s="6" t="s">
        <v>355</v>
      </c>
      <c r="L28" s="6" t="str">
        <f t="shared" si="0"/>
        <v>insert into CHB_DATACHECK_RULE_INV values ('884807E5-DF93-D920-F050-007F010077FD','FinPlanAssetC002','isNumber2','bussRepAssetMngProdInfo.repMgrFeeRate','==','8,5','Y','管理费率%以百分数形式表示时必须为n（8,5）格式','D','com.joyintech.tams.invest.common.ChbBaseCheckLib');</v>
      </c>
    </row>
    <row r="29" spans="1:12" x14ac:dyDescent="0.15">
      <c r="A29" s="3" t="s">
        <v>251</v>
      </c>
      <c r="B29" s="3" t="s">
        <v>286</v>
      </c>
      <c r="C29" s="3" t="s">
        <v>12</v>
      </c>
      <c r="D29" s="3" t="s">
        <v>145</v>
      </c>
      <c r="E29" s="3"/>
      <c r="F29" s="3"/>
      <c r="G29" s="3" t="s">
        <v>17</v>
      </c>
      <c r="H29" s="3" t="s">
        <v>148</v>
      </c>
      <c r="I29" s="3" t="s">
        <v>344</v>
      </c>
      <c r="J29" s="6" t="s">
        <v>75</v>
      </c>
      <c r="K29" s="6" t="s">
        <v>355</v>
      </c>
      <c r="L29" s="6" t="str">
        <f t="shared" si="0"/>
        <v>insert into CHB_DATACHECK_RULE_INV values ('884807E5-DF93-D920-F050-107F030077FD','FinPlanAssetC002','isNotEmpty','bussRepAssetMngProdInfo.repMgrFeeRate','','','Y','管理费率%要素不可为空','D','com.joyintech.tams.invest.common.ChbBaseCheckLib');</v>
      </c>
    </row>
    <row r="30" spans="1:12" x14ac:dyDescent="0.15">
      <c r="A30" s="3" t="s">
        <v>276</v>
      </c>
      <c r="B30" s="3" t="s">
        <v>286</v>
      </c>
      <c r="C30" s="3" t="s">
        <v>116</v>
      </c>
      <c r="D30" s="3" t="s">
        <v>145</v>
      </c>
      <c r="E30" s="3" t="s">
        <v>117</v>
      </c>
      <c r="F30" s="3" t="s">
        <v>16</v>
      </c>
      <c r="G30" s="3" t="s">
        <v>17</v>
      </c>
      <c r="H30" s="3" t="s">
        <v>188</v>
      </c>
      <c r="I30" s="3" t="s">
        <v>344</v>
      </c>
      <c r="J30" s="6" t="s">
        <v>75</v>
      </c>
      <c r="K30" s="6" t="s">
        <v>355</v>
      </c>
      <c r="L30" s="6" t="str">
        <f t="shared" si="0"/>
        <v>insert into CHB_DATACHECK_RULE_INV values ('884807E5-DF94-D920-F050-007F010077FD','FinPlanAssetC002','compareValueAsNumber','bussRepAssetMngProdInfo.repMgrFeeRate','&gt;=','0','Y','管理费率%必须大于等于0。','D','com.joyintech.tams.invest.common.ChbBaseCheckLib');</v>
      </c>
    </row>
    <row r="31" spans="1:12" x14ac:dyDescent="0.15">
      <c r="A31" s="3" t="s">
        <v>260</v>
      </c>
      <c r="B31" s="3" t="s">
        <v>286</v>
      </c>
      <c r="C31" s="3" t="s">
        <v>13</v>
      </c>
      <c r="D31" s="3" t="s">
        <v>137</v>
      </c>
      <c r="E31" s="3" t="s">
        <v>9</v>
      </c>
      <c r="F31" s="3" t="s">
        <v>16</v>
      </c>
      <c r="G31" s="3" t="s">
        <v>17</v>
      </c>
      <c r="H31" s="3" t="s">
        <v>138</v>
      </c>
      <c r="I31" s="3" t="s">
        <v>344</v>
      </c>
      <c r="J31" s="6" t="s">
        <v>71</v>
      </c>
      <c r="K31" s="6" t="s">
        <v>355</v>
      </c>
      <c r="L31" s="6" t="str">
        <f t="shared" si="0"/>
        <v>insert into CHB_DATACHECK_RULE_INV values ('884807E5-DF8F-D920-F050-007F010077FD','FinPlanAssetC002','lessThanCharLength','bussRepAssetMngProdInfo.repMinRate','==','0','Y','预期最低收益率%要素必须为空','D','com.joyintech.tams.invest.common.ChbBaseCheckLib');</v>
      </c>
    </row>
    <row r="32" spans="1:12" x14ac:dyDescent="0.15">
      <c r="A32" s="3" t="s">
        <v>277</v>
      </c>
      <c r="B32" s="3" t="s">
        <v>286</v>
      </c>
      <c r="C32" s="3" t="s">
        <v>109</v>
      </c>
      <c r="D32" s="3" t="s">
        <v>137</v>
      </c>
      <c r="E32" s="3" t="s">
        <v>9</v>
      </c>
      <c r="F32" s="3" t="s">
        <v>146</v>
      </c>
      <c r="G32" s="3" t="s">
        <v>17</v>
      </c>
      <c r="H32" s="3" t="s">
        <v>185</v>
      </c>
      <c r="I32" s="3" t="s">
        <v>344</v>
      </c>
      <c r="J32" s="6" t="s">
        <v>71</v>
      </c>
      <c r="K32" s="6" t="s">
        <v>355</v>
      </c>
      <c r="L32" s="6" t="str">
        <f t="shared" si="0"/>
        <v>insert into CHB_DATACHECK_RULE_INV values ('884807E5-DF8D-D920-F050-007F010077FD','FinPlanAssetC002','isNumber2','bussRepAssetMngProdInfo.repMinRate','==','8,5','Y','预期最低收益率%以百分数形式表示时必须为n(8,5)格式','D','com.joyintech.tams.invest.common.ChbBaseCheckLib');</v>
      </c>
    </row>
    <row r="33" spans="1:12" x14ac:dyDescent="0.15">
      <c r="A33" s="3" t="s">
        <v>278</v>
      </c>
      <c r="B33" s="3" t="s">
        <v>286</v>
      </c>
      <c r="C33" s="3" t="s">
        <v>186</v>
      </c>
      <c r="D33" s="3" t="s">
        <v>137</v>
      </c>
      <c r="E33" s="3" t="s">
        <v>178</v>
      </c>
      <c r="F33" s="3" t="s">
        <v>214</v>
      </c>
      <c r="G33" s="3" t="s">
        <v>17</v>
      </c>
      <c r="H33" s="3" t="s">
        <v>187</v>
      </c>
      <c r="I33" s="3" t="s">
        <v>344</v>
      </c>
      <c r="J33" s="6" t="s">
        <v>71</v>
      </c>
      <c r="K33" s="6" t="s">
        <v>355</v>
      </c>
      <c r="L33" s="6" t="str">
        <f t="shared" si="0"/>
        <v>insert into CHB_DATACHECK_RULE_INV values ('884807E5-DF8E-D920-F050-007F010077FD','FinPlanAssetC002','comparePropertyAsNumber','bussRepAssetMngProdInfo.repMinRate','&lt;=','bussRepAssetMngProdInfo.repMaxRate','Y','预期最低收益率必须小于等于预期最高收益率','D','com.joyintech.tams.invest.common.ChbBaseCheckLib');</v>
      </c>
    </row>
    <row r="34" spans="1:12" x14ac:dyDescent="0.15">
      <c r="A34" s="3" t="s">
        <v>258</v>
      </c>
      <c r="B34" s="3" t="s">
        <v>286</v>
      </c>
      <c r="C34" s="3" t="s">
        <v>109</v>
      </c>
      <c r="D34" s="3" t="s">
        <v>158</v>
      </c>
      <c r="E34" s="3" t="s">
        <v>117</v>
      </c>
      <c r="F34" s="3" t="s">
        <v>146</v>
      </c>
      <c r="G34" s="3" t="s">
        <v>17</v>
      </c>
      <c r="H34" s="3" t="s">
        <v>159</v>
      </c>
      <c r="I34" s="3" t="s">
        <v>344</v>
      </c>
      <c r="J34" s="6" t="s">
        <v>79</v>
      </c>
      <c r="K34" s="6" t="s">
        <v>355</v>
      </c>
      <c r="L34" s="6" t="str">
        <f t="shared" si="0"/>
        <v>insert into CHB_DATACHECK_RULE_INV values ('884807E5-DF9B-D920-F050-007F010077FD','FinPlanAssetC002','isNumber2','bussRepAssetMngProdInfo.repOtherFeeRate','&gt;=','8,5','Y','其他合计费率%以百分数形式表示时必须为n（8,5）格式','D','com.joyintech.tams.invest.common.ChbBaseCheckLib');</v>
      </c>
    </row>
    <row r="35" spans="1:12" x14ac:dyDescent="0.15">
      <c r="A35" s="3" t="s">
        <v>259</v>
      </c>
      <c r="B35" s="3" t="s">
        <v>286</v>
      </c>
      <c r="C35" s="3" t="s">
        <v>12</v>
      </c>
      <c r="D35" s="3" t="s">
        <v>158</v>
      </c>
      <c r="E35" s="3"/>
      <c r="F35" s="3"/>
      <c r="G35" s="3" t="s">
        <v>15</v>
      </c>
      <c r="H35" s="3" t="s">
        <v>212</v>
      </c>
      <c r="I35" s="3" t="s">
        <v>344</v>
      </c>
      <c r="J35" s="6" t="s">
        <v>79</v>
      </c>
      <c r="K35" s="6" t="s">
        <v>355</v>
      </c>
      <c r="L35" s="6" t="str">
        <f t="shared" si="0"/>
        <v>insert into CHB_DATACHECK_RULE_INV values ('884807E5-DF9B-D920-F050-107F010077FD','FinPlanAssetC002','isNotEmpty','bussRepAssetMngProdInfo.repOtherFeeRate','','','N','其他合计费率%要素不可为空','D','com.joyintech.tams.invest.common.ChbBaseCheckLib');</v>
      </c>
    </row>
    <row r="36" spans="1:12" x14ac:dyDescent="0.15">
      <c r="A36" s="3" t="s">
        <v>279</v>
      </c>
      <c r="B36" s="3" t="s">
        <v>286</v>
      </c>
      <c r="C36" s="3" t="s">
        <v>116</v>
      </c>
      <c r="D36" s="3" t="s">
        <v>158</v>
      </c>
      <c r="E36" s="3" t="s">
        <v>117</v>
      </c>
      <c r="F36" s="3" t="s">
        <v>16</v>
      </c>
      <c r="G36" s="3" t="s">
        <v>17</v>
      </c>
      <c r="H36" s="3" t="s">
        <v>191</v>
      </c>
      <c r="I36" s="3" t="s">
        <v>344</v>
      </c>
      <c r="J36" s="6" t="s">
        <v>79</v>
      </c>
      <c r="K36" s="6" t="s">
        <v>355</v>
      </c>
      <c r="L36" s="6" t="str">
        <f t="shared" si="0"/>
        <v>insert into CHB_DATACHECK_RULE_INV values ('884807E5-DF9C-D920-F050-007F010077FD','FinPlanAssetC002','compareValueAsNumber','bussRepAssetMngProdInfo.repOtherFeeRate','&gt;=','0','Y','其他合计费率%必须大于等于0。','D','com.joyintech.tams.invest.common.ChbBaseCheckLib');</v>
      </c>
    </row>
    <row r="37" spans="1:12" x14ac:dyDescent="0.15">
      <c r="A37" s="3" t="s">
        <v>236</v>
      </c>
      <c r="B37" s="3" t="s">
        <v>286</v>
      </c>
      <c r="C37" s="3" t="s">
        <v>12</v>
      </c>
      <c r="D37" s="3" t="s">
        <v>113</v>
      </c>
      <c r="E37" s="3"/>
      <c r="F37" s="3"/>
      <c r="G37" s="3" t="s">
        <v>15</v>
      </c>
      <c r="H37" s="3" t="s">
        <v>114</v>
      </c>
      <c r="I37" s="3" t="s">
        <v>347</v>
      </c>
      <c r="J37" s="6" t="s">
        <v>62</v>
      </c>
      <c r="K37" s="6" t="s">
        <v>355</v>
      </c>
      <c r="L37" s="6" t="str">
        <f t="shared" si="0"/>
        <v>insert into CHB_DATACHECK_RULE_INV values ('884807E5-DF7C-D920-F050-007F010077FD','FinPlanAssetC002','isNotEmpty','bussRepAssetMngProdInfo.repPartyCode','','','N','资管计划发起人机构编码要素不可为空。','D','com.joyintech.tams.invest.common.ChbBaseCheckLib');</v>
      </c>
    </row>
    <row r="38" spans="1:12" x14ac:dyDescent="0.15">
      <c r="A38" s="3" t="s">
        <v>280</v>
      </c>
      <c r="B38" s="3" t="s">
        <v>286</v>
      </c>
      <c r="C38" s="3" t="s">
        <v>11</v>
      </c>
      <c r="D38" s="3" t="s">
        <v>113</v>
      </c>
      <c r="E38" s="3"/>
      <c r="F38" s="3" t="s">
        <v>18</v>
      </c>
      <c r="G38" s="3" t="s">
        <v>17</v>
      </c>
      <c r="H38" s="3" t="s">
        <v>170</v>
      </c>
      <c r="I38" s="3" t="s">
        <v>10</v>
      </c>
      <c r="J38" s="6" t="s">
        <v>62</v>
      </c>
      <c r="K38" s="6" t="s">
        <v>355</v>
      </c>
      <c r="L38" s="6" t="str">
        <f t="shared" si="0"/>
        <v>insert into CHB_DATACHECK_RULE_INV values ('123E4A49-6810-5A9E-F050-007F01006A51','FinPlanAssetC002','isCustomizedString','bussRepAssetMngProdInfo.repParty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管计划发起人机构编码必须填写白名单中的文字。','E','com.joyintech.tams.invest.common.ChbBaseCheckLib');</v>
      </c>
    </row>
    <row r="39" spans="1:12" x14ac:dyDescent="0.15">
      <c r="A39" s="3" t="s">
        <v>357</v>
      </c>
      <c r="B39" s="3" t="s">
        <v>286</v>
      </c>
      <c r="C39" s="3" t="s">
        <v>13</v>
      </c>
      <c r="D39" s="3" t="s">
        <v>358</v>
      </c>
      <c r="E39" s="3" t="s">
        <v>9</v>
      </c>
      <c r="F39" s="3" t="s">
        <v>176</v>
      </c>
      <c r="G39" s="3" t="s">
        <v>17</v>
      </c>
      <c r="H39" s="3" t="s">
        <v>210</v>
      </c>
      <c r="I39" s="3" t="s">
        <v>356</v>
      </c>
      <c r="J39" s="6" t="s">
        <v>62</v>
      </c>
      <c r="K39" s="6" t="s">
        <v>355</v>
      </c>
      <c r="L39" s="6" t="str">
        <f t="shared" si="0"/>
        <v>insert into CHB_DATACHECK_RULE_INV values ('884807E5-DF7C-D920-F050-107F010077FD','FinPlanAssetC002','lessThanCharLength','bussRepAssetMngProdInfo.repPartyCode','==','33','Y','资管计划发起人机构编码过长','E','com.joyintech.tams.invest.common.ChbBaseCheckLib');</v>
      </c>
    </row>
    <row r="40" spans="1:12" x14ac:dyDescent="0.15">
      <c r="A40" s="3" t="s">
        <v>281</v>
      </c>
      <c r="B40" s="3" t="s">
        <v>286</v>
      </c>
      <c r="C40" s="3" t="s">
        <v>14</v>
      </c>
      <c r="D40" s="3" t="s">
        <v>29</v>
      </c>
      <c r="E40" s="3" t="s">
        <v>9</v>
      </c>
      <c r="F40" s="3" t="s">
        <v>25</v>
      </c>
      <c r="G40" s="3" t="s">
        <v>17</v>
      </c>
      <c r="H40" s="3" t="s">
        <v>169</v>
      </c>
      <c r="I40" s="3" t="s">
        <v>344</v>
      </c>
      <c r="J40" s="6" t="s">
        <v>83</v>
      </c>
      <c r="K40" s="6" t="s">
        <v>355</v>
      </c>
      <c r="L40" s="6" t="str">
        <f t="shared" si="0"/>
        <v>insert into CHB_DATACHECK_RULE_INV values ('003E4A49-6810-5A9E-F050-007F01026A56','FinPlanAssetC002','inDatadict','bussRepAssetMngProdInfo.repPppflag','==','SVR_YES_OR_NO','Y','公共PPP不在值域范围内。','D','com.joyintech.tams.invest.common.ChbBaseCheckLib');</v>
      </c>
    </row>
    <row r="41" spans="1:12" x14ac:dyDescent="0.15">
      <c r="A41" s="3" t="s">
        <v>244</v>
      </c>
      <c r="B41" s="3" t="s">
        <v>286</v>
      </c>
      <c r="C41" s="3" t="s">
        <v>12</v>
      </c>
      <c r="D41" s="3" t="s">
        <v>129</v>
      </c>
      <c r="E41" s="3"/>
      <c r="F41" s="3"/>
      <c r="G41" s="3" t="s">
        <v>15</v>
      </c>
      <c r="H41" s="3" t="s">
        <v>130</v>
      </c>
      <c r="I41" s="3" t="s">
        <v>347</v>
      </c>
      <c r="J41" s="6" t="s">
        <v>68</v>
      </c>
      <c r="K41" s="6" t="s">
        <v>355</v>
      </c>
      <c r="L41" s="6" t="str">
        <f t="shared" si="0"/>
        <v>insert into CHB_DATACHECK_RULE_INV values ('884807E5-DF88-D920-F050-007F010077FD','FinPlanAssetC002','isNotEmpty','bussRepAssetMngProdInfo.repPlanProp','','','N','资管计划属性要素不可为空','D','com.joyintech.tams.invest.common.ChbBaseCheckLib');</v>
      </c>
    </row>
    <row r="42" spans="1:12" x14ac:dyDescent="0.15">
      <c r="A42" s="3" t="s">
        <v>245</v>
      </c>
      <c r="B42" s="3" t="s">
        <v>286</v>
      </c>
      <c r="C42" s="3" t="s">
        <v>14</v>
      </c>
      <c r="D42" s="3" t="s">
        <v>129</v>
      </c>
      <c r="E42" s="3"/>
      <c r="F42" s="3" t="s">
        <v>131</v>
      </c>
      <c r="G42" s="3" t="s">
        <v>17</v>
      </c>
      <c r="H42" s="3" t="s">
        <v>132</v>
      </c>
      <c r="I42" s="3" t="s">
        <v>344</v>
      </c>
      <c r="J42" s="6" t="s">
        <v>68</v>
      </c>
      <c r="K42" s="6" t="s">
        <v>355</v>
      </c>
      <c r="L42" s="6" t="str">
        <f t="shared" si="0"/>
        <v>insert into CHB_DATACHECK_RULE_INV values ('884807E5-DF88-D920-F050-207F010877FD','FinPlanAssetC002','inDatadict','bussRepAssetMngProdInfo.repPlanProp','','SVR_PRO_PROPERTY','Y','资管计划属性不在值域范围内','D','com.joyintech.tams.invest.common.ChbBaseCheckLib');</v>
      </c>
    </row>
    <row r="43" spans="1:12" x14ac:dyDescent="0.15">
      <c r="A43" s="3" t="s">
        <v>246</v>
      </c>
      <c r="B43" s="3" t="s">
        <v>286</v>
      </c>
      <c r="C43" s="3" t="s">
        <v>12</v>
      </c>
      <c r="D43" s="3" t="s">
        <v>107</v>
      </c>
      <c r="E43" s="3"/>
      <c r="F43" s="3"/>
      <c r="G43" s="3" t="s">
        <v>15</v>
      </c>
      <c r="H43" s="3" t="s">
        <v>108</v>
      </c>
      <c r="I43" s="3" t="s">
        <v>344</v>
      </c>
      <c r="J43" s="6" t="s">
        <v>69</v>
      </c>
      <c r="K43" s="6" t="s">
        <v>355</v>
      </c>
      <c r="L43" s="6" t="str">
        <f t="shared" si="0"/>
        <v>insert into CHB_DATACHECK_RULE_INV values ('884807E5-DF89-D920-F050-007F010077FD','FinPlanAssetC002','isNotEmpty','bussRepAssetMngProdInfo.repYieldFlag','','','N','是否有预期收益率不可为空','D','com.joyintech.tams.invest.common.ChbBaseCheckLib');</v>
      </c>
    </row>
    <row r="44" spans="1:12" x14ac:dyDescent="0.15">
      <c r="A44" s="3" t="s">
        <v>247</v>
      </c>
      <c r="B44" s="3" t="s">
        <v>286</v>
      </c>
      <c r="C44" s="3" t="s">
        <v>314</v>
      </c>
      <c r="D44" s="3" t="s">
        <v>107</v>
      </c>
      <c r="E44" s="3" t="s">
        <v>9</v>
      </c>
      <c r="F44" s="3" t="s">
        <v>315</v>
      </c>
      <c r="G44" s="3" t="s">
        <v>17</v>
      </c>
      <c r="H44" s="3" t="s">
        <v>133</v>
      </c>
      <c r="I44" s="3" t="s">
        <v>344</v>
      </c>
      <c r="J44" s="6" t="s">
        <v>69</v>
      </c>
      <c r="K44" s="6" t="s">
        <v>355</v>
      </c>
      <c r="L44" s="6" t="str">
        <f t="shared" si="0"/>
        <v>insert into CHB_DATACHECK_RULE_INV values ('884807E5-DF89-D920-F050-207F010077FD','FinPlanAssetC002','inArray','bussRepAssetMngProdInfo.repYieldFlag','==','N,01','Y','是否有预期收益率不在值域范围内','D','com.joyintech.tams.invest.common.ChbBaseCheckLib');</v>
      </c>
    </row>
    <row r="45" spans="1:12" s="16" customFormat="1" x14ac:dyDescent="0.15">
      <c r="A45" s="14" t="s">
        <v>359</v>
      </c>
      <c r="B45" s="3" t="s">
        <v>286</v>
      </c>
      <c r="C45" s="14" t="s">
        <v>12</v>
      </c>
      <c r="D45" s="14" t="s">
        <v>6</v>
      </c>
      <c r="E45" s="14"/>
      <c r="F45" s="14" t="s">
        <v>16</v>
      </c>
      <c r="G45" s="14" t="s">
        <v>15</v>
      </c>
      <c r="H45" s="14" t="s">
        <v>19</v>
      </c>
      <c r="I45" s="14" t="s">
        <v>10</v>
      </c>
      <c r="J45" s="15" t="s">
        <v>87</v>
      </c>
      <c r="K45" s="6" t="s">
        <v>355</v>
      </c>
      <c r="L45" s="6" t="str">
        <f t="shared" si="0"/>
        <v>insert into CHB_DATACHECK_RULE_INV values ('884807E5-DF9D-D920-F050-007F010077FD','FinPlanAssetC002','isNotEmpty','bussRepAssetMngProdInfo.repRemark','','0','N','备注要素不可为空','E','com.joyintech.tams.invest.common.ChbBaseCheckLib');</v>
      </c>
    </row>
    <row r="46" spans="1:12" s="16" customFormat="1" x14ac:dyDescent="0.15">
      <c r="A46" s="14" t="s">
        <v>303</v>
      </c>
      <c r="B46" s="3" t="s">
        <v>286</v>
      </c>
      <c r="C46" s="14" t="s">
        <v>12</v>
      </c>
      <c r="D46" s="14" t="s">
        <v>6</v>
      </c>
      <c r="E46" s="14"/>
      <c r="F46" s="14"/>
      <c r="G46" s="14" t="s">
        <v>15</v>
      </c>
      <c r="H46" s="14" t="s">
        <v>160</v>
      </c>
      <c r="I46" s="14" t="s">
        <v>10</v>
      </c>
      <c r="J46" s="15" t="s">
        <v>87</v>
      </c>
      <c r="K46" s="6" t="s">
        <v>355</v>
      </c>
      <c r="L46" s="6" t="str">
        <f t="shared" si="0"/>
        <v>insert into CHB_DATACHECK_RULE_INV values ('884807E5-DF9E-D920-F050-007F010077FD','FinPlanAssetC002','isNotEmpty','bussRepAssetMngProdInfo.repRemark','','','N','管理费率计算公式需要在备注中说明。','E','com.joyintech.tams.invest.common.ChbBaseCheckLib');</v>
      </c>
    </row>
    <row r="47" spans="1:12" s="16" customFormat="1" x14ac:dyDescent="0.15">
      <c r="A47" s="14" t="s">
        <v>305</v>
      </c>
      <c r="B47" s="3" t="s">
        <v>286</v>
      </c>
      <c r="C47" s="14" t="s">
        <v>12</v>
      </c>
      <c r="D47" s="14" t="s">
        <v>6</v>
      </c>
      <c r="E47" s="14"/>
      <c r="F47" s="14"/>
      <c r="G47" s="14" t="s">
        <v>15</v>
      </c>
      <c r="H47" s="14" t="s">
        <v>161</v>
      </c>
      <c r="I47" s="14" t="s">
        <v>10</v>
      </c>
      <c r="J47" s="15" t="s">
        <v>87</v>
      </c>
      <c r="K47" s="6" t="s">
        <v>355</v>
      </c>
      <c r="L47" s="6" t="str">
        <f t="shared" si="0"/>
        <v>insert into CHB_DATACHECK_RULE_INV values ('884807E5-DF9F-D920-F050-007F010077FD','FinPlanAssetC002','isNotEmpty','bussRepAssetMngProdInfo.repRemark','','','N','托管费率计算公式需要在备注中说明。','E','com.joyintech.tams.invest.common.ChbBaseCheckLib');</v>
      </c>
    </row>
    <row r="48" spans="1:12" s="16" customFormat="1" x14ac:dyDescent="0.15">
      <c r="A48" s="14" t="s">
        <v>301</v>
      </c>
      <c r="B48" s="3" t="s">
        <v>286</v>
      </c>
      <c r="C48" s="14" t="s">
        <v>12</v>
      </c>
      <c r="D48" s="14" t="s">
        <v>6</v>
      </c>
      <c r="E48" s="14"/>
      <c r="F48" s="14"/>
      <c r="G48" s="14" t="s">
        <v>15</v>
      </c>
      <c r="H48" s="14" t="s">
        <v>162</v>
      </c>
      <c r="I48" s="14" t="s">
        <v>10</v>
      </c>
      <c r="J48" s="15" t="s">
        <v>87</v>
      </c>
      <c r="K48" s="6" t="s">
        <v>355</v>
      </c>
      <c r="L48" s="6" t="str">
        <f t="shared" si="0"/>
        <v>insert into CHB_DATACHECK_RULE_INV values ('884807E5-DFA0-D920-F050-007F010077FD','FinPlanAssetC002','isNotEmpty','bussRepAssetMngProdInfo.repRemark','','','N','交易相关合计费率计算公式需要在备注中说明','E','com.joyintech.tams.invest.common.ChbBaseCheckLib');</v>
      </c>
    </row>
    <row r="49" spans="1:12" s="16" customFormat="1" x14ac:dyDescent="0.15">
      <c r="A49" s="14" t="s">
        <v>308</v>
      </c>
      <c r="B49" s="3" t="s">
        <v>286</v>
      </c>
      <c r="C49" s="14" t="s">
        <v>12</v>
      </c>
      <c r="D49" s="14" t="s">
        <v>6</v>
      </c>
      <c r="E49" s="14"/>
      <c r="F49" s="14"/>
      <c r="G49" s="14" t="s">
        <v>15</v>
      </c>
      <c r="H49" s="14" t="s">
        <v>163</v>
      </c>
      <c r="I49" s="14" t="s">
        <v>10</v>
      </c>
      <c r="J49" s="15" t="s">
        <v>87</v>
      </c>
      <c r="K49" s="6" t="s">
        <v>355</v>
      </c>
      <c r="L49" s="6" t="str">
        <f t="shared" si="0"/>
        <v>insert into CHB_DATACHECK_RULE_INV values ('884807E5-DFA1-D920-F050-007F010077FD','FinPlanAssetC002','isNotEmpty','bussRepAssetMngProdInfo.repRemark','','','N','中介服务机构合计费率计算公式需要在备注中说明。','E','com.joyintech.tams.invest.common.ChbBaseCheckLib');</v>
      </c>
    </row>
    <row r="50" spans="1:12" s="16" customFormat="1" x14ac:dyDescent="0.15">
      <c r="A50" s="14" t="s">
        <v>306</v>
      </c>
      <c r="B50" s="3" t="s">
        <v>286</v>
      </c>
      <c r="C50" s="14" t="s">
        <v>12</v>
      </c>
      <c r="D50" s="14" t="s">
        <v>6</v>
      </c>
      <c r="E50" s="14"/>
      <c r="F50" s="14"/>
      <c r="G50" s="14" t="s">
        <v>15</v>
      </c>
      <c r="H50" s="14" t="s">
        <v>164</v>
      </c>
      <c r="I50" s="14" t="s">
        <v>10</v>
      </c>
      <c r="J50" s="15" t="s">
        <v>87</v>
      </c>
      <c r="K50" s="6" t="s">
        <v>355</v>
      </c>
      <c r="L50" s="6" t="str">
        <f t="shared" si="0"/>
        <v>insert into CHB_DATACHECK_RULE_INV values ('884807E5-DFA2-D920-F050-007F010077FD','FinPlanAssetC002','isNotEmpty','bussRepAssetMngProdInfo.repRemark','','','N','其他合计费率计算公式需要在备注中说明。','E','com.joyintech.tams.invest.common.ChbBaseCheckLib');</v>
      </c>
    </row>
    <row r="51" spans="1:12" s="16" customFormat="1" x14ac:dyDescent="0.15">
      <c r="A51" s="14" t="s">
        <v>282</v>
      </c>
      <c r="B51" s="3" t="s">
        <v>286</v>
      </c>
      <c r="C51" s="14" t="s">
        <v>13</v>
      </c>
      <c r="D51" s="14" t="s">
        <v>6</v>
      </c>
      <c r="E51" s="14"/>
      <c r="F51" s="14" t="s">
        <v>20</v>
      </c>
      <c r="G51" s="14" t="s">
        <v>17</v>
      </c>
      <c r="H51" s="14" t="s">
        <v>21</v>
      </c>
      <c r="I51" s="14" t="s">
        <v>10</v>
      </c>
      <c r="J51" s="15" t="s">
        <v>87</v>
      </c>
      <c r="K51" s="6" t="s">
        <v>355</v>
      </c>
      <c r="L51" s="6" t="str">
        <f t="shared" si="0"/>
        <v>insert into CHB_DATACHECK_RULE_INV values ('003E4A49-6810-5A9E-F050-007F01006A85','FinPlanAssetC002','lessThanCharLength','bussRepAssetMngProdInfo.repRemark','','257','Y','备注不能超过256字符','E','com.joyintech.tams.invest.common.ChbBaseCheckLib');</v>
      </c>
    </row>
    <row r="52" spans="1:12" s="16" customFormat="1" x14ac:dyDescent="0.15">
      <c r="A52" s="14" t="s">
        <v>283</v>
      </c>
      <c r="B52" s="3" t="s">
        <v>286</v>
      </c>
      <c r="C52" s="14" t="s">
        <v>11</v>
      </c>
      <c r="D52" s="14" t="s">
        <v>6</v>
      </c>
      <c r="E52" s="14"/>
      <c r="F52" s="14" t="s">
        <v>18</v>
      </c>
      <c r="G52" s="14" t="s">
        <v>17</v>
      </c>
      <c r="H52" s="14" t="s">
        <v>22</v>
      </c>
      <c r="I52" s="14" t="s">
        <v>10</v>
      </c>
      <c r="J52" s="15" t="s">
        <v>87</v>
      </c>
      <c r="K52" s="6" t="s">
        <v>355</v>
      </c>
      <c r="L52" s="6" t="str">
        <f t="shared" si="0"/>
        <v>insert into CHB_DATACHECK_RULE_INV values ('123E4A49-6810-5A9E-F050-007F01006A15','FinPlanAssetC002','isCustomizedString','bussRepAssetMngProdInf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53" spans="1:12" s="16" customFormat="1" x14ac:dyDescent="0.15">
      <c r="A53" s="14" t="s">
        <v>254</v>
      </c>
      <c r="B53" s="3" t="s">
        <v>286</v>
      </c>
      <c r="C53" s="14" t="s">
        <v>109</v>
      </c>
      <c r="D53" s="14" t="s">
        <v>152</v>
      </c>
      <c r="E53" s="14"/>
      <c r="F53" s="14" t="s">
        <v>146</v>
      </c>
      <c r="G53" s="14" t="s">
        <v>17</v>
      </c>
      <c r="H53" s="14" t="s">
        <v>153</v>
      </c>
      <c r="I53" s="14" t="s">
        <v>343</v>
      </c>
      <c r="J53" s="15" t="s">
        <v>77</v>
      </c>
      <c r="K53" s="6" t="s">
        <v>355</v>
      </c>
      <c r="L53" s="6" t="str">
        <f t="shared" si="0"/>
        <v>insert into CHB_DATACHECK_RULE_INV values ('884807E5-DF97-D920-F050-007F010077FD','FinPlanAssetC002','isNumber2','bussRepAssetMngProdInfo.repTradeFeeRate','','8,5','Y','交易相关合计费率%以百分数形式表示时必须为n（8,5）格式','D','com.joyintech.tams.invest.common.ChbBaseCheckLib');</v>
      </c>
    </row>
    <row r="54" spans="1:12" s="16" customFormat="1" x14ac:dyDescent="0.15">
      <c r="A54" s="14" t="s">
        <v>255</v>
      </c>
      <c r="B54" s="3" t="s">
        <v>286</v>
      </c>
      <c r="C54" s="14" t="s">
        <v>12</v>
      </c>
      <c r="D54" s="14" t="s">
        <v>152</v>
      </c>
      <c r="E54" s="14"/>
      <c r="F54" s="14"/>
      <c r="G54" s="14" t="s">
        <v>15</v>
      </c>
      <c r="H54" s="14" t="s">
        <v>154</v>
      </c>
      <c r="I54" s="14" t="s">
        <v>347</v>
      </c>
      <c r="J54" s="15" t="s">
        <v>77</v>
      </c>
      <c r="K54" s="6" t="s">
        <v>355</v>
      </c>
      <c r="L54" s="6" t="str">
        <f t="shared" si="0"/>
        <v>insert into CHB_DATACHECK_RULE_INV values ('884807E5-DF97-D920-F050-107F010077FD','FinPlanAssetC002','isNotEmpty','bussRepAssetMngProdInfo.repTradeFeeRate','','','N','交易相关合计费率%要素不可为空','D','com.joyintech.tams.invest.common.ChbBaseCheckLib');</v>
      </c>
    </row>
    <row r="55" spans="1:12" s="16" customFormat="1" x14ac:dyDescent="0.15">
      <c r="A55" s="14" t="s">
        <v>284</v>
      </c>
      <c r="B55" s="3" t="s">
        <v>286</v>
      </c>
      <c r="C55" s="14" t="s">
        <v>116</v>
      </c>
      <c r="D55" s="14" t="s">
        <v>152</v>
      </c>
      <c r="E55" s="14" t="s">
        <v>117</v>
      </c>
      <c r="F55" s="14" t="s">
        <v>16</v>
      </c>
      <c r="G55" s="14" t="s">
        <v>17</v>
      </c>
      <c r="H55" s="14" t="s">
        <v>190</v>
      </c>
      <c r="I55" s="14" t="s">
        <v>343</v>
      </c>
      <c r="J55" s="15" t="s">
        <v>77</v>
      </c>
      <c r="K55" s="6" t="s">
        <v>355</v>
      </c>
      <c r="L55" s="6" t="str">
        <f t="shared" si="0"/>
        <v>insert into CHB_DATACHECK_RULE_INV values ('884807E5-DF98-D924-F050-007F010077FD','FinPlanAssetC002','compareValueAsNumber','bussRepAssetMngProdInfo.repTradeFeeRate','&gt;=','0','Y','交易相关合计费率%必须大于等于0','D','com.joyintech.tams.invest.common.ChbBaseCheckLib');</v>
      </c>
    </row>
    <row r="56" spans="1:12" s="16" customFormat="1" x14ac:dyDescent="0.15">
      <c r="A56" s="14" t="s">
        <v>239</v>
      </c>
      <c r="B56" s="3" t="s">
        <v>286</v>
      </c>
      <c r="C56" s="14" t="s">
        <v>14</v>
      </c>
      <c r="D56" s="14" t="s">
        <v>119</v>
      </c>
      <c r="E56" s="14" t="s">
        <v>117</v>
      </c>
      <c r="F56" s="14" t="s">
        <v>120</v>
      </c>
      <c r="G56" s="14" t="s">
        <v>17</v>
      </c>
      <c r="H56" s="14" t="s">
        <v>121</v>
      </c>
      <c r="I56" s="14" t="s">
        <v>344</v>
      </c>
      <c r="J56" s="15" t="s">
        <v>64</v>
      </c>
      <c r="K56" s="6" t="s">
        <v>355</v>
      </c>
      <c r="L56" s="6" t="str">
        <f t="shared" si="0"/>
        <v>insert into CHB_DATACHECK_RULE_INV values ('884807E5-DF82-D920-F050-007F010077FD','FinPlanAssetC002','inDatadict','bussRepAssetMngProdInfo.repCapiInvest','&gt;=','SVR_TRU_ACT_TYPE','Y','资金实际投向不在值域范围内','D','com.joyintech.tams.invest.common.ChbBaseCheckLib');</v>
      </c>
    </row>
    <row r="57" spans="1:12" s="16" customFormat="1" x14ac:dyDescent="0.15">
      <c r="A57" s="14" t="s">
        <v>240</v>
      </c>
      <c r="B57" s="3" t="s">
        <v>286</v>
      </c>
      <c r="C57" s="14" t="s">
        <v>12</v>
      </c>
      <c r="D57" s="14" t="s">
        <v>119</v>
      </c>
      <c r="E57" s="14"/>
      <c r="F57" s="14"/>
      <c r="G57" s="14" t="s">
        <v>15</v>
      </c>
      <c r="H57" s="14" t="s">
        <v>122</v>
      </c>
      <c r="I57" s="14" t="s">
        <v>343</v>
      </c>
      <c r="J57" s="15" t="s">
        <v>64</v>
      </c>
      <c r="K57" s="6" t="s">
        <v>355</v>
      </c>
      <c r="L57" s="6" t="str">
        <f t="shared" si="0"/>
        <v>insert into CHB_DATACHECK_RULE_INV values ('884807E5-DF82-D920-F050-107F010077FD','FinPlanAssetC002','isNotEmpty','bussRepAssetMngProdInfo.repCapiInvest','','','N','资金实际投向要素不可为空','D','com.joyintech.tams.invest.common.ChbBaseCheckLib');</v>
      </c>
    </row>
    <row r="58" spans="1:12" s="16" customFormat="1" x14ac:dyDescent="0.15">
      <c r="A58" s="14" t="s">
        <v>241</v>
      </c>
      <c r="B58" s="3" t="s">
        <v>286</v>
      </c>
      <c r="C58" s="14" t="s">
        <v>123</v>
      </c>
      <c r="D58" s="14" t="s">
        <v>119</v>
      </c>
      <c r="E58" s="14" t="s">
        <v>9</v>
      </c>
      <c r="F58" s="14" t="s">
        <v>124</v>
      </c>
      <c r="G58" s="14" t="s">
        <v>17</v>
      </c>
      <c r="H58" s="14" t="s">
        <v>125</v>
      </c>
      <c r="I58" s="14" t="s">
        <v>10</v>
      </c>
      <c r="J58" s="15" t="s">
        <v>64</v>
      </c>
      <c r="K58" s="6" t="s">
        <v>355</v>
      </c>
      <c r="L58" s="6" t="str">
        <f t="shared" si="0"/>
        <v>insert into CHB_DATACHECK_RULE_INV values ('884807E5-DF82-D920-F050-207FD10077FD','FinPlanAssetC002','inArray','bussRepAssetMngProdInfo.repCapiInvest','==','20,21,22,23','Y','资金实际投向01至19选项为历史数据，不得修改或新增','E','com.joyintech.tams.invest.common.ChbBaseCheckLib');</v>
      </c>
    </row>
    <row r="59" spans="1:12" s="16" customFormat="1" x14ac:dyDescent="0.15">
      <c r="A59" s="14" t="s">
        <v>252</v>
      </c>
      <c r="B59" s="3" t="s">
        <v>286</v>
      </c>
      <c r="C59" s="14" t="s">
        <v>109</v>
      </c>
      <c r="D59" s="14" t="s">
        <v>149</v>
      </c>
      <c r="E59" s="14"/>
      <c r="F59" s="14" t="s">
        <v>146</v>
      </c>
      <c r="G59" s="14" t="s">
        <v>17</v>
      </c>
      <c r="H59" s="14" t="s">
        <v>150</v>
      </c>
      <c r="I59" s="14" t="s">
        <v>343</v>
      </c>
      <c r="J59" s="15" t="s">
        <v>76</v>
      </c>
      <c r="K59" s="6" t="s">
        <v>355</v>
      </c>
      <c r="L59" s="6" t="str">
        <f t="shared" si="0"/>
        <v>insert into CHB_DATACHECK_RULE_INV values ('884807E5-DF95-D920-F050-007F010077FD','FinPlanAssetC002','isNumber2','bussRepAssetMngProdInfo.repTruFeeRate','','8,5','Y','托管费率%以百分数形式表示时必须为n（8,5）格式','D','com.joyintech.tams.invest.common.ChbBaseCheckLib');</v>
      </c>
    </row>
    <row r="60" spans="1:12" s="16" customFormat="1" x14ac:dyDescent="0.15">
      <c r="A60" s="14" t="s">
        <v>253</v>
      </c>
      <c r="B60" s="3" t="s">
        <v>286</v>
      </c>
      <c r="C60" s="14" t="s">
        <v>12</v>
      </c>
      <c r="D60" s="14" t="s">
        <v>149</v>
      </c>
      <c r="E60" s="14"/>
      <c r="F60" s="14"/>
      <c r="G60" s="14" t="s">
        <v>15</v>
      </c>
      <c r="H60" s="14" t="s">
        <v>151</v>
      </c>
      <c r="I60" s="14" t="s">
        <v>343</v>
      </c>
      <c r="J60" s="15" t="s">
        <v>76</v>
      </c>
      <c r="K60" s="6" t="s">
        <v>355</v>
      </c>
      <c r="L60" s="6" t="str">
        <f t="shared" si="0"/>
        <v>insert into CHB_DATACHECK_RULE_INV values ('884807E5-DF95-D920-F050-107F710077FD','FinPlanAssetC002','isNotEmpty','bussRepAssetMngProdInfo.repTruFeeRate','','','N','托管费率%要素不可为空','D','com.joyintech.tams.invest.common.ChbBaseCheckLib');</v>
      </c>
    </row>
    <row r="61" spans="1:12" s="16" customFormat="1" x14ac:dyDescent="0.15">
      <c r="A61" s="14" t="s">
        <v>285</v>
      </c>
      <c r="B61" s="3" t="s">
        <v>286</v>
      </c>
      <c r="C61" s="14" t="s">
        <v>116</v>
      </c>
      <c r="D61" s="14" t="s">
        <v>149</v>
      </c>
      <c r="E61" s="14" t="s">
        <v>117</v>
      </c>
      <c r="F61" s="14" t="s">
        <v>16</v>
      </c>
      <c r="G61" s="14" t="s">
        <v>17</v>
      </c>
      <c r="H61" s="14" t="s">
        <v>189</v>
      </c>
      <c r="I61" s="14" t="s">
        <v>343</v>
      </c>
      <c r="J61" s="15" t="s">
        <v>76</v>
      </c>
      <c r="K61" s="6" t="s">
        <v>355</v>
      </c>
      <c r="L61" s="6" t="str">
        <f t="shared" si="0"/>
        <v>insert into CHB_DATACHECK_RULE_INV values ('884807E5-DF96-D920-F050-007F010077FD','FinPlanAssetC002','compareValueAsNumber','bussRepAssetMngProdInfo.repTruFeeRate','&gt;=','0','Y','托管费率%必须大于等于0。','D','com.joyintech.tams.invest.common.ChbBaseCheckLib');</v>
      </c>
    </row>
    <row r="62" spans="1:12" ht="14.25" customHeight="1" x14ac:dyDescent="0.15">
      <c r="A62" s="14" t="s">
        <v>336</v>
      </c>
      <c r="B62" s="3" t="s">
        <v>286</v>
      </c>
      <c r="C62" s="17" t="s">
        <v>13</v>
      </c>
      <c r="D62" s="17" t="s">
        <v>318</v>
      </c>
      <c r="E62" s="17"/>
      <c r="F62" s="18" t="s">
        <v>319</v>
      </c>
      <c r="G62" s="17" t="s">
        <v>15</v>
      </c>
      <c r="H62" s="17" t="s">
        <v>320</v>
      </c>
      <c r="I62" s="17" t="s">
        <v>348</v>
      </c>
      <c r="J62" s="17" t="s">
        <v>321</v>
      </c>
      <c r="K62" s="6" t="s">
        <v>355</v>
      </c>
      <c r="L62" s="6" t="str">
        <f t="shared" si="0"/>
        <v>insert into CHB_DATACHECK_RULE_INV values ('c36a7d55-7577-510b-aa30-792eec0c87eb','FinPlanAssetC002','lessThanCharLength','finprodName','','201','N','名称不可为空且不能过长。','D','com.joyintech.tams.invest.common.ChbBaseCheckLib');</v>
      </c>
    </row>
    <row r="63" spans="1:12" x14ac:dyDescent="0.15">
      <c r="A63" s="14" t="s">
        <v>337</v>
      </c>
      <c r="B63" s="3" t="s">
        <v>286</v>
      </c>
      <c r="C63" s="17" t="s">
        <v>11</v>
      </c>
      <c r="D63" s="17" t="s">
        <v>318</v>
      </c>
      <c r="E63" s="17"/>
      <c r="F63" s="18" t="s">
        <v>18</v>
      </c>
      <c r="G63" s="17" t="s">
        <v>17</v>
      </c>
      <c r="H63" s="17" t="s">
        <v>322</v>
      </c>
      <c r="I63" s="17" t="s">
        <v>10</v>
      </c>
      <c r="J63" s="17" t="s">
        <v>323</v>
      </c>
      <c r="K63" s="6" t="s">
        <v>355</v>
      </c>
      <c r="L63" s="6" t="str">
        <f t="shared" si="0"/>
        <v>insert into CHB_DATACHECK_RULE_INV values ('3883c5a3-1b85-5a60-9523-c7b071ca3f89','FinPlanAssetC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名称必须填写白名单中的文字。','E','com.joyintech.tams.invest.common.ChbBaseCheckLib');</v>
      </c>
    </row>
    <row r="64" spans="1:12" x14ac:dyDescent="0.15">
      <c r="A64" s="14" t="s">
        <v>338</v>
      </c>
      <c r="B64" s="3" t="s">
        <v>286</v>
      </c>
      <c r="C64" s="17" t="s">
        <v>11</v>
      </c>
      <c r="D64" s="17" t="s">
        <v>324</v>
      </c>
      <c r="E64" s="17"/>
      <c r="F64" s="18" t="s">
        <v>18</v>
      </c>
      <c r="G64" s="17" t="s">
        <v>17</v>
      </c>
      <c r="H64" s="17" t="s">
        <v>325</v>
      </c>
      <c r="I64" s="17" t="s">
        <v>10</v>
      </c>
      <c r="J64" s="17" t="s">
        <v>326</v>
      </c>
      <c r="K64" s="6" t="s">
        <v>355</v>
      </c>
      <c r="L64" s="6" t="str">
        <f t="shared" si="0"/>
        <v>insert into CHB_DATACHECK_RULE_INV values ('21a294fd-309a-563e-984f-9936a1807b8f','FinPlanAssetC002','isCustomizedString','finprodMarketId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代码必须填写白名单中的文字。','E','com.joyintech.tams.invest.common.ChbBaseCheckLib');</v>
      </c>
    </row>
    <row r="65" spans="1:12" x14ac:dyDescent="0.15">
      <c r="A65" s="14" t="s">
        <v>339</v>
      </c>
      <c r="B65" s="3" t="s">
        <v>286</v>
      </c>
      <c r="C65" s="17" t="s">
        <v>327</v>
      </c>
      <c r="D65" s="17" t="s">
        <v>328</v>
      </c>
      <c r="E65" s="17" t="s">
        <v>9</v>
      </c>
      <c r="F65" s="18" t="s">
        <v>329</v>
      </c>
      <c r="G65" s="17" t="s">
        <v>17</v>
      </c>
      <c r="H65" s="17" t="s">
        <v>349</v>
      </c>
      <c r="I65" s="17" t="s">
        <v>10</v>
      </c>
      <c r="J65" s="17" t="s">
        <v>330</v>
      </c>
      <c r="K65" s="6" t="s">
        <v>355</v>
      </c>
      <c r="L65" s="6" t="str">
        <f t="shared" si="0"/>
        <v>insert into CHB_DATACHECK_RULE_INV values ('7159b83d-790b-588d-84fa-fa14e6c30e82','FinPlanAssetC002','isValidDate','vdate','==','yyyy-MM-dd','Y','成立日必须为日期格式（YYYY-MM-DD）。','E','com.joyintech.tams.invest.common.ChbBaseCheckLib');</v>
      </c>
    </row>
    <row r="66" spans="1:12" x14ac:dyDescent="0.15">
      <c r="A66" s="14" t="s">
        <v>360</v>
      </c>
      <c r="B66" s="3" t="s">
        <v>286</v>
      </c>
      <c r="C66" s="17" t="s">
        <v>12</v>
      </c>
      <c r="D66" s="17" t="s">
        <v>328</v>
      </c>
      <c r="E66" s="17"/>
      <c r="F66" s="18"/>
      <c r="G66" s="17" t="s">
        <v>15</v>
      </c>
      <c r="H66" s="17" t="s">
        <v>350</v>
      </c>
      <c r="I66" s="17" t="s">
        <v>361</v>
      </c>
      <c r="J66" s="17" t="s">
        <v>330</v>
      </c>
      <c r="K66" s="6" t="s">
        <v>355</v>
      </c>
      <c r="L66" s="6" t="str">
        <f t="shared" ref="L66:L69" si="1">CONCATENATE("insert into CHB_DATACHECK_RULE_INV values ('",A66,"','",B66,"','",C66,"','",J66,"','",E66,"','",F66,"','",G66,"','",H66,"','",I66,"','",K66,"');")</f>
        <v>insert into CHB_DATACHECK_RULE_INV values ('5487fed8-0e8c-5db8-beb5-e21689fcb63b','FinPlanAssetC002','isNotEmpty','vdate','','','N','成立日不可以为空','D','com.joyintech.tams.invest.common.ChbBaseCheckLib');</v>
      </c>
    </row>
    <row r="67" spans="1:12" x14ac:dyDescent="0.15">
      <c r="A67" s="14" t="s">
        <v>340</v>
      </c>
      <c r="B67" s="3" t="s">
        <v>286</v>
      </c>
      <c r="C67" s="17" t="s">
        <v>331</v>
      </c>
      <c r="D67" s="17" t="s">
        <v>332</v>
      </c>
      <c r="E67" s="17" t="s">
        <v>117</v>
      </c>
      <c r="F67" s="18" t="s">
        <v>333</v>
      </c>
      <c r="G67" s="17" t="s">
        <v>17</v>
      </c>
      <c r="H67" s="17" t="s">
        <v>351</v>
      </c>
      <c r="I67" s="17" t="s">
        <v>10</v>
      </c>
      <c r="J67" s="17" t="s">
        <v>334</v>
      </c>
      <c r="K67" s="6" t="s">
        <v>355</v>
      </c>
      <c r="L67" s="6" t="str">
        <f t="shared" si="1"/>
        <v>insert into CHB_DATACHECK_RULE_INV values ('2f3385c7-c181-5e8d-9407-c398d583504c','FinPlanAssetC002','compareProperty','mdate','&gt;=','vdate','Y','终止日必须大于等于起息日。','E','com.joyintech.tams.invest.common.ChbBaseCheckLib');</v>
      </c>
    </row>
    <row r="68" spans="1:12" x14ac:dyDescent="0.15">
      <c r="A68" s="14" t="s">
        <v>341</v>
      </c>
      <c r="B68" s="3" t="s">
        <v>286</v>
      </c>
      <c r="C68" s="17" t="s">
        <v>327</v>
      </c>
      <c r="D68" s="17" t="s">
        <v>332</v>
      </c>
      <c r="E68" s="17"/>
      <c r="F68" s="18" t="s">
        <v>329</v>
      </c>
      <c r="G68" s="17" t="s">
        <v>17</v>
      </c>
      <c r="H68" s="17" t="s">
        <v>352</v>
      </c>
      <c r="I68" s="17" t="s">
        <v>10</v>
      </c>
      <c r="J68" s="17" t="s">
        <v>334</v>
      </c>
      <c r="K68" s="6" t="s">
        <v>355</v>
      </c>
      <c r="L68" s="6" t="str">
        <f t="shared" si="1"/>
        <v>insert into CHB_DATACHECK_RULE_INV values ('daaa8600-7a82-5d65-99af-ea4a7aa545d7','FinPlanAssetC002','isValidDate','mdate','','yyyy-MM-dd','Y','终止日要素必须为日期格式（YYYY-MM-DD）。','E','com.joyintech.tams.invest.common.ChbBaseCheckLib');</v>
      </c>
    </row>
    <row r="69" spans="1:12" x14ac:dyDescent="0.15">
      <c r="A69" s="14" t="s">
        <v>362</v>
      </c>
      <c r="B69" s="3" t="s">
        <v>286</v>
      </c>
      <c r="C69" s="17" t="s">
        <v>12</v>
      </c>
      <c r="D69" s="17" t="s">
        <v>332</v>
      </c>
      <c r="E69" s="17"/>
      <c r="F69" s="18"/>
      <c r="G69" s="17" t="s">
        <v>15</v>
      </c>
      <c r="H69" s="17" t="s">
        <v>353</v>
      </c>
      <c r="I69" s="17" t="s">
        <v>343</v>
      </c>
      <c r="J69" s="17" t="s">
        <v>335</v>
      </c>
      <c r="K69" s="6" t="s">
        <v>355</v>
      </c>
      <c r="L69" s="6" t="str">
        <f t="shared" si="1"/>
        <v>insert into CHB_DATACHECK_RULE_INV values ('6b406b4e-b442-5a7b-a54a-def83c5f12b8','FinPlanAssetC002','isNotEmpty','mdate','','','N','终止日不可以为空','D','com.joyintech.tams.invest.common.ChbBaseCheckLib');</v>
      </c>
    </row>
    <row r="70" spans="1:12" s="8" customFormat="1" x14ac:dyDescent="0.15">
      <c r="A70" s="22" t="s">
        <v>364</v>
      </c>
      <c r="B70" s="22" t="s">
        <v>365</v>
      </c>
      <c r="C70" s="22" t="s">
        <v>12</v>
      </c>
      <c r="D70" s="22"/>
      <c r="E70" s="22"/>
      <c r="F70" s="22"/>
      <c r="G70" s="22" t="s">
        <v>15</v>
      </c>
      <c r="H70" s="22" t="s">
        <v>366</v>
      </c>
      <c r="I70" s="22" t="s">
        <v>343</v>
      </c>
      <c r="J70" s="22" t="s">
        <v>367</v>
      </c>
      <c r="K70" s="23" t="s">
        <v>355</v>
      </c>
      <c r="L70" s="8" t="s">
        <v>368</v>
      </c>
    </row>
  </sheetData>
  <autoFilter ref="A1:L69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16" sqref="A16"/>
    </sheetView>
  </sheetViews>
  <sheetFormatPr defaultRowHeight="13.5" x14ac:dyDescent="0.15"/>
  <cols>
    <col min="1" max="1" width="37.625" style="2" customWidth="1"/>
    <col min="2" max="2" width="38.375" style="2" customWidth="1"/>
    <col min="3" max="3" width="19.125" style="2" customWidth="1"/>
    <col min="4" max="4" width="16.875" style="2" customWidth="1"/>
    <col min="5" max="5" width="15.5" style="2" customWidth="1"/>
    <col min="6" max="6" width="39.625" style="11" customWidth="1"/>
    <col min="7" max="7" width="49.125" style="2" customWidth="1"/>
    <col min="8" max="8" width="11.75" style="2" customWidth="1"/>
    <col min="9" max="9" width="38.625" style="1" customWidth="1"/>
    <col min="10" max="16384" width="9" style="1"/>
  </cols>
  <sheetData>
    <row r="1" spans="1:10" s="5" customFormat="1" x14ac:dyDescent="0.15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10" t="s">
        <v>4</v>
      </c>
      <c r="G1" s="4" t="s">
        <v>6</v>
      </c>
      <c r="H1" s="4" t="s">
        <v>7</v>
      </c>
      <c r="I1" s="7" t="s">
        <v>30</v>
      </c>
      <c r="J1" s="5" t="s">
        <v>289</v>
      </c>
    </row>
    <row r="2" spans="1:10" x14ac:dyDescent="0.15">
      <c r="A2" s="3" t="s">
        <v>298</v>
      </c>
      <c r="B2" s="3" t="s">
        <v>310</v>
      </c>
      <c r="C2" s="3" t="s">
        <v>123</v>
      </c>
      <c r="D2" s="3" t="s">
        <v>192</v>
      </c>
      <c r="E2" s="3" t="s">
        <v>9</v>
      </c>
      <c r="F2" s="12" t="s">
        <v>193</v>
      </c>
      <c r="G2" s="3"/>
      <c r="H2" s="3" t="s">
        <v>342</v>
      </c>
      <c r="I2" s="3" t="s">
        <v>290</v>
      </c>
      <c r="J2" s="6" t="str">
        <f t="shared" ref="J2:J11" si="0">CONCATENATE("INSERT INTO CHB_DATACHECK_CONDITION_INV VALUES ('",A2,"','",B2,"','",C2,"','",I2,"','",E2,"','",F2,"','",G2,"','",H2,"');")</f>
        <v>INSERT INTO CHB_DATACHECK_CONDITION_INV VALUES ('784807E5-DF58-D920-E959-007F010098FD','884807E5-EF00-D122-F050-007F010077FD','inArray','bussRepAssetMngProdInfo.repAssetType','==','1705','','D');</v>
      </c>
    </row>
    <row r="3" spans="1:10" x14ac:dyDescent="0.15">
      <c r="A3" s="3" t="s">
        <v>309</v>
      </c>
      <c r="B3" s="3" t="s">
        <v>302</v>
      </c>
      <c r="C3" s="3" t="s">
        <v>116</v>
      </c>
      <c r="D3" s="3" t="s">
        <v>152</v>
      </c>
      <c r="E3" s="3" t="s">
        <v>195</v>
      </c>
      <c r="F3" s="3" t="s">
        <v>16</v>
      </c>
      <c r="G3" s="3" t="s">
        <v>197</v>
      </c>
      <c r="H3" s="3" t="s">
        <v>10</v>
      </c>
      <c r="I3" s="13" t="s">
        <v>77</v>
      </c>
      <c r="J3" s="6" t="str">
        <f t="shared" si="0"/>
        <v>INSERT INTO CHB_DATACHECK_CONDITION_INV VALUES ('784807E5-DF9A-D920-E958-117F010077FD','884807E5-DFA0-D920-F050-007F010077FD','compareValueAsNumber','bussRepAssetMngProdInfo.repTradeFeeRate','&gt;','0','当交易相关合计费率不为0时','E');</v>
      </c>
    </row>
    <row r="4" spans="1:10" x14ac:dyDescent="0.15">
      <c r="A4" s="3" t="s">
        <v>292</v>
      </c>
      <c r="B4" s="3" t="s">
        <v>307</v>
      </c>
      <c r="C4" s="3" t="s">
        <v>116</v>
      </c>
      <c r="D4" s="3" t="s">
        <v>158</v>
      </c>
      <c r="E4" s="3" t="s">
        <v>195</v>
      </c>
      <c r="F4" s="3" t="s">
        <v>16</v>
      </c>
      <c r="G4" s="3" t="s">
        <v>200</v>
      </c>
      <c r="H4" s="3" t="s">
        <v>10</v>
      </c>
      <c r="I4" s="13" t="s">
        <v>79</v>
      </c>
      <c r="J4" s="6" t="str">
        <f t="shared" si="0"/>
        <v>INSERT INTO CHB_DATACHECK_CONDITION_INV VALUES ('784807E5-DFA1-D920-E951-117F010077FD','884807E5-DFA2-D920-F050-007F010077FD','compareValueAsNumber','bussRepAssetMngProdInfo.repOtherFeeRate','&gt;','0','当其他合计费率不为0时','E');</v>
      </c>
    </row>
    <row r="5" spans="1:10" x14ac:dyDescent="0.15">
      <c r="A5" s="3" t="s">
        <v>293</v>
      </c>
      <c r="B5" s="3" t="s">
        <v>305</v>
      </c>
      <c r="C5" s="3" t="s">
        <v>116</v>
      </c>
      <c r="D5" s="3" t="s">
        <v>149</v>
      </c>
      <c r="E5" s="3" t="s">
        <v>195</v>
      </c>
      <c r="F5" s="3" t="s">
        <v>16</v>
      </c>
      <c r="G5" s="3" t="s">
        <v>196</v>
      </c>
      <c r="H5" s="3" t="s">
        <v>10</v>
      </c>
      <c r="I5" s="13" t="s">
        <v>76</v>
      </c>
      <c r="J5" s="6" t="str">
        <f t="shared" si="0"/>
        <v>INSERT INTO CHB_DATACHECK_CONDITION_INV VALUES ('784807E5-DF99-D920-E952-117F010077FD','884807E5-DF9F-D920-F050-007F010077FD','compareValueAsNumber','bussRepAssetMngProdInfo.repTruFeeRate','&gt;','0','当托管费率不为0时','E');</v>
      </c>
    </row>
    <row r="6" spans="1:10" x14ac:dyDescent="0.15">
      <c r="A6" s="3" t="s">
        <v>294</v>
      </c>
      <c r="B6" s="3" t="s">
        <v>311</v>
      </c>
      <c r="C6" s="3" t="s">
        <v>23</v>
      </c>
      <c r="D6" s="3" t="s">
        <v>107</v>
      </c>
      <c r="E6" s="3" t="s">
        <v>9</v>
      </c>
      <c r="F6" s="3" t="s">
        <v>194</v>
      </c>
      <c r="G6" s="3" t="s">
        <v>202</v>
      </c>
      <c r="H6" s="3" t="s">
        <v>342</v>
      </c>
      <c r="I6" s="3" t="s">
        <v>204</v>
      </c>
      <c r="J6" s="6" t="str">
        <f t="shared" si="0"/>
        <v>INSERT INTO CHB_DATACHECK_CONDITION_INV VALUES ('784807E5-DF8E-D920-E953-007F010077FD','884807E5-DF8F-D920-F050-007F010077FD','compareValue','bussRepAssetMngProdInfo.repYieldFlag','==','02','是否有预期收益率为否','D');</v>
      </c>
    </row>
    <row r="7" spans="1:10" x14ac:dyDescent="0.15">
      <c r="A7" s="3" t="s">
        <v>299</v>
      </c>
      <c r="B7" s="3" t="s">
        <v>313</v>
      </c>
      <c r="C7" s="3" t="s">
        <v>23</v>
      </c>
      <c r="D7" s="3" t="s">
        <v>107</v>
      </c>
      <c r="E7" s="3" t="s">
        <v>9</v>
      </c>
      <c r="F7" s="3" t="s">
        <v>26</v>
      </c>
      <c r="G7" s="3" t="s">
        <v>201</v>
      </c>
      <c r="H7" s="3" t="s">
        <v>342</v>
      </c>
      <c r="I7" s="3" t="s">
        <v>204</v>
      </c>
      <c r="J7" s="6" t="str">
        <f t="shared" si="0"/>
        <v>INSERT INTO CHB_DATACHECK_CONDITION_INV VALUES ('784807E5-DF8C-D920-E961-007F010077FD','884807E5-DF8A-D920-F050-007F010077FD','compareValue','bussRepAssetMngProdInfo.repYieldFlag','==','01','是否有预期收益率为是','D');</v>
      </c>
    </row>
    <row r="8" spans="1:10" x14ac:dyDescent="0.15">
      <c r="A8" s="3" t="s">
        <v>300</v>
      </c>
      <c r="B8" s="3" t="s">
        <v>308</v>
      </c>
      <c r="C8" s="3" t="s">
        <v>116</v>
      </c>
      <c r="D8" s="3" t="s">
        <v>155</v>
      </c>
      <c r="E8" s="3" t="s">
        <v>195</v>
      </c>
      <c r="F8" s="3" t="s">
        <v>16</v>
      </c>
      <c r="G8" s="3" t="s">
        <v>199</v>
      </c>
      <c r="H8" s="3" t="s">
        <v>10</v>
      </c>
      <c r="I8" s="13" t="s">
        <v>78</v>
      </c>
      <c r="J8" s="6" t="str">
        <f t="shared" si="0"/>
        <v>INSERT INTO CHB_DATACHECK_CONDITION_INV VALUES ('784807E5-DFA0-D920-E962-117F010077FD','884807E5-DFA1-D920-F050-007F010077FD','compareValueAsNumber','bussRepAssetMngProdInfo.repAgencyFeeRate','&gt;','0','当中介服务机构合计费率不为0时','E');</v>
      </c>
    </row>
    <row r="9" spans="1:10" x14ac:dyDescent="0.15">
      <c r="A9" s="3" t="s">
        <v>295</v>
      </c>
      <c r="B9" s="3" t="s">
        <v>304</v>
      </c>
      <c r="C9" s="3" t="s">
        <v>116</v>
      </c>
      <c r="D9" s="3" t="s">
        <v>145</v>
      </c>
      <c r="E9" s="3" t="s">
        <v>195</v>
      </c>
      <c r="F9" s="3" t="s">
        <v>16</v>
      </c>
      <c r="G9" s="3" t="s">
        <v>198</v>
      </c>
      <c r="H9" s="3" t="s">
        <v>10</v>
      </c>
      <c r="I9" s="13" t="s">
        <v>75</v>
      </c>
      <c r="J9" s="6" t="str">
        <f t="shared" si="0"/>
        <v>INSERT INTO CHB_DATACHECK_CONDITION_INV VALUES ('784807E5-DF98-D920-E954-117F010077FD','884807E5-DF9E-D920-F050-007F010077FD','compareValueAsNumber','bussRepAssetMngProdInfo.repMgrFeeRate','&gt;','0','管理费率不为0','E');</v>
      </c>
    </row>
    <row r="10" spans="1:10" x14ac:dyDescent="0.15">
      <c r="A10" s="3" t="s">
        <v>296</v>
      </c>
      <c r="B10" s="3" t="s">
        <v>312</v>
      </c>
      <c r="C10" s="3" t="s">
        <v>23</v>
      </c>
      <c r="D10" s="3" t="s">
        <v>107</v>
      </c>
      <c r="E10" s="3" t="s">
        <v>9</v>
      </c>
      <c r="F10" s="3" t="s">
        <v>194</v>
      </c>
      <c r="G10" s="3" t="s">
        <v>202</v>
      </c>
      <c r="H10" s="3" t="s">
        <v>342</v>
      </c>
      <c r="I10" s="3" t="s">
        <v>204</v>
      </c>
      <c r="J10" s="6" t="str">
        <f t="shared" si="0"/>
        <v>INSERT INTO CHB_DATACHECK_CONDITION_INV VALUES ('784807E5-DF8D-D920-E955-007F010077FD','884807E5-DF8C-D920-F050-007F010077FD','compareValue','bussRepAssetMngProdInfo.repYieldFlag','==','02','是否有预期收益率为否','D');</v>
      </c>
    </row>
    <row r="11" spans="1:10" x14ac:dyDescent="0.15">
      <c r="A11" s="3" t="s">
        <v>297</v>
      </c>
      <c r="B11" s="3" t="s">
        <v>263</v>
      </c>
      <c r="C11" s="3" t="s">
        <v>23</v>
      </c>
      <c r="D11" s="3" t="s">
        <v>129</v>
      </c>
      <c r="E11" s="3" t="s">
        <v>9</v>
      </c>
      <c r="F11" s="3" t="s">
        <v>24</v>
      </c>
      <c r="G11" s="3" t="s">
        <v>363</v>
      </c>
      <c r="H11" s="3" t="s">
        <v>10</v>
      </c>
      <c r="I11" s="3" t="s">
        <v>205</v>
      </c>
      <c r="J11" s="6" t="str">
        <f t="shared" si="0"/>
        <v>INSERT INTO CHB_DATACHECK_CONDITION_INV VALUES ('784807E5-DF97-D920-E957-007F010077FD','884807E5-DF9D-D920-F050-007F010077FD','compareValue','bussRepAssetMngProdInfo.repPlanProp','==','99','资管计划属性选择“99 其他”场合','E');</v>
      </c>
    </row>
  </sheetData>
  <autoFilter ref="A1:J11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B20" sqref="B20"/>
    </sheetView>
  </sheetViews>
  <sheetFormatPr defaultRowHeight="13.5" x14ac:dyDescent="0.15"/>
  <cols>
    <col min="1" max="1" width="57.625" customWidth="1"/>
    <col min="2" max="2" width="60.125" customWidth="1"/>
    <col min="3" max="3" width="37" customWidth="1"/>
  </cols>
  <sheetData>
    <row r="1" spans="1:3" x14ac:dyDescent="0.15">
      <c r="A1" t="s">
        <v>203</v>
      </c>
      <c r="B1" t="s">
        <v>88</v>
      </c>
      <c r="C1" t="s">
        <v>93</v>
      </c>
    </row>
    <row r="2" spans="1:3" x14ac:dyDescent="0.15">
      <c r="A2" t="s">
        <v>211</v>
      </c>
      <c r="B2" t="s">
        <v>39</v>
      </c>
      <c r="C2" t="s">
        <v>38</v>
      </c>
    </row>
    <row r="3" spans="1:3" x14ac:dyDescent="0.15">
      <c r="A3" t="s">
        <v>220</v>
      </c>
      <c r="B3" t="s">
        <v>94</v>
      </c>
      <c r="C3" t="s">
        <v>40</v>
      </c>
    </row>
    <row r="4" spans="1:3" x14ac:dyDescent="0.15">
      <c r="A4" t="s">
        <v>207</v>
      </c>
      <c r="B4" t="s">
        <v>42</v>
      </c>
      <c r="C4" t="s">
        <v>41</v>
      </c>
    </row>
    <row r="5" spans="1:3" x14ac:dyDescent="0.15">
      <c r="A5" t="s">
        <v>217</v>
      </c>
      <c r="B5" t="s">
        <v>89</v>
      </c>
      <c r="C5" t="s">
        <v>43</v>
      </c>
    </row>
    <row r="6" spans="1:3" x14ac:dyDescent="0.15">
      <c r="A6" t="s">
        <v>66</v>
      </c>
      <c r="B6" t="s">
        <v>45</v>
      </c>
      <c r="C6" t="s">
        <v>44</v>
      </c>
    </row>
    <row r="7" spans="1:3" x14ac:dyDescent="0.15">
      <c r="A7" t="s">
        <v>222</v>
      </c>
      <c r="B7" t="s">
        <v>46</v>
      </c>
      <c r="C7" t="s">
        <v>31</v>
      </c>
    </row>
    <row r="8" spans="1:3" x14ac:dyDescent="0.15">
      <c r="A8" t="s">
        <v>208</v>
      </c>
      <c r="B8" t="s">
        <v>95</v>
      </c>
      <c r="C8" t="s">
        <v>47</v>
      </c>
    </row>
    <row r="9" spans="1:3" x14ac:dyDescent="0.15">
      <c r="A9" t="s">
        <v>204</v>
      </c>
      <c r="B9" t="s">
        <v>96</v>
      </c>
      <c r="C9" t="s">
        <v>48</v>
      </c>
    </row>
    <row r="10" spans="1:3" x14ac:dyDescent="0.15">
      <c r="A10" t="s">
        <v>214</v>
      </c>
      <c r="B10" t="s">
        <v>50</v>
      </c>
      <c r="C10" t="s">
        <v>49</v>
      </c>
    </row>
    <row r="11" spans="1:3" x14ac:dyDescent="0.15">
      <c r="A11" t="s">
        <v>213</v>
      </c>
      <c r="B11" t="s">
        <v>97</v>
      </c>
      <c r="C11" t="s">
        <v>51</v>
      </c>
    </row>
    <row r="12" spans="1:3" x14ac:dyDescent="0.15">
      <c r="A12" t="s">
        <v>224</v>
      </c>
      <c r="B12" t="s">
        <v>98</v>
      </c>
      <c r="C12" t="s">
        <v>52</v>
      </c>
    </row>
    <row r="13" spans="1:3" x14ac:dyDescent="0.15">
      <c r="A13" t="s">
        <v>216</v>
      </c>
      <c r="B13" t="s">
        <v>99</v>
      </c>
      <c r="C13" t="s">
        <v>53</v>
      </c>
    </row>
    <row r="14" spans="1:3" s="8" customFormat="1" x14ac:dyDescent="0.15">
      <c r="A14" s="8" t="s">
        <v>74</v>
      </c>
      <c r="B14" s="8" t="s">
        <v>100</v>
      </c>
    </row>
    <row r="15" spans="1:3" x14ac:dyDescent="0.15">
      <c r="A15" t="s">
        <v>215</v>
      </c>
      <c r="B15" t="s">
        <v>90</v>
      </c>
      <c r="C15" t="s">
        <v>54</v>
      </c>
    </row>
    <row r="16" spans="1:3" x14ac:dyDescent="0.15">
      <c r="A16" t="s">
        <v>230</v>
      </c>
      <c r="B16" t="s">
        <v>101</v>
      </c>
      <c r="C16" t="s">
        <v>55</v>
      </c>
    </row>
    <row r="17" spans="1:3" x14ac:dyDescent="0.15">
      <c r="A17" t="s">
        <v>228</v>
      </c>
      <c r="B17" t="s">
        <v>102</v>
      </c>
      <c r="C17" t="s">
        <v>56</v>
      </c>
    </row>
    <row r="18" spans="1:3" x14ac:dyDescent="0.15">
      <c r="A18" t="s">
        <v>231</v>
      </c>
      <c r="B18" t="s">
        <v>91</v>
      </c>
      <c r="C18" t="s">
        <v>57</v>
      </c>
    </row>
    <row r="19" spans="1:3" x14ac:dyDescent="0.15">
      <c r="A19" t="s">
        <v>229</v>
      </c>
      <c r="B19" t="s">
        <v>92</v>
      </c>
      <c r="C19" t="s">
        <v>58</v>
      </c>
    </row>
    <row r="20" spans="1:3" x14ac:dyDescent="0.15">
      <c r="A20" t="s">
        <v>226</v>
      </c>
      <c r="B20" t="s">
        <v>103</v>
      </c>
      <c r="C20" t="s">
        <v>59</v>
      </c>
    </row>
    <row r="21" spans="1:3" x14ac:dyDescent="0.15">
      <c r="A21" t="s">
        <v>219</v>
      </c>
      <c r="B21" t="s">
        <v>104</v>
      </c>
      <c r="C21" t="s">
        <v>60</v>
      </c>
    </row>
    <row r="22" spans="1:3" x14ac:dyDescent="0.15">
      <c r="A22" t="s">
        <v>82</v>
      </c>
      <c r="B22" t="s">
        <v>105</v>
      </c>
      <c r="C22" t="s">
        <v>60</v>
      </c>
    </row>
    <row r="23" spans="1:3" x14ac:dyDescent="0.15">
      <c r="A23" t="s">
        <v>209</v>
      </c>
      <c r="B23" t="s">
        <v>32</v>
      </c>
      <c r="C23" t="s">
        <v>35</v>
      </c>
    </row>
    <row r="24" spans="1:3" s="8" customFormat="1" x14ac:dyDescent="0.15">
      <c r="A24" s="8" t="s">
        <v>84</v>
      </c>
      <c r="B24" s="8" t="s">
        <v>34</v>
      </c>
    </row>
    <row r="25" spans="1:3" x14ac:dyDescent="0.15">
      <c r="A25" t="s">
        <v>225</v>
      </c>
      <c r="B25" t="s">
        <v>106</v>
      </c>
      <c r="C25" t="s">
        <v>36</v>
      </c>
    </row>
    <row r="26" spans="1:3" x14ac:dyDescent="0.15">
      <c r="A26" t="s">
        <v>86</v>
      </c>
      <c r="B26" t="s">
        <v>33</v>
      </c>
      <c r="C26" t="s">
        <v>60</v>
      </c>
    </row>
    <row r="27" spans="1:3" x14ac:dyDescent="0.15">
      <c r="A27" t="s">
        <v>206</v>
      </c>
      <c r="B27" t="s">
        <v>61</v>
      </c>
      <c r="C27" t="s">
        <v>61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5" sqref="F5"/>
    </sheetView>
  </sheetViews>
  <sheetFormatPr defaultRowHeight="13.5" x14ac:dyDescent="0.15"/>
  <cols>
    <col min="1" max="1" width="45.25" customWidth="1"/>
    <col min="2" max="2" width="45.375" customWidth="1"/>
  </cols>
  <sheetData>
    <row r="1" spans="1:2" x14ac:dyDescent="0.15">
      <c r="A1" s="4" t="s">
        <v>8</v>
      </c>
      <c r="B1" s="7" t="s">
        <v>30</v>
      </c>
    </row>
    <row r="2" spans="1:2" x14ac:dyDescent="0.15">
      <c r="A2" s="3" t="s">
        <v>298</v>
      </c>
      <c r="B2" s="3" t="s">
        <v>203</v>
      </c>
    </row>
    <row r="3" spans="1:2" x14ac:dyDescent="0.15">
      <c r="A3" s="3" t="s">
        <v>309</v>
      </c>
      <c r="B3" s="13" t="s">
        <v>77</v>
      </c>
    </row>
    <row r="4" spans="1:2" x14ac:dyDescent="0.15">
      <c r="A4" s="3" t="s">
        <v>292</v>
      </c>
      <c r="B4" s="13" t="s">
        <v>79</v>
      </c>
    </row>
    <row r="5" spans="1:2" x14ac:dyDescent="0.15">
      <c r="A5" s="3" t="s">
        <v>293</v>
      </c>
      <c r="B5" s="13" t="s">
        <v>76</v>
      </c>
    </row>
    <row r="6" spans="1:2" x14ac:dyDescent="0.15">
      <c r="A6" s="3" t="s">
        <v>294</v>
      </c>
      <c r="B6" s="3" t="s">
        <v>204</v>
      </c>
    </row>
    <row r="7" spans="1:2" x14ac:dyDescent="0.15">
      <c r="A7" s="3" t="s">
        <v>299</v>
      </c>
      <c r="B7" s="3" t="s">
        <v>204</v>
      </c>
    </row>
    <row r="8" spans="1:2" x14ac:dyDescent="0.15">
      <c r="A8" s="3" t="s">
        <v>300</v>
      </c>
      <c r="B8" s="13" t="s">
        <v>78</v>
      </c>
    </row>
    <row r="9" spans="1:2" x14ac:dyDescent="0.15">
      <c r="A9" s="3" t="s">
        <v>295</v>
      </c>
      <c r="B9" s="13" t="s">
        <v>75</v>
      </c>
    </row>
    <row r="10" spans="1:2" x14ac:dyDescent="0.15">
      <c r="A10" s="3" t="s">
        <v>296</v>
      </c>
      <c r="B10" s="3" t="s">
        <v>204</v>
      </c>
    </row>
    <row r="11" spans="1:2" x14ac:dyDescent="0.15">
      <c r="A11" s="3" t="s">
        <v>297</v>
      </c>
      <c r="B11" s="3" t="s">
        <v>205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规则配置表</vt:lpstr>
      <vt:lpstr>规则条件表</vt:lpstr>
      <vt:lpstr>Sheet2</vt:lpstr>
      <vt:lpstr>前置条件备份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2021-01-11T02:05:21Z</dcterms:modified>
</cp:coreProperties>
</file>