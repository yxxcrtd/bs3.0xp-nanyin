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18.项目实施\杭州银行\杭州子公司中债直连\系统设计\独立子系统\独立子系统规则配置\"/>
    </mc:Choice>
  </mc:AlternateContent>
  <bookViews>
    <workbookView xWindow="0" yWindow="0" windowWidth="20490" windowHeight="777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规则表配置!$A$2:$K$9</definedName>
    <definedName name="_xlnm._FilterDatabase" localSheetId="1" hidden="1">规则条件表!$B$1:$I$4</definedName>
  </definedNames>
  <calcPr calcId="152511" concurrentCalc="0"/>
</workbook>
</file>

<file path=xl/calcChain.xml><?xml version="1.0" encoding="utf-8"?>
<calcChain xmlns="http://schemas.openxmlformats.org/spreadsheetml/2006/main">
  <c r="K6" i="3" l="1"/>
  <c r="K7" i="3"/>
  <c r="K8" i="3"/>
  <c r="K9" i="3"/>
  <c r="K10" i="3"/>
  <c r="K11" i="3"/>
  <c r="K12" i="3"/>
  <c r="K13" i="3"/>
  <c r="K14" i="3"/>
  <c r="K15" i="3"/>
  <c r="K16" i="3"/>
  <c r="K17" i="3"/>
  <c r="J4" i="4"/>
  <c r="K4" i="3"/>
  <c r="K5" i="3"/>
</calcChain>
</file>

<file path=xl/sharedStrings.xml><?xml version="1.0" encoding="utf-8"?>
<sst xmlns="http://schemas.openxmlformats.org/spreadsheetml/2006/main" count="166" uniqueCount="90">
  <si>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</si>
  <si>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</si>
  <si>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</si>
  <si>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</si>
  <si>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</si>
  <si>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</si>
  <si>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</si>
  <si>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</si>
  <si>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</si>
  <si>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</si>
  <si>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</si>
  <si>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</si>
  <si>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</si>
  <si>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</si>
  <si>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</si>
  <si>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</si>
  <si>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</si>
  <si>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</si>
  <si>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</si>
  <si>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</si>
  <si>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</si>
  <si>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</si>
  <si>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</si>
  <si>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</si>
  <si>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</si>
  <si>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==</t>
  </si>
  <si>
    <t>Y</t>
  </si>
  <si>
    <t>inDatadict</t>
  </si>
  <si>
    <t>isValidDate</t>
  </si>
  <si>
    <t>CHECKCONDITIONID</t>
  </si>
  <si>
    <t>主键</t>
  </si>
  <si>
    <t>检查规则标识，检查规则表主键</t>
  </si>
  <si>
    <t>目标结果</t>
  </si>
  <si>
    <t>lessThanCharLength</t>
  </si>
  <si>
    <t>delete from chb_datacheck_condition t where t.checkruleid in (select checkruleid from chb_datacheck_rule t where t.datatype = 'CHB_ASSET_INFO');</t>
    <phoneticPr fontId="4" type="noConversion"/>
  </si>
  <si>
    <t>201</t>
  </si>
  <si>
    <t>delete  CHB_DATACHECK_RULE where datatype='CHB_PRD_OPENSCH';</t>
    <phoneticPr fontId="4" type="noConversion"/>
  </si>
  <si>
    <t>CHB_PRD_OPENSCH</t>
    <phoneticPr fontId="4" type="noConversion"/>
  </si>
  <si>
    <t>CHB_PRD_OPENSCH</t>
    <phoneticPr fontId="4" type="noConversion"/>
  </si>
  <si>
    <t>PROD_ID</t>
    <phoneticPr fontId="4" type="noConversion"/>
  </si>
  <si>
    <t>产品代码要素不可为空。</t>
    <phoneticPr fontId="4" type="noConversion"/>
  </si>
  <si>
    <t>isCustomizedStringForWhitelist</t>
    <phoneticPr fontId="4" type="noConversion"/>
  </si>
  <si>
    <t>^[\u0030-\u0039\u0041-\u005a\u0061-\u007a\u0020-\u0026\u0028-\u007B\u007D\u007E]{0,}$</t>
    <phoneticPr fontId="4" type="noConversion"/>
  </si>
  <si>
    <t>51</t>
    <phoneticPr fontId="4" type="noConversion"/>
  </si>
  <si>
    <t>产品代码超长（最大长50）。</t>
    <phoneticPr fontId="4" type="noConversion"/>
  </si>
  <si>
    <t>PROD_NAME</t>
  </si>
  <si>
    <t>产品名称要素不可为空。</t>
  </si>
  <si>
    <t>产品名称超长（最大长）200。</t>
    <phoneticPr fontId="4" type="noConversion"/>
  </si>
  <si>
    <t>isCustomizedStringForWhitelist</t>
    <phoneticPr fontId="4" type="noConversion"/>
  </si>
  <si>
    <t>PROD_NAME</t>
    <phoneticPr fontId="4" type="noConversion"/>
  </si>
  <si>
    <t>inWhitelistNoSymbol</t>
  </si>
  <si>
    <t>^[\u4e00-\u9fef-\u3400-\u4db5-\u20000-\u2a6d6-\u2a700-\u2b734-\u2b740-\u2b81d-\u2b820-\u2cea1-\u2ceb0-\u2ebe0-\uf900-\ufad9\ue815-\ue86f\u00b7\u0030-\u0039\u0041-\u005A-\u0061-\u007A\u2160-\u216B]{0,}$</t>
    <phoneticPr fontId="4" type="noConversion"/>
  </si>
  <si>
    <t>产品名称必须填写白名单中的文字，仅可由汉字、阿拉伯数字、英文字母组成，建议名称中不要含有任何符号。</t>
    <phoneticPr fontId="4" type="noConversion"/>
  </si>
  <si>
    <t>计划类型要素不可为空。</t>
    <phoneticPr fontId="4" type="noConversion"/>
  </si>
  <si>
    <t>PLAN_TYPE</t>
    <phoneticPr fontId="4" type="noConversion"/>
  </si>
  <si>
    <t>PLAN_TYPE</t>
    <phoneticPr fontId="4" type="noConversion"/>
  </si>
  <si>
    <t>RANSOM_ISSUE_MODE</t>
    <phoneticPr fontId="4" type="noConversion"/>
  </si>
  <si>
    <t>计划类型不在值域范围内。</t>
    <phoneticPr fontId="4" type="noConversion"/>
  </si>
  <si>
    <t>OPEN_START</t>
  </si>
  <si>
    <t>yyyy-MM-dd</t>
    <phoneticPr fontId="4" type="noConversion"/>
  </si>
  <si>
    <t>OPEN_END</t>
    <phoneticPr fontId="4" type="noConversion"/>
  </si>
  <si>
    <t>OPEN_VDATE</t>
    <phoneticPr fontId="4" type="noConversion"/>
  </si>
  <si>
    <t>开放周期起始日必须为日期格式（YYYY-MM-DD）且为正确的日期。</t>
    <phoneticPr fontId="4" type="noConversion"/>
  </si>
  <si>
    <t>开放周期结束日必须为日期格式（YYYY-MM-DD）且为正确的日期。</t>
    <phoneticPr fontId="4" type="noConversion"/>
  </si>
  <si>
    <t>开放周期起始日要素不可为空。</t>
    <phoneticPr fontId="4" type="noConversion"/>
  </si>
  <si>
    <t>开放周期结束日要素不可为空。</t>
    <phoneticPr fontId="4" type="noConversion"/>
  </si>
  <si>
    <t>CHB_PRD_OPENSCH</t>
    <phoneticPr fontId="4" type="noConversion"/>
  </si>
  <si>
    <t>CHB_PRD_OPENSCH</t>
    <phoneticPr fontId="4" type="noConversion"/>
  </si>
  <si>
    <t>开放周期起息日必须为日期格式（YYYY-MM-DD）且为正确的日期。</t>
    <phoneticPr fontId="4" type="noConversion"/>
  </si>
  <si>
    <t>CHB_PRD_OPENSCH</t>
    <phoneticPr fontId="4" type="noConversion"/>
  </si>
  <si>
    <t>开放周期起息日要素不可为空。</t>
    <phoneticPr fontId="4" type="noConversion"/>
  </si>
  <si>
    <t>PROD_ID</t>
    <phoneticPr fontId="4" type="noConversion"/>
  </si>
  <si>
    <t>产品代码只能含有白名单内的阿拉伯数字，英文字母，半角符号，全角符号。</t>
    <phoneticPr fontId="4" type="noConversion"/>
  </si>
  <si>
    <t>CHB_PRD_OPENSCH</t>
    <phoneticPr fontId="4" type="noConversion"/>
  </si>
  <si>
    <t>CHB_PRD_OPENSCH</t>
    <phoneticPr fontId="4" type="noConversion"/>
  </si>
  <si>
    <t>CHB_PRD_OPENSCH-0001</t>
    <phoneticPr fontId="4" type="noConversion"/>
  </si>
  <si>
    <t>CHB_PRD_OPENSCH-0002</t>
  </si>
  <si>
    <t>CHB_PRD_OPENSCH-0003</t>
  </si>
  <si>
    <t>CHB_PRD_OPENSCH-0004</t>
  </si>
  <si>
    <t>CHB_PRD_OPENSCH-0005</t>
  </si>
  <si>
    <t>CHB_PRD_OPENSCH-0006</t>
  </si>
  <si>
    <t>CHB_PRD_OPENSCH-0009</t>
  </si>
  <si>
    <t>CHB_PRD_OPENSCH-0010</t>
  </si>
  <si>
    <t>CHB_PRD_OPENSCH-0011</t>
  </si>
  <si>
    <t>CHB_PRD_OPENSCH-0012</t>
  </si>
  <si>
    <t>CHB_PRD_OPENSCH-0013</t>
  </si>
  <si>
    <t>CHB_PRD_OPENSCH-0014</t>
  </si>
  <si>
    <t>CHB_PRD_OPENSCH-0015</t>
  </si>
  <si>
    <t>CHB_PRD_OPENSCH-0016</t>
  </si>
  <si>
    <t>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</si>
</sst>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>
      <alignment vertical="center"/>
    </xf>
    <xf numFmtId="0" fontId="1" fillId="4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Fill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/>
    <xf numFmtId="0" fontId="5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justify" vertical="center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topLeftCell="B1" workbookViewId="0">
      <selection activeCell="J7" sqref="J7"/>
    </sheetView>
  </sheetViews>
  <sheetFormatPr defaultColWidth="7.19921875" defaultRowHeight="12" x14ac:dyDescent="0.15"/>
  <cols>
    <col min="1" max="1" width="17.69921875" style="10" customWidth="1"/>
    <col min="2" max="2" width="17.5" style="10" customWidth="1"/>
    <col min="3" max="3" width="16.5" style="10" customWidth="1"/>
    <col min="4" max="4" width="18.59765625" style="10" customWidth="1"/>
    <col min="5" max="5" width="11.19921875" style="10" customWidth="1"/>
    <col min="6" max="6" width="7.19921875" style="10"/>
    <col min="7" max="7" width="12.3984375" style="11" customWidth="1"/>
    <col min="8" max="8" width="7.19921875" style="9"/>
    <col min="9" max="9" width="21.796875" style="9" customWidth="1"/>
    <col min="10" max="10" width="5.296875" style="9" customWidth="1"/>
    <col min="11" max="16384" width="7.19921875" style="9"/>
  </cols>
  <sheetData>
    <row r="1" spans="1:11" s="2" customForma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5" t="s">
        <v>7</v>
      </c>
      <c r="I1" s="6" t="s">
        <v>8</v>
      </c>
      <c r="J1" s="6" t="s">
        <v>9</v>
      </c>
    </row>
    <row r="2" spans="1:11" s="2" customFormat="1" ht="17.25" customHeight="1" x14ac:dyDescent="0.25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7" t="s">
        <v>17</v>
      </c>
      <c r="H2" s="6" t="s">
        <v>18</v>
      </c>
      <c r="I2" s="6" t="s">
        <v>19</v>
      </c>
      <c r="J2" s="6" t="s">
        <v>20</v>
      </c>
    </row>
    <row r="3" spans="1:11" s="2" customFormat="1" ht="15.75" customHeight="1" x14ac:dyDescent="0.25">
      <c r="A3" s="25" t="s">
        <v>37</v>
      </c>
      <c r="B3" s="25"/>
      <c r="C3" s="25"/>
      <c r="D3" s="25"/>
      <c r="E3" s="25"/>
      <c r="F3" s="25"/>
      <c r="G3" s="25"/>
      <c r="H3" s="25"/>
      <c r="I3" s="25"/>
      <c r="J3" s="25"/>
      <c r="K3" s="2" t="s">
        <v>36</v>
      </c>
    </row>
    <row r="4" spans="1:11" x14ac:dyDescent="0.15">
      <c r="A4" s="23" t="s">
        <v>75</v>
      </c>
      <c r="B4" s="24" t="s">
        <v>37</v>
      </c>
      <c r="C4" s="16" t="s">
        <v>21</v>
      </c>
      <c r="D4" s="16" t="s">
        <v>22</v>
      </c>
      <c r="E4" s="16" t="s">
        <v>39</v>
      </c>
      <c r="F4" s="16"/>
      <c r="G4" s="17"/>
      <c r="H4" s="18" t="s">
        <v>23</v>
      </c>
      <c r="I4" s="19" t="s">
        <v>40</v>
      </c>
      <c r="J4" s="18" t="s">
        <v>24</v>
      </c>
      <c r="K4" s="2" t="str">
        <f>CONCATENATE("insert into CHB_DATACHECK_RULE (CHECKRULEID,DATATYPE,CHECKCLASS,CHECKMETHOD,SRCPROPERTY,COMPARETO,OBJVALUE,REMARK,STATUS,NULLABLE) values ('",A4,"','",B4,"','",C4,"','",D4,"','",E4,"','",F4,"','",G4,"','",I4,"','",J4,"','",H4,"');")</f>
        <v>insert into CHB_DATACHECK_RULE (CHECKRULEID,DATATYPE,CHECKCLASS,CHECKMETHOD,SRCPROPERTY,COMPARETO,OBJVALUE,REMARK,STATUS,NULLABLE) values ('CHB_PRD_OPENSCH-0001','CHB_PRD_OPENSCH','com.joyintech.tams.common.svreport.datacheck.service.BaseCheckLib','isNotEmpty','PROD_ID','','','产品代码要素不可为空。','E','N');</v>
      </c>
    </row>
    <row r="5" spans="1:11" x14ac:dyDescent="0.15">
      <c r="A5" s="23" t="s">
        <v>76</v>
      </c>
      <c r="B5" s="24" t="s">
        <v>38</v>
      </c>
      <c r="C5" s="16" t="s">
        <v>21</v>
      </c>
      <c r="D5" s="16" t="s">
        <v>33</v>
      </c>
      <c r="E5" s="16" t="s">
        <v>39</v>
      </c>
      <c r="F5" s="16"/>
      <c r="G5" s="17" t="s">
        <v>43</v>
      </c>
      <c r="H5" s="20" t="s">
        <v>26</v>
      </c>
      <c r="I5" s="18" t="s">
        <v>44</v>
      </c>
      <c r="J5" s="18" t="s">
        <v>24</v>
      </c>
      <c r="K5" s="2" t="str">
        <f t="shared" ref="K5:K17" si="0">CONCATENATE("insert into CHB_DATACHECK_RULE (CHECKRULEID,DATATYPE,CHECKCLASS,CHECKMETHOD,SRCPROPERTY,COMPARETO,OBJVALUE,REMARK,STATUS,NULLABLE) values ('",A5,"','",B5,"','",C5,"','",D5,"','",E5,"','",F5,"','",G5,"','",I5,"','",J5,"','",H5,"');")</f>
        <v>insert into CHB_DATACHECK_RULE (CHECKRULEID,DATATYPE,CHECKCLASS,CHECKMETHOD,SRCPROPERTY,COMPARETO,OBJVALUE,REMARK,STATUS,NULLABLE) values ('CHB_PRD_OPENSCH-0002','CHB_PRD_OPENSCH','com.joyintech.tams.common.svreport.datacheck.service.BaseCheckLib','lessThanCharLength','PROD_ID','','51','产品代码超长（最大长50）。','E','Y');</v>
      </c>
    </row>
    <row r="6" spans="1:11" x14ac:dyDescent="0.15">
      <c r="A6" s="23" t="s">
        <v>77</v>
      </c>
      <c r="B6" s="24" t="s">
        <v>73</v>
      </c>
      <c r="C6" s="16" t="s">
        <v>21</v>
      </c>
      <c r="D6" s="16" t="s">
        <v>41</v>
      </c>
      <c r="E6" s="16" t="s">
        <v>71</v>
      </c>
      <c r="F6" s="16"/>
      <c r="G6" s="17" t="s">
        <v>42</v>
      </c>
      <c r="H6" s="20" t="s">
        <v>26</v>
      </c>
      <c r="I6" s="18" t="s">
        <v>72</v>
      </c>
      <c r="J6" s="18" t="s">
        <v>24</v>
      </c>
      <c r="K6" s="2" t="str">
        <f t="shared" si="0"/>
        <v>insert into CHB_DATACHECK_RULE (CHECKRULEID,DATATYPE,CHECKCLASS,CHECKMETHOD,SRCPROPERTY,COMPARETO,OBJVALUE,REMARK,STATUS,NULLABLE) values ('CHB_PRD_OPENSCH-0003','CHB_PRD_OPENSCH','com.joyintech.tams.common.svreport.datacheck.service.BaseCheckLib','isCustomizedStringForWhitelist','PROD_ID','','^[\u0030-\u0039\u0041-\u005a\u0061-\u007a\u0020-\u0026\u0028-\u007B\u007D\u007E]{0,}$','产品代码只能含有白名单内的阿拉伯数字，英文字母，半角符号，全角符号。','E','Y');</v>
      </c>
    </row>
    <row r="7" spans="1:11" x14ac:dyDescent="0.15">
      <c r="A7" s="23" t="s">
        <v>78</v>
      </c>
      <c r="B7" s="24" t="s">
        <v>38</v>
      </c>
      <c r="C7" s="16" t="s">
        <v>21</v>
      </c>
      <c r="D7" s="16" t="s">
        <v>22</v>
      </c>
      <c r="E7" s="16" t="s">
        <v>45</v>
      </c>
      <c r="F7" s="16"/>
      <c r="G7" s="17"/>
      <c r="H7" s="18" t="s">
        <v>23</v>
      </c>
      <c r="I7" s="22" t="s">
        <v>46</v>
      </c>
      <c r="J7" s="18" t="s">
        <v>89</v>
      </c>
      <c r="K7" s="2" t="str">
        <f t="shared" si="0"/>
        <v>insert into CHB_DATACHECK_RULE (CHECKRULEID,DATATYPE,CHECKCLASS,CHECKMETHOD,SRCPROPERTY,COMPARETO,OBJVALUE,REMARK,STATUS,NULLABLE) values ('CHB_PRD_OPENSCH-0004','CHB_PRD_OPENSCH','com.joyintech.tams.common.svreport.datacheck.service.BaseCheckLib','isNotEmpty','PROD_NAME','','','产品名称要素不可为空。','D','N');</v>
      </c>
    </row>
    <row r="8" spans="1:11" x14ac:dyDescent="0.15">
      <c r="A8" s="23" t="s">
        <v>79</v>
      </c>
      <c r="B8" s="24" t="s">
        <v>38</v>
      </c>
      <c r="C8" s="16" t="s">
        <v>21</v>
      </c>
      <c r="D8" s="16" t="s">
        <v>33</v>
      </c>
      <c r="E8" s="16" t="s">
        <v>45</v>
      </c>
      <c r="F8" s="16"/>
      <c r="G8" s="17" t="s">
        <v>35</v>
      </c>
      <c r="H8" s="20" t="s">
        <v>26</v>
      </c>
      <c r="I8" s="18" t="s">
        <v>47</v>
      </c>
      <c r="J8" s="18" t="s">
        <v>24</v>
      </c>
      <c r="K8" s="2" t="str">
        <f t="shared" si="0"/>
        <v>insert into CHB_DATACHECK_RULE (CHECKRULEID,DATATYPE,CHECKCLASS,CHECKMETHOD,SRCPROPERTY,COMPARETO,OBJVALUE,REMARK,STATUS,NULLABLE) values ('CHB_PRD_OPENSCH-0005','CHB_PRD_OPENSCH','com.joyintech.tams.common.svreport.datacheck.service.BaseCheckLib','lessThanCharLength','PROD_NAME','','201','产品名称超长（最大长）200。','E','Y');</v>
      </c>
    </row>
    <row r="9" spans="1:11" x14ac:dyDescent="0.15">
      <c r="A9" s="23" t="s">
        <v>80</v>
      </c>
      <c r="B9" s="24" t="s">
        <v>38</v>
      </c>
      <c r="C9" s="21" t="s">
        <v>21</v>
      </c>
      <c r="D9" s="21" t="s">
        <v>48</v>
      </c>
      <c r="E9" s="20" t="s">
        <v>49</v>
      </c>
      <c r="F9" s="21" t="s">
        <v>50</v>
      </c>
      <c r="G9" s="21" t="s">
        <v>51</v>
      </c>
      <c r="H9" s="20" t="s">
        <v>26</v>
      </c>
      <c r="I9" s="21" t="s">
        <v>52</v>
      </c>
      <c r="J9" s="21" t="s">
        <v>24</v>
      </c>
      <c r="K9" s="2" t="str">
        <f t="shared" si="0"/>
        <v>insert into CHB_DATACHECK_RULE (CHECKRULEID,DATATYPE,CHECKCLASS,CHECKMETHOD,SRCPROPERTY,COMPARETO,OBJVALUE,REMARK,STATUS,NULLABLE) values ('CHB_PRD_OPENSCH-0006','CHB_PRD_OPENSCH','com.joyintech.tams.common.svreport.datacheck.service.BaseCheckLib','isCustomizedStringForWhitelist','PROD_NAME','inWhitelistNoSymbol','^[\u4e00-\u9fef-\u3400-\u4db5-\u20000-\u2a6d6-\u2a700-\u2b734-\u2b740-\u2b81d-\u2b820-\u2cea1-\u2ceb0-\u2ebe0-\uf900-\ufad9\ue815-\ue86f\u00b7\u0030-\u0039\u0041-\u005A-\u0061-\u007A\u2160-\u216B]{0,}$','产品名称必须填写白名单中的文字，仅可由汉字、阿拉伯数字、英文字母组成，建议名称中不要含有任何符号。','E','Y');</v>
      </c>
    </row>
    <row r="10" spans="1:11" x14ac:dyDescent="0.15">
      <c r="A10" s="23" t="s">
        <v>81</v>
      </c>
      <c r="B10" s="24" t="s">
        <v>38</v>
      </c>
      <c r="C10" s="16" t="s">
        <v>21</v>
      </c>
      <c r="D10" s="16" t="s">
        <v>22</v>
      </c>
      <c r="E10" s="16" t="s">
        <v>54</v>
      </c>
      <c r="F10" s="16"/>
      <c r="G10" s="17"/>
      <c r="H10" s="18" t="s">
        <v>23</v>
      </c>
      <c r="I10" s="22" t="s">
        <v>53</v>
      </c>
      <c r="J10" s="18" t="s">
        <v>24</v>
      </c>
      <c r="K10" s="2" t="str">
        <f t="shared" si="0"/>
        <v>insert into CHB_DATACHECK_RULE (CHECKRULEID,DATATYPE,CHECKCLASS,CHECKMETHOD,SRCPROPERTY,COMPARETO,OBJVALUE,REMARK,STATUS,NULLABLE) values ('CHB_PRD_OPENSCH-0009','CHB_PRD_OPENSCH','com.joyintech.tams.common.svreport.datacheck.service.BaseCheckLib','isNotEmpty','PLAN_TYPE','','','计划类型要素不可为空。','E','N');</v>
      </c>
    </row>
    <row r="11" spans="1:11" x14ac:dyDescent="0.15">
      <c r="A11" s="23" t="s">
        <v>82</v>
      </c>
      <c r="B11" s="24" t="s">
        <v>38</v>
      </c>
      <c r="C11" s="16" t="s">
        <v>21</v>
      </c>
      <c r="D11" s="16" t="s">
        <v>27</v>
      </c>
      <c r="E11" s="16" t="s">
        <v>55</v>
      </c>
      <c r="F11" s="16" t="s">
        <v>25</v>
      </c>
      <c r="G11" s="17" t="s">
        <v>56</v>
      </c>
      <c r="H11" s="20" t="s">
        <v>26</v>
      </c>
      <c r="I11" s="19" t="s">
        <v>57</v>
      </c>
      <c r="J11" s="18" t="s">
        <v>24</v>
      </c>
      <c r="K11" s="2" t="str">
        <f t="shared" si="0"/>
        <v>insert into CHB_DATACHECK_RULE (CHECKRULEID,DATATYPE,CHECKCLASS,CHECKMETHOD,SRCPROPERTY,COMPARETO,OBJVALUE,REMARK,STATUS,NULLABLE) values ('CHB_PRD_OPENSCH-0010','CHB_PRD_OPENSCH','com.joyintech.tams.common.svreport.datacheck.service.BaseCheckLib','inDatadict','PLAN_TYPE','==','RANSOM_ISSUE_MODE','计划类型不在值域范围内。','E','Y');</v>
      </c>
    </row>
    <row r="12" spans="1:11" x14ac:dyDescent="0.15">
      <c r="A12" s="23" t="s">
        <v>83</v>
      </c>
      <c r="B12" s="24" t="s">
        <v>38</v>
      </c>
      <c r="C12" s="21" t="s">
        <v>21</v>
      </c>
      <c r="D12" s="21" t="s">
        <v>28</v>
      </c>
      <c r="E12" s="20" t="s">
        <v>58</v>
      </c>
      <c r="F12" s="21" t="s">
        <v>25</v>
      </c>
      <c r="G12" s="21" t="s">
        <v>59</v>
      </c>
      <c r="H12" s="20" t="s">
        <v>26</v>
      </c>
      <c r="I12" s="21" t="s">
        <v>62</v>
      </c>
      <c r="J12" s="20" t="s">
        <v>24</v>
      </c>
      <c r="K12" s="2" t="str">
        <f t="shared" si="0"/>
        <v>insert into CHB_DATACHECK_RULE (CHECKRULEID,DATATYPE,CHECKCLASS,CHECKMETHOD,SRCPROPERTY,COMPARETO,OBJVALUE,REMARK,STATUS,NULLABLE) values ('CHB_PRD_OPENSCH-0011','CHB_PRD_OPENSCH','com.joyintech.tams.common.svreport.datacheck.service.BaseCheckLib','isValidDate','OPEN_START','==','yyyy-MM-dd','开放周期起始日必须为日期格式（YYYY-MM-DD）且为正确的日期。','E','Y');</v>
      </c>
    </row>
    <row r="13" spans="1:11" x14ac:dyDescent="0.15">
      <c r="A13" s="23" t="s">
        <v>84</v>
      </c>
      <c r="B13" s="24" t="s">
        <v>38</v>
      </c>
      <c r="C13" s="21" t="s">
        <v>21</v>
      </c>
      <c r="D13" s="21" t="s">
        <v>22</v>
      </c>
      <c r="E13" s="20" t="s">
        <v>58</v>
      </c>
      <c r="F13" s="21"/>
      <c r="G13" s="21"/>
      <c r="H13" s="20" t="s">
        <v>23</v>
      </c>
      <c r="I13" s="21" t="s">
        <v>64</v>
      </c>
      <c r="J13" s="20" t="s">
        <v>24</v>
      </c>
      <c r="K13" s="2" t="str">
        <f t="shared" si="0"/>
        <v>insert into CHB_DATACHECK_RULE (CHECKRULEID,DATATYPE,CHECKCLASS,CHECKMETHOD,SRCPROPERTY,COMPARETO,OBJVALUE,REMARK,STATUS,NULLABLE) values ('CHB_PRD_OPENSCH-0012','CHB_PRD_OPENSCH','com.joyintech.tams.common.svreport.datacheck.service.BaseCheckLib','isNotEmpty','OPEN_START','','','开放周期起始日要素不可为空。','E','N');</v>
      </c>
    </row>
    <row r="14" spans="1:11" x14ac:dyDescent="0.15">
      <c r="A14" s="23" t="s">
        <v>85</v>
      </c>
      <c r="B14" s="24" t="s">
        <v>66</v>
      </c>
      <c r="C14" s="21" t="s">
        <v>21</v>
      </c>
      <c r="D14" s="21" t="s">
        <v>28</v>
      </c>
      <c r="E14" s="20" t="s">
        <v>60</v>
      </c>
      <c r="F14" s="21" t="s">
        <v>25</v>
      </c>
      <c r="G14" s="21" t="s">
        <v>59</v>
      </c>
      <c r="H14" s="20" t="s">
        <v>26</v>
      </c>
      <c r="I14" s="21" t="s">
        <v>63</v>
      </c>
      <c r="J14" s="20" t="s">
        <v>24</v>
      </c>
      <c r="K14" s="2" t="str">
        <f t="shared" si="0"/>
        <v>insert into CHB_DATACHECK_RULE (CHECKRULEID,DATATYPE,CHECKCLASS,CHECKMETHOD,SRCPROPERTY,COMPARETO,OBJVALUE,REMARK,STATUS,NULLABLE) values ('CHB_PRD_OPENSCH-0013','CHB_PRD_OPENSCH','com.joyintech.tams.common.svreport.datacheck.service.BaseCheckLib','isValidDate','OPEN_END','==','yyyy-MM-dd','开放周期结束日必须为日期格式（YYYY-MM-DD）且为正确的日期。','E','Y');</v>
      </c>
    </row>
    <row r="15" spans="1:11" x14ac:dyDescent="0.15">
      <c r="A15" s="23" t="s">
        <v>86</v>
      </c>
      <c r="B15" s="24" t="s">
        <v>67</v>
      </c>
      <c r="C15" s="21" t="s">
        <v>21</v>
      </c>
      <c r="D15" s="21" t="s">
        <v>22</v>
      </c>
      <c r="E15" s="20" t="s">
        <v>60</v>
      </c>
      <c r="F15" s="21"/>
      <c r="G15" s="21"/>
      <c r="H15" s="20" t="s">
        <v>23</v>
      </c>
      <c r="I15" s="21" t="s">
        <v>65</v>
      </c>
      <c r="J15" s="20" t="s">
        <v>24</v>
      </c>
      <c r="K15" s="2" t="str">
        <f t="shared" si="0"/>
        <v>insert into CHB_DATACHECK_RULE (CHECKRULEID,DATATYPE,CHECKCLASS,CHECKMETHOD,SRCPROPERTY,COMPARETO,OBJVALUE,REMARK,STATUS,NULLABLE) values ('CHB_PRD_OPENSCH-0014','CHB_PRD_OPENSCH','com.joyintech.tams.common.svreport.datacheck.service.BaseCheckLib','isNotEmpty','OPEN_END','','','开放周期结束日要素不可为空。','E','N');</v>
      </c>
    </row>
    <row r="16" spans="1:11" x14ac:dyDescent="0.15">
      <c r="A16" s="23" t="s">
        <v>87</v>
      </c>
      <c r="B16" s="24" t="s">
        <v>66</v>
      </c>
      <c r="C16" s="21" t="s">
        <v>21</v>
      </c>
      <c r="D16" s="21" t="s">
        <v>28</v>
      </c>
      <c r="E16" s="20" t="s">
        <v>61</v>
      </c>
      <c r="F16" s="21" t="s">
        <v>25</v>
      </c>
      <c r="G16" s="21" t="s">
        <v>59</v>
      </c>
      <c r="H16" s="20" t="s">
        <v>26</v>
      </c>
      <c r="I16" s="21" t="s">
        <v>68</v>
      </c>
      <c r="J16" s="20" t="s">
        <v>24</v>
      </c>
      <c r="K16" s="2" t="str">
        <f t="shared" si="0"/>
        <v>insert into CHB_DATACHECK_RULE (CHECKRULEID,DATATYPE,CHECKCLASS,CHECKMETHOD,SRCPROPERTY,COMPARETO,OBJVALUE,REMARK,STATUS,NULLABLE) values ('CHB_PRD_OPENSCH-0015','CHB_PRD_OPENSCH','com.joyintech.tams.common.svreport.datacheck.service.BaseCheckLib','isValidDate','OPEN_VDATE','==','yyyy-MM-dd','开放周期起息日必须为日期格式（YYYY-MM-DD）且为正确的日期。','E','Y');</v>
      </c>
    </row>
    <row r="17" spans="1:11" x14ac:dyDescent="0.15">
      <c r="A17" s="23" t="s">
        <v>88</v>
      </c>
      <c r="B17" s="24" t="s">
        <v>69</v>
      </c>
      <c r="C17" s="21" t="s">
        <v>21</v>
      </c>
      <c r="D17" s="21" t="s">
        <v>22</v>
      </c>
      <c r="E17" s="20" t="s">
        <v>61</v>
      </c>
      <c r="F17" s="21"/>
      <c r="G17" s="21"/>
      <c r="H17" s="20" t="s">
        <v>23</v>
      </c>
      <c r="I17" s="21" t="s">
        <v>70</v>
      </c>
      <c r="J17" s="20" t="s">
        <v>24</v>
      </c>
      <c r="K17" s="2" t="str">
        <f t="shared" si="0"/>
        <v>insert into CHB_DATACHECK_RULE (CHECKRULEID,DATATYPE,CHECKCLASS,CHECKMETHOD,SRCPROPERTY,COMPARETO,OBJVALUE,REMARK,STATUS,NULLABLE) values ('CHB_PRD_OPENSCH-0016','CHB_PRD_OPENSCH','com.joyintech.tams.common.svreport.datacheck.service.BaseCheckLib','isNotEmpty','OPEN_VDATE','','','开放周期起息日要素不可为空。','E','N');</v>
      </c>
    </row>
  </sheetData>
  <autoFilter ref="A2:K9"/>
  <mergeCells count="1">
    <mergeCell ref="A3:J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B8" sqref="B8"/>
    </sheetView>
  </sheetViews>
  <sheetFormatPr defaultColWidth="7.19921875" defaultRowHeight="18.75" x14ac:dyDescent="0.25"/>
  <cols>
    <col min="1" max="1" width="7.19921875" style="3"/>
    <col min="2" max="3" width="27.8984375" style="3" bestFit="1" customWidth="1"/>
    <col min="4" max="4" width="16.5" style="3" customWidth="1"/>
    <col min="5" max="5" width="9.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0" s="2" customFormat="1" ht="12" x14ac:dyDescent="0.25">
      <c r="B1" s="5" t="s">
        <v>29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0" s="2" customFormat="1" ht="24" x14ac:dyDescent="0.25">
      <c r="A2" s="8" t="s">
        <v>10</v>
      </c>
      <c r="B2" s="5" t="s">
        <v>30</v>
      </c>
      <c r="C2" s="5" t="s">
        <v>31</v>
      </c>
      <c r="D2" s="5" t="s">
        <v>14</v>
      </c>
      <c r="E2" s="6" t="s">
        <v>15</v>
      </c>
      <c r="F2" s="5" t="s">
        <v>16</v>
      </c>
      <c r="G2" s="7" t="s">
        <v>32</v>
      </c>
      <c r="H2" s="7" t="s">
        <v>19</v>
      </c>
      <c r="I2" s="5" t="s">
        <v>20</v>
      </c>
    </row>
    <row r="3" spans="1:10" s="2" customFormat="1" x14ac:dyDescent="0.25">
      <c r="A3" s="3"/>
      <c r="B3" s="25" t="s">
        <v>74</v>
      </c>
      <c r="C3" s="25"/>
      <c r="D3" s="25"/>
      <c r="E3" s="25"/>
      <c r="F3" s="25"/>
      <c r="G3" s="25"/>
      <c r="H3" s="25"/>
      <c r="I3" s="25"/>
      <c r="J3" s="2" t="s">
        <v>34</v>
      </c>
    </row>
    <row r="4" spans="1:10" s="9" customFormat="1" ht="12" x14ac:dyDescent="0.15">
      <c r="A4" s="14"/>
      <c r="B4" s="15"/>
      <c r="C4" s="15"/>
      <c r="D4" s="15"/>
      <c r="E4" s="15"/>
      <c r="F4" s="15"/>
      <c r="G4" s="15"/>
      <c r="H4" s="15"/>
      <c r="I4" s="15"/>
      <c r="J4" s="13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('','','','','','','','');</v>
      </c>
    </row>
    <row r="5" spans="1:10" x14ac:dyDescent="0.25">
      <c r="C5" s="12"/>
    </row>
    <row r="6" spans="1:10" x14ac:dyDescent="0.25">
      <c r="C6" s="12"/>
    </row>
  </sheetData>
  <autoFilter ref="B1:I4"/>
  <mergeCells count="1">
    <mergeCell ref="B3:I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 x14ac:dyDescent="0.25"/>
  <cols>
    <col min="1" max="1" width="18.09765625" style="1" customWidth="1"/>
    <col min="2" max="16384" width="8.796875" style="1"/>
  </cols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2021-01-21T01:39:54Z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