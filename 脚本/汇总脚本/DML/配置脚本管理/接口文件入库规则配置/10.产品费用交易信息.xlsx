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TIS-PBC\2.1.6\脚本管理\业务数据维护脚本\接口文件入库规则配置\"/>
    </mc:Choice>
  </mc:AlternateContent>
  <bookViews>
    <workbookView xWindow="0" yWindow="0" windowWidth="20490" windowHeight="7770" activeTab="1"/>
  </bookViews>
  <sheets>
    <sheet name="规则表配置" sheetId="3" r:id="rId1"/>
    <sheet name="规则条件表" sheetId="4" r:id="rId2"/>
  </sheets>
  <definedNames>
    <definedName name="_xlnm._FilterDatabase" localSheetId="0" hidden="1">规则表配置!$A$2:$K$34</definedName>
    <definedName name="_xlnm._FilterDatabase" localSheetId="1" hidden="1">规则条件表!$B$1:$I$4</definedName>
  </definedNames>
  <calcPr calcId="152511"/>
</workbook>
</file>

<file path=xl/calcChain.xml><?xml version="1.0" encoding="utf-8"?>
<calcChain xmlns="http://schemas.openxmlformats.org/spreadsheetml/2006/main">
  <c r="K36" i="3" l="1"/>
  <c r="K37" i="3"/>
  <c r="K35" i="3"/>
  <c r="J7" i="4"/>
  <c r="J6" i="4" l="1"/>
  <c r="J5" i="4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J4" i="4"/>
  <c r="K4" i="3"/>
</calcChain>
</file>

<file path=xl/sharedStrings.xml><?xml version="1.0" encoding="utf-8"?>
<sst xmlns="http://schemas.openxmlformats.org/spreadsheetml/2006/main" count="376" uniqueCount="174">
  <si>
    <t>CHECKRULEID</t>
  </si>
  <si>
    <t>DATATYPE</t>
  </si>
  <si>
    <t>CHECKCLASS</t>
  </si>
  <si>
    <t>CHECKMETHOD</t>
  </si>
  <si>
    <t>SRCPROPERTY</t>
  </si>
  <si>
    <t>COMPARETO</t>
  </si>
  <si>
    <t>OBJVALUE</t>
  </si>
  <si>
    <t>NULLABLE</t>
  </si>
  <si>
    <t>REMARK</t>
  </si>
  <si>
    <t>STATUS</t>
  </si>
  <si>
    <t>序号</t>
  </si>
  <si>
    <t>规则标识</t>
  </si>
  <si>
    <t>检查的对象类型</t>
  </si>
  <si>
    <t>检查类</t>
  </si>
  <si>
    <t>检查方法</t>
  </si>
  <si>
    <t>被检查的字段</t>
  </si>
  <si>
    <t>检查比较关系：&gt;,&lt;,&gt;=,&lt;=,==,!=</t>
  </si>
  <si>
    <t>目标结果，对于日期格式，年:小写yyyy或者yy，月:大写MM，日:小写dd，时:大写HH,分:小写mm，秒:小写ss</t>
  </si>
  <si>
    <t>是否可为空，Y－是，N－否，默认为否，表示当SRCPROPERTY的值如果传入是空，校验不通过</t>
  </si>
  <si>
    <t>备注</t>
  </si>
  <si>
    <t>有效状态,E:有效,D:删除</t>
  </si>
  <si>
    <t>com.joyintech.tams.common.svreport.datacheck.service.BaseCheckLib</t>
  </si>
  <si>
    <t>isNotEmpty</t>
  </si>
  <si>
    <t>N</t>
  </si>
  <si>
    <t>E</t>
  </si>
  <si>
    <t>==</t>
  </si>
  <si>
    <t>0</t>
  </si>
  <si>
    <t>Y</t>
  </si>
  <si>
    <t>compareValueAsNumber</t>
  </si>
  <si>
    <t>isValidDate</t>
  </si>
  <si>
    <t>CHECKCONDITIONID</t>
  </si>
  <si>
    <t>主键</t>
  </si>
  <si>
    <t>检查规则标识，检查规则表主键</t>
  </si>
  <si>
    <t>目标结果</t>
  </si>
  <si>
    <t>lessThanCharLength</t>
  </si>
  <si>
    <t>PROD_ID</t>
    <phoneticPr fontId="4" type="noConversion"/>
  </si>
  <si>
    <t>产品代码要素不可为空。</t>
    <phoneticPr fontId="4" type="noConversion"/>
  </si>
  <si>
    <t>isCustomizedStringForWhitelist</t>
    <phoneticPr fontId="4" type="noConversion"/>
  </si>
  <si>
    <t>^[\u0030-\u0039\u0041-\u005a\u0061-\u007a\u0020-\u0026\u0028-\u007B\u007D\u007E]{0,}$</t>
    <phoneticPr fontId="4" type="noConversion"/>
  </si>
  <si>
    <t>51</t>
    <phoneticPr fontId="4" type="noConversion"/>
  </si>
  <si>
    <t>产品代码超长（最大长50）。</t>
    <phoneticPr fontId="4" type="noConversion"/>
  </si>
  <si>
    <t>yyyy-MM-dd</t>
    <phoneticPr fontId="4" type="noConversion"/>
  </si>
  <si>
    <t>PROD_ID</t>
    <phoneticPr fontId="4" type="noConversion"/>
  </si>
  <si>
    <t>产品代码只能含有白名单内的阿拉伯数字，英文字母，半角符号，全角符号。</t>
    <phoneticPr fontId="4" type="noConversion"/>
  </si>
  <si>
    <t>FPROD_ID</t>
    <phoneticPr fontId="4" type="noConversion"/>
  </si>
  <si>
    <t>FPROD_ID</t>
    <phoneticPr fontId="4" type="noConversion"/>
  </si>
  <si>
    <t>父产品代码超长（最大长50）。</t>
    <phoneticPr fontId="4" type="noConversion"/>
  </si>
  <si>
    <t>父产品代码只能含有白名单内的阿拉伯数字，英文字母，半角符号，全角符号。</t>
    <phoneticPr fontId="4" type="noConversion"/>
  </si>
  <si>
    <t>isNumber2</t>
  </si>
  <si>
    <t>&gt;=</t>
  </si>
  <si>
    <t>CHB_PRD_FEE_DEAL</t>
    <phoneticPr fontId="4" type="noConversion"/>
  </si>
  <si>
    <t>PROD_NAME</t>
  </si>
  <si>
    <t>201</t>
  </si>
  <si>
    <t>产品名称超长（最大长）200。</t>
    <phoneticPr fontId="4" type="noConversion"/>
  </si>
  <si>
    <t>isCustomizedStringForWhitelist</t>
    <phoneticPr fontId="4" type="noConversion"/>
  </si>
  <si>
    <t>PROD_NAME</t>
    <phoneticPr fontId="4" type="noConversion"/>
  </si>
  <si>
    <t>inWhitelistNoSymbol</t>
  </si>
  <si>
    <t>产品名称必须填写白名单中的文字，仅可由汉字、阿拉伯数字、英文字母组成，建议名称中不要含有任何符号。</t>
    <phoneticPr fontId="4" type="noConversion"/>
  </si>
  <si>
    <t>CHB_PRD_FEE_DEAL</t>
    <phoneticPr fontId="4" type="noConversion"/>
  </si>
  <si>
    <t>33</t>
  </si>
  <si>
    <t>isCustomizedString</t>
  </si>
  <si>
    <t>^[\u0020-\u0026-\u0028-\u007B-\u007D-\u007E-\u2000-\u2040-\u2160-\u216B-\u3000-\u301F-\uFF00-\uFF65-\uFFE0-\uFFEF]{0,}$</t>
  </si>
  <si>
    <t>TRADE_ID</t>
    <phoneticPr fontId="4" type="noConversion"/>
  </si>
  <si>
    <t>交易编码只能含有白名单内的阿拉伯数字，英文字母，半角符号，全角符号。</t>
    <phoneticPr fontId="4" type="noConversion"/>
  </si>
  <si>
    <t>交易编码过长。</t>
    <phoneticPr fontId="4" type="noConversion"/>
  </si>
  <si>
    <t>交易编码要素不可为空。</t>
    <phoneticPr fontId="4" type="noConversion"/>
  </si>
  <si>
    <t>CCY</t>
  </si>
  <si>
    <t>币种要素不可为空。</t>
  </si>
  <si>
    <t>inDatadict</t>
  </si>
  <si>
    <t>CURRENCY_CHB</t>
  </si>
  <si>
    <t>币种不在值域范围内。</t>
  </si>
  <si>
    <t>AMT</t>
  </si>
  <si>
    <t>15,2</t>
  </si>
  <si>
    <t>金额必须大于等于0。</t>
    <phoneticPr fontId="4" type="noConversion"/>
  </si>
  <si>
    <t>金额必须为n（15,2）格式。</t>
    <phoneticPr fontId="4" type="noConversion"/>
  </si>
  <si>
    <t>金额要素不可为空。</t>
    <phoneticPr fontId="4" type="noConversion"/>
  </si>
  <si>
    <t>isCustomizedStringForWhitelist</t>
  </si>
  <si>
    <t>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</t>
  </si>
  <si>
    <t>FEE_NAME</t>
    <phoneticPr fontId="4" type="noConversion"/>
  </si>
  <si>
    <t>费用名称要素不可为空。</t>
    <phoneticPr fontId="4" type="noConversion"/>
  </si>
  <si>
    <t>费用名称过长。</t>
    <phoneticPr fontId="4" type="noConversion"/>
  </si>
  <si>
    <t>费用名称必须填写白名单中的文字。</t>
    <phoneticPr fontId="4" type="noConversion"/>
  </si>
  <si>
    <t>TRADE_COUNTER</t>
  </si>
  <si>
    <t>交易对手方必须填写白名单中的文字。</t>
  </si>
  <si>
    <t>交易对手方要素不可为空。</t>
  </si>
  <si>
    <t>交易对手方过长。</t>
  </si>
  <si>
    <t>257</t>
  </si>
  <si>
    <t>备注要素文字长度（最大长）256</t>
  </si>
  <si>
    <t>备注必须填写白名单中的文字。</t>
  </si>
  <si>
    <t>费用类型不在值域范围内。</t>
    <phoneticPr fontId="4" type="noConversion"/>
  </si>
  <si>
    <t>SVR_FEE_TYPE</t>
    <phoneticPr fontId="4" type="noConversion"/>
  </si>
  <si>
    <t>RIVAL_PARTY_TYPE</t>
  </si>
  <si>
    <t>交易对手方类型要素不可为空。</t>
  </si>
  <si>
    <t>SVR_RIVAL_PARTY_TYPE</t>
  </si>
  <si>
    <t>交易对手方类型不在值域范围内。</t>
  </si>
  <si>
    <t>inArray</t>
  </si>
  <si>
    <t>CHB_PRD_FEE_DEAL</t>
    <phoneticPr fontId="4" type="noConversion"/>
  </si>
  <si>
    <t>PAY_DATE</t>
    <phoneticPr fontId="4" type="noConversion"/>
  </si>
  <si>
    <t>REV_DATE</t>
    <phoneticPr fontId="4" type="noConversion"/>
  </si>
  <si>
    <t>撤销日必须为日期格式（YYYY-MM-DD）且为正确的日期。</t>
    <phoneticPr fontId="4" type="noConversion"/>
  </si>
  <si>
    <t>撤销日要素不可为空。</t>
    <phoneticPr fontId="4" type="noConversion"/>
  </si>
  <si>
    <t>支付日必须为日期格式（YYYY-MM-DD）且为正确的日期。</t>
    <phoneticPr fontId="4" type="noConversion"/>
  </si>
  <si>
    <t>支付日要素不可为空。</t>
    <phoneticPr fontId="4" type="noConversion"/>
  </si>
  <si>
    <t>RIVAL_PARTY_TYPE</t>
    <phoneticPr fontId="4" type="noConversion"/>
  </si>
  <si>
    <t>99</t>
    <phoneticPr fontId="4" type="noConversion"/>
  </si>
  <si>
    <t>E</t>
    <phoneticPr fontId="4" type="noConversion"/>
  </si>
  <si>
    <t>delete  CHB_DATACHECK_RULE where datatype='CHB_PRD_FEE_DEAL';</t>
    <phoneticPr fontId="4" type="noConversion"/>
  </si>
  <si>
    <t>CHB_PRD_FEE_DEAL-CON0001</t>
    <phoneticPr fontId="4" type="noConversion"/>
  </si>
  <si>
    <t>delete from chb_datacheck_condition t where t.checkruleid in (select checkruleid from chb_datacheck_rule t where t.datatype = 'CHB_PRD_FEE_DEAL');</t>
    <phoneticPr fontId="4" type="noConversion"/>
  </si>
  <si>
    <t>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</t>
    <phoneticPr fontId="4" type="noConversion"/>
  </si>
  <si>
    <t>TRADE_COUNTER</t>
    <phoneticPr fontId="4" type="noConversion"/>
  </si>
  <si>
    <t>CHB_PRD_FEE_DEAL</t>
    <phoneticPr fontId="4" type="noConversion"/>
  </si>
  <si>
    <t>CHB_PRD_FEE_DEAL-E001-007F0100700001</t>
    <phoneticPr fontId="4" type="noConversion"/>
  </si>
  <si>
    <t>CHB_PRD_FEE_DEAL-E001-007F0100700002</t>
  </si>
  <si>
    <t>CHB_PRD_FEE_DEAL-E001-007F0100700003</t>
  </si>
  <si>
    <t>CHB_PRD_FEE_DEAL-E001-007F0100700004</t>
  </si>
  <si>
    <t>CHB_PRD_FEE_DEAL-E001-007F0100700005</t>
  </si>
  <si>
    <t>CHB_PRD_FEE_DEAL-E001-007F0100700006</t>
  </si>
  <si>
    <t>CHB_PRD_FEE_DEAL-E001-007F0100700007</t>
  </si>
  <si>
    <t>CHB_PRD_FEE_DEAL-E001-007F0100700008</t>
  </si>
  <si>
    <t>CHB_PRD_FEE_DEAL-E001-007F0100700009</t>
  </si>
  <si>
    <t>CHB_PRD_FEE_DEAL-E001-007F0100700010</t>
  </si>
  <si>
    <t>CHB_PRD_FEE_DEAL-E001-007F0100700011</t>
  </si>
  <si>
    <t>CHB_PRD_FEE_DEAL-E001-007F0100700012</t>
  </si>
  <si>
    <t>CHB_PRD_FEE_DEAL-E001-007F0100700013</t>
  </si>
  <si>
    <t>CHB_PRD_FEE_DEAL-E001-007F0100700014</t>
  </si>
  <si>
    <t>CHB_PRD_FEE_DEAL-E001-007F0100700015</t>
  </si>
  <si>
    <t>CHB_PRD_FEE_DEAL-E001-007F0100700016</t>
  </si>
  <si>
    <t>CHB_PRD_FEE_DEAL-E001-007F0100700017</t>
  </si>
  <si>
    <t>CHB_PRD_FEE_DEAL-E001-007F0100700018</t>
  </si>
  <si>
    <t>CHB_PRD_FEE_DEAL-E001-007F0100700019</t>
  </si>
  <si>
    <t>CHB_PRD_FEE_DEAL-E001-007F0100700021</t>
  </si>
  <si>
    <t>CHB_PRD_FEE_DEAL-E001-007F0100700024</t>
  </si>
  <si>
    <t>CHB_PRD_FEE_DEAL-E001-007F0100700025</t>
  </si>
  <si>
    <t>CHB_PRD_FEE_DEAL-E001-007F0100700026</t>
  </si>
  <si>
    <t>CHB_PRD_FEE_DEAL-E001-007F0100700028</t>
  </si>
  <si>
    <t>CHB_PRD_FEE_DEAL-E001-007F0100700029</t>
  </si>
  <si>
    <t>CHB_PRD_FEE_DEAL-E001-007F0100700030</t>
  </si>
  <si>
    <t>CHB_PRD_FEE_DEAL-E001-007F0100700031</t>
    <phoneticPr fontId="4" type="noConversion"/>
  </si>
  <si>
    <t>CHB_PRD_FEE_DEAL-CON0002</t>
  </si>
  <si>
    <t>CHB_PRD_FEE_DEAL-E001-007F0100700020</t>
    <phoneticPr fontId="4" type="noConversion"/>
  </si>
  <si>
    <t>CHB_PRD_FEE_DEAL-E001-007F0100700023</t>
    <phoneticPr fontId="4" type="noConversion"/>
  </si>
  <si>
    <t>FEE_TYPE</t>
    <phoneticPr fontId="4" type="noConversion"/>
  </si>
  <si>
    <t>02</t>
    <phoneticPr fontId="4" type="noConversion"/>
  </si>
  <si>
    <t>当费用类型为其他机构费用时</t>
    <phoneticPr fontId="4" type="noConversion"/>
  </si>
  <si>
    <t>CHB_PRD_FEE_DEAL-CON0003</t>
  </si>
  <si>
    <t>2</t>
    <phoneticPr fontId="4" type="noConversion"/>
  </si>
  <si>
    <t>3</t>
    <phoneticPr fontId="4" type="noConversion"/>
  </si>
  <si>
    <t>4</t>
    <phoneticPr fontId="4" type="noConversion"/>
  </si>
  <si>
    <t>CHB_PRD_FEE_DEAL-CON0004</t>
    <phoneticPr fontId="4" type="noConversion"/>
  </si>
  <si>
    <t>CHB_PRD_FEE_DEAL</t>
    <phoneticPr fontId="4" type="noConversion"/>
  </si>
  <si>
    <t>STATUS</t>
    <phoneticPr fontId="4" type="noConversion"/>
  </si>
  <si>
    <t>D</t>
    <phoneticPr fontId="4" type="noConversion"/>
  </si>
  <si>
    <t>当数据状态为删除时</t>
    <phoneticPr fontId="4" type="noConversion"/>
  </si>
  <si>
    <t>CHB_PRD_FEE_DEAL-E001-007F0100700027</t>
    <phoneticPr fontId="4" type="noConversion"/>
  </si>
  <si>
    <t>CHB_PRD_FEE_DEAL-E001-007F0100700031</t>
    <phoneticPr fontId="4" type="noConversion"/>
  </si>
  <si>
    <t>CHB_PRD_FEE_DEAL-E001-007F0100700020</t>
    <phoneticPr fontId="4" type="noConversion"/>
  </si>
  <si>
    <t>当交易对手方类型为其他时</t>
    <phoneticPr fontId="4" type="noConversion"/>
  </si>
  <si>
    <t>FEE_TYPE</t>
    <phoneticPr fontId="4" type="noConversion"/>
  </si>
  <si>
    <t>CHB_PRD_FEE_DEAL-E001-007F0100700022</t>
    <phoneticPr fontId="4" type="noConversion"/>
  </si>
  <si>
    <t>FEE_SECTYPE</t>
  </si>
  <si>
    <t>CHB_PRD_FEE_DEAL-E001-007F0100700032</t>
    <phoneticPr fontId="4" type="noConversion"/>
  </si>
  <si>
    <t>N</t>
    <phoneticPr fontId="4" type="noConversion"/>
  </si>
  <si>
    <t>备注要素不可为空。</t>
    <phoneticPr fontId="4" type="noConversion"/>
  </si>
  <si>
    <t>FEE_SECTYPE</t>
    <phoneticPr fontId="4" type="noConversion"/>
  </si>
  <si>
    <t>SVR_FEE_SEC_TYPE</t>
  </si>
  <si>
    <t>N</t>
    <phoneticPr fontId="4" type="noConversion"/>
  </si>
  <si>
    <t>费用类型要素不可为空。</t>
    <phoneticPr fontId="4" type="noConversion"/>
  </si>
  <si>
    <t>CHB_PRD_FEE_DEAL-E001-007F0100700033</t>
    <phoneticPr fontId="4" type="noConversion"/>
  </si>
  <si>
    <t>费用二级类型要素不可为空。</t>
    <phoneticPr fontId="4" type="noConversion"/>
  </si>
  <si>
    <t>CHB_PRD_FEE_DEAL-E001-007F0100700034</t>
    <phoneticPr fontId="4" type="noConversion"/>
  </si>
  <si>
    <t>Y</t>
    <phoneticPr fontId="4" type="noConversion"/>
  </si>
  <si>
    <t>费用二级类型不在值域范围内。</t>
    <phoneticPr fontId="4" type="noConversion"/>
  </si>
  <si>
    <t>CHB_PRD_FEE_DEAL-E001-007F0100700027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</si>
</sst>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4"/>
      <color theme="1"/>
      <name val="黑体"/>
      <charset val="134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黑体"/>
      <family val="3"/>
      <charset val="134"/>
    </font>
    <font>
      <sz val="1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/>
    <xf numFmtId="49" fontId="2" fillId="0" borderId="0" xfId="0" applyNumberFormat="1" applyFont="1" applyAlignment="1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/>
    <xf numFmtId="0" fontId="5" fillId="0" borderId="1" xfId="0" applyFont="1" applyFill="1" applyBorder="1" applyAlignment="1">
      <alignment horizontal="justify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49" fontId="1" fillId="0" borderId="1" xfId="0" applyNumberFormat="1" applyFont="1" applyFill="1" applyBorder="1">
      <alignment vertical="center"/>
    </xf>
    <xf numFmtId="0" fontId="1" fillId="0" borderId="1" xfId="0" applyFont="1" applyFill="1" applyBorder="1">
      <alignment vertical="center"/>
    </xf>
    <xf numFmtId="49" fontId="1" fillId="4" borderId="1" xfId="0" applyNumberFormat="1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4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/>
    <xf numFmtId="0" fontId="1" fillId="4" borderId="0" xfId="0" applyFont="1" applyFill="1" applyBorder="1" applyAlignment="1">
      <alignment vertical="center"/>
    </xf>
    <xf numFmtId="0" fontId="1" fillId="4" borderId="0" xfId="0" applyFont="1" applyFill="1" applyAlignment="1"/>
    <xf numFmtId="0" fontId="3" fillId="3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opLeftCell="A25" workbookViewId="0">
      <selection activeCell="A30" sqref="A30"/>
    </sheetView>
  </sheetViews>
  <sheetFormatPr defaultColWidth="7.19921875" defaultRowHeight="12" x14ac:dyDescent="0.15"/>
  <cols>
    <col min="1" max="1" width="27.8984375" style="9" bestFit="1" customWidth="1"/>
    <col min="2" max="2" width="17.5" style="9" customWidth="1"/>
    <col min="3" max="3" width="16.5" style="9" customWidth="1"/>
    <col min="4" max="4" width="18.59765625" style="9" customWidth="1"/>
    <col min="5" max="5" width="11.19921875" style="9" customWidth="1"/>
    <col min="6" max="6" width="7.19921875" style="9"/>
    <col min="7" max="7" width="12.3984375" style="10" customWidth="1"/>
    <col min="8" max="8" width="7.19921875" style="8"/>
    <col min="9" max="9" width="21.796875" style="8" customWidth="1"/>
    <col min="10" max="10" width="5.296875" style="8" customWidth="1"/>
    <col min="11" max="16384" width="7.19921875" style="8"/>
  </cols>
  <sheetData>
    <row r="1" spans="1:11" s="1" customFormat="1" x14ac:dyDescent="0.2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4" t="s">
        <v>7</v>
      </c>
      <c r="I1" s="5" t="s">
        <v>8</v>
      </c>
      <c r="J1" s="5" t="s">
        <v>9</v>
      </c>
    </row>
    <row r="2" spans="1:11" s="1" customFormat="1" ht="17.25" customHeight="1" x14ac:dyDescent="0.25">
      <c r="A2" s="4" t="s">
        <v>11</v>
      </c>
      <c r="B2" s="4" t="s">
        <v>12</v>
      </c>
      <c r="C2" s="5" t="s">
        <v>13</v>
      </c>
      <c r="D2" s="5" t="s">
        <v>14</v>
      </c>
      <c r="E2" s="5" t="s">
        <v>15</v>
      </c>
      <c r="F2" s="5" t="s">
        <v>16</v>
      </c>
      <c r="G2" s="6" t="s">
        <v>17</v>
      </c>
      <c r="H2" s="5" t="s">
        <v>18</v>
      </c>
      <c r="I2" s="5" t="s">
        <v>19</v>
      </c>
      <c r="J2" s="5" t="s">
        <v>20</v>
      </c>
    </row>
    <row r="3" spans="1:11" s="1" customFormat="1" ht="15.75" customHeight="1" x14ac:dyDescent="0.25">
      <c r="A3" s="27" t="s">
        <v>96</v>
      </c>
      <c r="B3" s="27"/>
      <c r="C3" s="27"/>
      <c r="D3" s="27"/>
      <c r="E3" s="27"/>
      <c r="F3" s="27"/>
      <c r="G3" s="27"/>
      <c r="H3" s="27"/>
      <c r="I3" s="27"/>
      <c r="J3" s="27"/>
      <c r="K3" s="1" t="s">
        <v>106</v>
      </c>
    </row>
    <row r="4" spans="1:11" x14ac:dyDescent="0.15">
      <c r="A4" s="17" t="s">
        <v>112</v>
      </c>
      <c r="B4" s="18" t="s">
        <v>58</v>
      </c>
      <c r="C4" s="11" t="s">
        <v>21</v>
      </c>
      <c r="D4" s="11" t="s">
        <v>22</v>
      </c>
      <c r="E4" s="11" t="s">
        <v>35</v>
      </c>
      <c r="F4" s="11"/>
      <c r="G4" s="12"/>
      <c r="H4" s="13" t="s">
        <v>23</v>
      </c>
      <c r="I4" s="14" t="s">
        <v>36</v>
      </c>
      <c r="J4" s="13" t="s">
        <v>24</v>
      </c>
      <c r="K4" s="1" t="str">
        <f>CONCATENATE("insert into CHB_DATACHECK_RULE (CHECKRULEID,DATATYPE,CHECKCLASS,CHECKMETHOD,SRCPROPERTY,COMPARETO,OBJVALUE,REMARK,STATUS,NULLABLE) values ('",A4,"','",B4,"','",C4,"','",D4,"','",E4,"','",F4,"','",G4,"','",I4,"','",J4,"','",H4,"');")</f>
        <v>insert into CHB_DATACHECK_RULE (CHECKRULEID,DATATYPE,CHECKCLASS,CHECKMETHOD,SRCPROPERTY,COMPARETO,OBJVALUE,REMARK,STATUS,NULLABLE) values ('CHB_PRD_FEE_DEAL-E001-007F0100700001','CHB_PRD_FEE_DEAL','com.joyintech.tams.common.svreport.datacheck.service.BaseCheckLib','isNotEmpty','PROD_ID','','','产品代码要素不可为空。','E','N');</v>
      </c>
    </row>
    <row r="5" spans="1:11" x14ac:dyDescent="0.15">
      <c r="A5" s="17" t="s">
        <v>113</v>
      </c>
      <c r="B5" s="18" t="s">
        <v>50</v>
      </c>
      <c r="C5" s="11" t="s">
        <v>21</v>
      </c>
      <c r="D5" s="11" t="s">
        <v>34</v>
      </c>
      <c r="E5" s="11" t="s">
        <v>35</v>
      </c>
      <c r="F5" s="11"/>
      <c r="G5" s="12" t="s">
        <v>39</v>
      </c>
      <c r="H5" s="15" t="s">
        <v>27</v>
      </c>
      <c r="I5" s="13" t="s">
        <v>40</v>
      </c>
      <c r="J5" s="13" t="s">
        <v>24</v>
      </c>
      <c r="K5" s="1" t="str">
        <f t="shared" ref="K5:K34" si="0">CONCATENATE("insert into CHB_DATACHECK_RULE (CHECKRULEID,DATATYPE,CHECKCLASS,CHECKMETHOD,SRCPROPERTY,COMPARETO,OBJVALUE,REMARK,STATUS,NULLABLE) values ('",A5,"','",B5,"','",C5,"','",D5,"','",E5,"','",F5,"','",G5,"','",I5,"','",J5,"','",H5,"');")</f>
        <v>insert into CHB_DATACHECK_RULE (CHECKRULEID,DATATYPE,CHECKCLASS,CHECKMETHOD,SRCPROPERTY,COMPARETO,OBJVALUE,REMARK,STATUS,NULLABLE) values ('CHB_PRD_FEE_DEAL-E001-007F0100700002','CHB_PRD_FEE_DEAL','com.joyintech.tams.common.svreport.datacheck.service.BaseCheckLib','lessThanCharLength','PROD_ID','','51','产品代码超长（最大长50）。','E','Y');</v>
      </c>
    </row>
    <row r="6" spans="1:11" x14ac:dyDescent="0.15">
      <c r="A6" s="17" t="s">
        <v>114</v>
      </c>
      <c r="B6" s="18" t="s">
        <v>50</v>
      </c>
      <c r="C6" s="11" t="s">
        <v>21</v>
      </c>
      <c r="D6" s="11" t="s">
        <v>37</v>
      </c>
      <c r="E6" s="11" t="s">
        <v>42</v>
      </c>
      <c r="F6" s="11"/>
      <c r="G6" s="12" t="s">
        <v>38</v>
      </c>
      <c r="H6" s="15" t="s">
        <v>27</v>
      </c>
      <c r="I6" s="13" t="s">
        <v>43</v>
      </c>
      <c r="J6" s="13" t="s">
        <v>24</v>
      </c>
      <c r="K6" s="1" t="str">
        <f t="shared" si="0"/>
        <v>insert into CHB_DATACHECK_RULE (CHECKRULEID,DATATYPE,CHECKCLASS,CHECKMETHOD,SRCPROPERTY,COMPARETO,OBJVALUE,REMARK,STATUS,NULLABLE) values ('CHB_PRD_FEE_DEAL-E001-007F0100700003','CHB_PRD_FEE_DEAL','com.joyintech.tams.common.svreport.datacheck.service.BaseCheckLib','isCustomizedStringForWhitelist','PROD_ID','','^[\u0030-\u0039\u0041-\u005a\u0061-\u007a\u0020-\u0026\u0028-\u007B\u007D\u007E]{0,}$','产品代码只能含有白名单内的阿拉伯数字，英文字母，半角符号，全角符号。','E','Y');</v>
      </c>
    </row>
    <row r="7" spans="1:11" x14ac:dyDescent="0.15">
      <c r="A7" s="17" t="s">
        <v>115</v>
      </c>
      <c r="B7" s="18" t="s">
        <v>50</v>
      </c>
      <c r="C7" s="11" t="s">
        <v>21</v>
      </c>
      <c r="D7" s="11" t="s">
        <v>37</v>
      </c>
      <c r="E7" s="11" t="s">
        <v>44</v>
      </c>
      <c r="F7" s="11"/>
      <c r="G7" s="12" t="s">
        <v>38</v>
      </c>
      <c r="H7" s="15" t="s">
        <v>27</v>
      </c>
      <c r="I7" s="13" t="s">
        <v>47</v>
      </c>
      <c r="J7" s="13" t="s">
        <v>24</v>
      </c>
      <c r="K7" s="1" t="str">
        <f t="shared" si="0"/>
        <v>insert into CHB_DATACHECK_RULE (CHECKRULEID,DATATYPE,CHECKCLASS,CHECKMETHOD,SRCPROPERTY,COMPARETO,OBJVALUE,REMARK,STATUS,NULLABLE) values ('CHB_PRD_FEE_DEAL-E001-007F0100700004','CHB_PRD_FEE_DEAL','com.joyintech.tams.common.svreport.datacheck.service.BaseCheckLib','isCustomizedStringForWhitelist','FPROD_ID','','^[\u0030-\u0039\u0041-\u005a\u0061-\u007a\u0020-\u0026\u0028-\u007B\u007D\u007E]{0,}$','父产品代码只能含有白名单内的阿拉伯数字，英文字母，半角符号，全角符号。','E','Y');</v>
      </c>
    </row>
    <row r="8" spans="1:11" x14ac:dyDescent="0.15">
      <c r="A8" s="17" t="s">
        <v>116</v>
      </c>
      <c r="B8" s="18" t="s">
        <v>50</v>
      </c>
      <c r="C8" s="11" t="s">
        <v>21</v>
      </c>
      <c r="D8" s="11" t="s">
        <v>34</v>
      </c>
      <c r="E8" s="11" t="s">
        <v>45</v>
      </c>
      <c r="F8" s="11"/>
      <c r="G8" s="12" t="s">
        <v>39</v>
      </c>
      <c r="H8" s="15" t="s">
        <v>27</v>
      </c>
      <c r="I8" s="13" t="s">
        <v>46</v>
      </c>
      <c r="J8" s="13" t="s">
        <v>24</v>
      </c>
      <c r="K8" s="1" t="str">
        <f t="shared" si="0"/>
        <v>insert into CHB_DATACHECK_RULE (CHECKRULEID,DATATYPE,CHECKCLASS,CHECKMETHOD,SRCPROPERTY,COMPARETO,OBJVALUE,REMARK,STATUS,NULLABLE) values ('CHB_PRD_FEE_DEAL-E001-007F0100700005','CHB_PRD_FEE_DEAL','com.joyintech.tams.common.svreport.datacheck.service.BaseCheckLib','lessThanCharLength','FPROD_ID','','51','父产品代码超长（最大长50）。','E','Y');</v>
      </c>
    </row>
    <row r="9" spans="1:11" x14ac:dyDescent="0.15">
      <c r="A9" s="17" t="s">
        <v>117</v>
      </c>
      <c r="B9" s="18" t="s">
        <v>50</v>
      </c>
      <c r="C9" s="11" t="s">
        <v>21</v>
      </c>
      <c r="D9" s="11" t="s">
        <v>34</v>
      </c>
      <c r="E9" s="11" t="s">
        <v>51</v>
      </c>
      <c r="F9" s="11"/>
      <c r="G9" s="12" t="s">
        <v>52</v>
      </c>
      <c r="H9" s="15" t="s">
        <v>27</v>
      </c>
      <c r="I9" s="13" t="s">
        <v>53</v>
      </c>
      <c r="J9" s="13" t="s">
        <v>24</v>
      </c>
      <c r="K9" s="1" t="str">
        <f t="shared" si="0"/>
        <v>insert into CHB_DATACHECK_RULE (CHECKRULEID,DATATYPE,CHECKCLASS,CHECKMETHOD,SRCPROPERTY,COMPARETO,OBJVALUE,REMARK,STATUS,NULLABLE) values ('CHB_PRD_FEE_DEAL-E001-007F0100700006','CHB_PRD_FEE_DEAL','com.joyintech.tams.common.svreport.datacheck.service.BaseCheckLib','lessThanCharLength','PROD_NAME','','201','产品名称超长（最大长）200。','E','Y');</v>
      </c>
    </row>
    <row r="10" spans="1:11" x14ac:dyDescent="0.15">
      <c r="A10" s="17" t="s">
        <v>118</v>
      </c>
      <c r="B10" s="18" t="s">
        <v>50</v>
      </c>
      <c r="C10" s="16" t="s">
        <v>21</v>
      </c>
      <c r="D10" s="16" t="s">
        <v>54</v>
      </c>
      <c r="E10" s="15" t="s">
        <v>55</v>
      </c>
      <c r="F10" s="16" t="s">
        <v>56</v>
      </c>
      <c r="G10" s="16" t="s">
        <v>109</v>
      </c>
      <c r="H10" s="15" t="s">
        <v>27</v>
      </c>
      <c r="I10" s="16" t="s">
        <v>57</v>
      </c>
      <c r="J10" s="16" t="s">
        <v>24</v>
      </c>
      <c r="K10" s="1" t="str">
        <f t="shared" si="0"/>
        <v>insert into CHB_DATACHECK_RULE (CHECKRULEID,DATATYPE,CHECKCLASS,CHECKMETHOD,SRCPROPERTY,COMPARETO,OBJVALUE,REMARK,STATUS,NULLABLE) values ('CHB_PRD_FEE_DEAL-E001-007F0100700007','CHB_PRD_FEE_DEAL','com.joyintech.tams.common.svreport.datacheck.service.BaseCheckLib','isCustomizedStringForWhitelist','PROD_NAME','inWhitelistNoSymbol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产品名称必须填写白名单中的文字，仅可由汉字、阿拉伯数字、英文字母组成，建议名称中不要含有任何符号。','E','Y');</v>
      </c>
    </row>
    <row r="11" spans="1:11" x14ac:dyDescent="0.15">
      <c r="A11" s="17" t="s">
        <v>119</v>
      </c>
      <c r="B11" s="18" t="s">
        <v>50</v>
      </c>
      <c r="C11" s="11" t="s">
        <v>21</v>
      </c>
      <c r="D11" s="11" t="s">
        <v>22</v>
      </c>
      <c r="E11" s="11" t="s">
        <v>62</v>
      </c>
      <c r="F11" s="11"/>
      <c r="G11" s="12"/>
      <c r="H11" s="15" t="s">
        <v>23</v>
      </c>
      <c r="I11" s="13" t="s">
        <v>65</v>
      </c>
      <c r="J11" s="13" t="s">
        <v>24</v>
      </c>
      <c r="K11" s="1" t="str">
        <f t="shared" si="0"/>
        <v>insert into CHB_DATACHECK_RULE (CHECKRULEID,DATATYPE,CHECKCLASS,CHECKMETHOD,SRCPROPERTY,COMPARETO,OBJVALUE,REMARK,STATUS,NULLABLE) values ('CHB_PRD_FEE_DEAL-E001-007F0100700008','CHB_PRD_FEE_DEAL','com.joyintech.tams.common.svreport.datacheck.service.BaseCheckLib','isNotEmpty','TRADE_ID','','','交易编码要素不可为空。','E','N');</v>
      </c>
    </row>
    <row r="12" spans="1:11" x14ac:dyDescent="0.15">
      <c r="A12" s="17" t="s">
        <v>120</v>
      </c>
      <c r="B12" s="18" t="s">
        <v>50</v>
      </c>
      <c r="C12" s="11" t="s">
        <v>21</v>
      </c>
      <c r="D12" s="11" t="s">
        <v>34</v>
      </c>
      <c r="E12" s="11" t="s">
        <v>62</v>
      </c>
      <c r="F12" s="11"/>
      <c r="G12" s="12" t="s">
        <v>59</v>
      </c>
      <c r="H12" s="15" t="s">
        <v>27</v>
      </c>
      <c r="I12" s="13" t="s">
        <v>64</v>
      </c>
      <c r="J12" s="13" t="s">
        <v>24</v>
      </c>
      <c r="K12" s="1" t="str">
        <f t="shared" si="0"/>
        <v>insert into CHB_DATACHECK_RULE (CHECKRULEID,DATATYPE,CHECKCLASS,CHECKMETHOD,SRCPROPERTY,COMPARETO,OBJVALUE,REMARK,STATUS,NULLABLE) values ('CHB_PRD_FEE_DEAL-E001-007F0100700009','CHB_PRD_FEE_DEAL','com.joyintech.tams.common.svreport.datacheck.service.BaseCheckLib','lessThanCharLength','TRADE_ID','','33','交易编码过长。','E','Y');</v>
      </c>
    </row>
    <row r="13" spans="1:11" x14ac:dyDescent="0.15">
      <c r="A13" s="17" t="s">
        <v>121</v>
      </c>
      <c r="B13" s="18" t="s">
        <v>50</v>
      </c>
      <c r="C13" s="11" t="s">
        <v>21</v>
      </c>
      <c r="D13" s="11" t="s">
        <v>60</v>
      </c>
      <c r="E13" s="11" t="s">
        <v>62</v>
      </c>
      <c r="F13" s="11"/>
      <c r="G13" s="12" t="s">
        <v>61</v>
      </c>
      <c r="H13" s="15" t="s">
        <v>27</v>
      </c>
      <c r="I13" s="13" t="s">
        <v>63</v>
      </c>
      <c r="J13" s="13" t="s">
        <v>24</v>
      </c>
      <c r="K13" s="1" t="str">
        <f t="shared" si="0"/>
        <v>insert into CHB_DATACHECK_RULE (CHECKRULEID,DATATYPE,CHECKCLASS,CHECKMETHOD,SRCPROPERTY,COMPARETO,OBJVALUE,REMARK,STATUS,NULLABLE) values ('CHB_PRD_FEE_DEAL-E001-007F0100700010','CHB_PRD_FEE_DEAL','com.joyintech.tams.common.svreport.datacheck.service.BaseCheckLib','isCustomizedString','TRADE_ID','','^[\u0020-\u0026-\u0028-\u007B-\u007D-\u007E-\u2000-\u2040-\u2160-\u216B-\u3000-\u301F-\uFF00-\uFF65-\uFFE0-\uFFEF]{0,}$','交易编码只能含有白名单内的阿拉伯数字，英文字母，半角符号，全角符号。','E','Y');</v>
      </c>
    </row>
    <row r="14" spans="1:11" x14ac:dyDescent="0.15">
      <c r="A14" s="17" t="s">
        <v>122</v>
      </c>
      <c r="B14" s="18" t="s">
        <v>50</v>
      </c>
      <c r="C14" s="11" t="s">
        <v>21</v>
      </c>
      <c r="D14" s="11" t="s">
        <v>22</v>
      </c>
      <c r="E14" s="11" t="s">
        <v>66</v>
      </c>
      <c r="F14" s="11"/>
      <c r="G14" s="12"/>
      <c r="H14" s="15" t="s">
        <v>23</v>
      </c>
      <c r="I14" s="13" t="s">
        <v>67</v>
      </c>
      <c r="J14" s="13" t="s">
        <v>24</v>
      </c>
      <c r="K14" s="1" t="str">
        <f t="shared" si="0"/>
        <v>insert into CHB_DATACHECK_RULE (CHECKRULEID,DATATYPE,CHECKCLASS,CHECKMETHOD,SRCPROPERTY,COMPARETO,OBJVALUE,REMARK,STATUS,NULLABLE) values ('CHB_PRD_FEE_DEAL-E001-007F0100700011','CHB_PRD_FEE_DEAL','com.joyintech.tams.common.svreport.datacheck.service.BaseCheckLib','isNotEmpty','CCY','','','币种要素不可为空。','E','N');</v>
      </c>
    </row>
    <row r="15" spans="1:11" x14ac:dyDescent="0.15">
      <c r="A15" s="17" t="s">
        <v>123</v>
      </c>
      <c r="B15" s="18" t="s">
        <v>50</v>
      </c>
      <c r="C15" s="11" t="s">
        <v>21</v>
      </c>
      <c r="D15" s="11" t="s">
        <v>68</v>
      </c>
      <c r="E15" s="11" t="s">
        <v>66</v>
      </c>
      <c r="F15" s="11" t="s">
        <v>25</v>
      </c>
      <c r="G15" s="12" t="s">
        <v>69</v>
      </c>
      <c r="H15" s="15" t="s">
        <v>27</v>
      </c>
      <c r="I15" s="13" t="s">
        <v>70</v>
      </c>
      <c r="J15" s="13" t="s">
        <v>24</v>
      </c>
      <c r="K15" s="1" t="str">
        <f t="shared" si="0"/>
        <v>insert into CHB_DATACHECK_RULE (CHECKRULEID,DATATYPE,CHECKCLASS,CHECKMETHOD,SRCPROPERTY,COMPARETO,OBJVALUE,REMARK,STATUS,NULLABLE) values ('CHB_PRD_FEE_DEAL-E001-007F0100700012','CHB_PRD_FEE_DEAL','com.joyintech.tams.common.svreport.datacheck.service.BaseCheckLib','inDatadict','CCY','==','CURRENCY_CHB','币种不在值域范围内。','E','Y');</v>
      </c>
    </row>
    <row r="16" spans="1:11" x14ac:dyDescent="0.15">
      <c r="A16" s="17" t="s">
        <v>124</v>
      </c>
      <c r="B16" s="18" t="s">
        <v>50</v>
      </c>
      <c r="C16" s="11" t="s">
        <v>21</v>
      </c>
      <c r="D16" s="11" t="s">
        <v>22</v>
      </c>
      <c r="E16" s="11" t="s">
        <v>71</v>
      </c>
      <c r="F16" s="11"/>
      <c r="G16" s="12"/>
      <c r="H16" s="15" t="s">
        <v>23</v>
      </c>
      <c r="I16" s="13" t="s">
        <v>75</v>
      </c>
      <c r="J16" s="13" t="s">
        <v>24</v>
      </c>
      <c r="K16" s="1" t="str">
        <f t="shared" si="0"/>
        <v>insert into CHB_DATACHECK_RULE (CHECKRULEID,DATATYPE,CHECKCLASS,CHECKMETHOD,SRCPROPERTY,COMPARETO,OBJVALUE,REMARK,STATUS,NULLABLE) values ('CHB_PRD_FEE_DEAL-E001-007F0100700013','CHB_PRD_FEE_DEAL','com.joyintech.tams.common.svreport.datacheck.service.BaseCheckLib','isNotEmpty','AMT','','','金额要素不可为空。','E','N');</v>
      </c>
    </row>
    <row r="17" spans="1:11" x14ac:dyDescent="0.15">
      <c r="A17" s="17" t="s">
        <v>125</v>
      </c>
      <c r="B17" s="18" t="s">
        <v>50</v>
      </c>
      <c r="C17" s="11" t="s">
        <v>21</v>
      </c>
      <c r="D17" s="11" t="s">
        <v>48</v>
      </c>
      <c r="E17" s="11" t="s">
        <v>71</v>
      </c>
      <c r="F17" s="11"/>
      <c r="G17" s="12" t="s">
        <v>72</v>
      </c>
      <c r="H17" s="15" t="s">
        <v>27</v>
      </c>
      <c r="I17" s="13" t="s">
        <v>74</v>
      </c>
      <c r="J17" s="13" t="s">
        <v>24</v>
      </c>
      <c r="K17" s="1" t="str">
        <f t="shared" si="0"/>
        <v>insert into CHB_DATACHECK_RULE (CHECKRULEID,DATATYPE,CHECKCLASS,CHECKMETHOD,SRCPROPERTY,COMPARETO,OBJVALUE,REMARK,STATUS,NULLABLE) values ('CHB_PRD_FEE_DEAL-E001-007F0100700014','CHB_PRD_FEE_DEAL','com.joyintech.tams.common.svreport.datacheck.service.BaseCheckLib','isNumber2','AMT','','15,2','金额必须为n（15,2）格式。','E','Y');</v>
      </c>
    </row>
    <row r="18" spans="1:11" x14ac:dyDescent="0.15">
      <c r="A18" s="17" t="s">
        <v>126</v>
      </c>
      <c r="B18" s="18" t="s">
        <v>50</v>
      </c>
      <c r="C18" s="11" t="s">
        <v>21</v>
      </c>
      <c r="D18" s="11" t="s">
        <v>28</v>
      </c>
      <c r="E18" s="11" t="s">
        <v>71</v>
      </c>
      <c r="F18" s="11" t="s">
        <v>49</v>
      </c>
      <c r="G18" s="12" t="s">
        <v>26</v>
      </c>
      <c r="H18" s="15" t="s">
        <v>27</v>
      </c>
      <c r="I18" s="13" t="s">
        <v>73</v>
      </c>
      <c r="J18" s="13" t="s">
        <v>24</v>
      </c>
      <c r="K18" s="1" t="str">
        <f t="shared" si="0"/>
        <v>insert into CHB_DATACHECK_RULE (CHECKRULEID,DATATYPE,CHECKCLASS,CHECKMETHOD,SRCPROPERTY,COMPARETO,OBJVALUE,REMARK,STATUS,NULLABLE) values ('CHB_PRD_FEE_DEAL-E001-007F0100700015','CHB_PRD_FEE_DEAL','com.joyintech.tams.common.svreport.datacheck.service.BaseCheckLib','compareValueAsNumber','AMT','&gt;=','0','金额必须大于等于0。','E','Y');</v>
      </c>
    </row>
    <row r="19" spans="1:11" x14ac:dyDescent="0.15">
      <c r="A19" s="17" t="s">
        <v>127</v>
      </c>
      <c r="B19" s="18" t="s">
        <v>50</v>
      </c>
      <c r="C19" s="11" t="s">
        <v>21</v>
      </c>
      <c r="D19" s="11" t="s">
        <v>22</v>
      </c>
      <c r="E19" s="11" t="s">
        <v>78</v>
      </c>
      <c r="F19" s="11"/>
      <c r="G19" s="12"/>
      <c r="H19" s="15" t="s">
        <v>23</v>
      </c>
      <c r="I19" s="13" t="s">
        <v>79</v>
      </c>
      <c r="J19" s="13" t="s">
        <v>24</v>
      </c>
      <c r="K19" s="1" t="str">
        <f t="shared" si="0"/>
        <v>insert into CHB_DATACHECK_RULE (CHECKRULEID,DATATYPE,CHECKCLASS,CHECKMETHOD,SRCPROPERTY,COMPARETO,OBJVALUE,REMARK,STATUS,NULLABLE) values ('CHB_PRD_FEE_DEAL-E001-007F0100700016','CHB_PRD_FEE_DEAL','com.joyintech.tams.common.svreport.datacheck.service.BaseCheckLib','isNotEmpty','FEE_NAME','','','费用名称要素不可为空。','E','N');</v>
      </c>
    </row>
    <row r="20" spans="1:11" x14ac:dyDescent="0.15">
      <c r="A20" s="17" t="s">
        <v>128</v>
      </c>
      <c r="B20" s="18" t="s">
        <v>50</v>
      </c>
      <c r="C20" s="11" t="s">
        <v>21</v>
      </c>
      <c r="D20" s="11" t="s">
        <v>34</v>
      </c>
      <c r="E20" s="11" t="s">
        <v>78</v>
      </c>
      <c r="F20" s="11"/>
      <c r="G20" s="12">
        <v>61</v>
      </c>
      <c r="H20" s="15" t="s">
        <v>27</v>
      </c>
      <c r="I20" s="13" t="s">
        <v>80</v>
      </c>
      <c r="J20" s="13" t="s">
        <v>24</v>
      </c>
      <c r="K20" s="1" t="str">
        <f t="shared" si="0"/>
        <v>insert into CHB_DATACHECK_RULE (CHECKRULEID,DATATYPE,CHECKCLASS,CHECKMETHOD,SRCPROPERTY,COMPARETO,OBJVALUE,REMARK,STATUS,NULLABLE) values ('CHB_PRD_FEE_DEAL-E001-007F0100700017','CHB_PRD_FEE_DEAL','com.joyintech.tams.common.svreport.datacheck.service.BaseCheckLib','lessThanCharLength','FEE_NAME','','61','费用名称过长。','E','Y');</v>
      </c>
    </row>
    <row r="21" spans="1:11" x14ac:dyDescent="0.15">
      <c r="A21" s="17" t="s">
        <v>129</v>
      </c>
      <c r="B21" s="18" t="s">
        <v>50</v>
      </c>
      <c r="C21" s="11" t="s">
        <v>21</v>
      </c>
      <c r="D21" s="11" t="s">
        <v>76</v>
      </c>
      <c r="E21" s="11" t="s">
        <v>78</v>
      </c>
      <c r="F21" s="11"/>
      <c r="G21" s="12" t="s">
        <v>77</v>
      </c>
      <c r="H21" s="15" t="s">
        <v>27</v>
      </c>
      <c r="I21" s="13" t="s">
        <v>81</v>
      </c>
      <c r="J21" s="13" t="s">
        <v>24</v>
      </c>
      <c r="K21" s="1" t="str">
        <f t="shared" si="0"/>
        <v>insert into CHB_DATACHECK_RULE (CHECKRULEID,DATATYPE,CHECKCLASS,CHECKMETHOD,SRCPROPERTY,COMPARETO,OBJVALUE,REMARK,STATUS,NULLABLE) values ('CHB_PRD_FEE_DEAL-E001-007F0100700018','CHB_PRD_FEE_DEAL','com.joyintech.tams.common.svreport.datacheck.service.BaseCheckLib','isCustomizedStringForWhitelist','FEE_NAME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费用名称必须填写白名单中的文字。','E','Y');</v>
      </c>
    </row>
    <row r="22" spans="1:11" x14ac:dyDescent="0.15">
      <c r="A22" s="17" t="s">
        <v>130</v>
      </c>
      <c r="B22" s="18" t="s">
        <v>50</v>
      </c>
      <c r="C22" s="11" t="s">
        <v>21</v>
      </c>
      <c r="D22" s="11" t="s">
        <v>76</v>
      </c>
      <c r="E22" s="11" t="s">
        <v>110</v>
      </c>
      <c r="F22" s="11"/>
      <c r="G22" s="12" t="s">
        <v>77</v>
      </c>
      <c r="H22" s="15" t="s">
        <v>27</v>
      </c>
      <c r="I22" s="13" t="s">
        <v>83</v>
      </c>
      <c r="J22" s="13" t="s">
        <v>24</v>
      </c>
      <c r="K22" s="1" t="str">
        <f t="shared" si="0"/>
        <v>insert into CHB_DATACHECK_RULE (CHECKRULEID,DATATYPE,CHECKCLASS,CHECKMETHOD,SRCPROPERTY,COMPARETO,OBJVALUE,REMARK,STATUS,NULLABLE) values ('CHB_PRD_FEE_DEAL-E001-007F0100700019','CHB_PRD_FEE_DEAL','com.joyintech.tams.common.svreport.datacheck.service.BaseCheckLib','isCustomizedStringForWhitelist','TRADE_COUNTER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交易对手方必须填写白名单中的文字。','E','Y');</v>
      </c>
    </row>
    <row r="23" spans="1:11" s="26" customFormat="1" x14ac:dyDescent="0.15">
      <c r="A23" s="19" t="s">
        <v>140</v>
      </c>
      <c r="B23" s="20" t="s">
        <v>111</v>
      </c>
      <c r="C23" s="21" t="s">
        <v>21</v>
      </c>
      <c r="D23" s="21" t="s">
        <v>22</v>
      </c>
      <c r="E23" s="21" t="s">
        <v>82</v>
      </c>
      <c r="F23" s="21"/>
      <c r="G23" s="22"/>
      <c r="H23" s="23" t="s">
        <v>23</v>
      </c>
      <c r="I23" s="24" t="s">
        <v>84</v>
      </c>
      <c r="J23" s="24" t="s">
        <v>24</v>
      </c>
      <c r="K23" s="25" t="str">
        <f t="shared" si="0"/>
        <v>insert into CHB_DATACHECK_RULE (CHECKRULEID,DATATYPE,CHECKCLASS,CHECKMETHOD,SRCPROPERTY,COMPARETO,OBJVALUE,REMARK,STATUS,NULLABLE) values ('CHB_PRD_FEE_DEAL-E001-007F0100700020','CHB_PRD_FEE_DEAL','com.joyintech.tams.common.svreport.datacheck.service.BaseCheckLib','isNotEmpty','TRADE_COUNTER','','','交易对手方要素不可为空。','E','N');</v>
      </c>
    </row>
    <row r="24" spans="1:11" x14ac:dyDescent="0.15">
      <c r="A24" s="17" t="s">
        <v>131</v>
      </c>
      <c r="B24" s="18" t="s">
        <v>50</v>
      </c>
      <c r="C24" s="11" t="s">
        <v>21</v>
      </c>
      <c r="D24" s="11" t="s">
        <v>34</v>
      </c>
      <c r="E24" s="11" t="s">
        <v>82</v>
      </c>
      <c r="F24" s="11"/>
      <c r="G24" s="12">
        <v>201</v>
      </c>
      <c r="H24" s="15" t="s">
        <v>27</v>
      </c>
      <c r="I24" s="13" t="s">
        <v>85</v>
      </c>
      <c r="J24" s="13" t="s">
        <v>24</v>
      </c>
      <c r="K24" s="1" t="str">
        <f t="shared" si="0"/>
        <v>insert into CHB_DATACHECK_RULE (CHECKRULEID,DATATYPE,CHECKCLASS,CHECKMETHOD,SRCPROPERTY,COMPARETO,OBJVALUE,REMARK,STATUS,NULLABLE) values ('CHB_PRD_FEE_DEAL-E001-007F0100700021','CHB_PRD_FEE_DEAL','com.joyintech.tams.common.svreport.datacheck.service.BaseCheckLib','lessThanCharLength','TRADE_COUNTER','','201','交易对手方过长。','E','Y');</v>
      </c>
    </row>
    <row r="25" spans="1:11" x14ac:dyDescent="0.15">
      <c r="A25" s="17" t="s">
        <v>159</v>
      </c>
      <c r="B25" s="18" t="s">
        <v>50</v>
      </c>
      <c r="C25" s="11" t="s">
        <v>21</v>
      </c>
      <c r="D25" s="11" t="s">
        <v>68</v>
      </c>
      <c r="E25" s="11" t="s">
        <v>158</v>
      </c>
      <c r="F25" s="11" t="s">
        <v>25</v>
      </c>
      <c r="G25" s="12" t="s">
        <v>90</v>
      </c>
      <c r="H25" s="15" t="s">
        <v>27</v>
      </c>
      <c r="I25" s="13" t="s">
        <v>89</v>
      </c>
      <c r="J25" s="13" t="s">
        <v>24</v>
      </c>
      <c r="K25" s="1" t="str">
        <f t="shared" si="0"/>
        <v>insert into CHB_DATACHECK_RULE (CHECKRULEID,DATATYPE,CHECKCLASS,CHECKMETHOD,SRCPROPERTY,COMPARETO,OBJVALUE,REMARK,STATUS,NULLABLE) values ('CHB_PRD_FEE_DEAL-E001-007F0100700022','CHB_PRD_FEE_DEAL','com.joyintech.tams.common.svreport.datacheck.service.BaseCheckLib','inDatadict','FEE_TYPE','==','SVR_FEE_TYPE','费用类型不在值域范围内。','E','Y');</v>
      </c>
    </row>
    <row r="26" spans="1:11" s="26" customFormat="1" x14ac:dyDescent="0.15">
      <c r="A26" s="19" t="s">
        <v>141</v>
      </c>
      <c r="B26" s="20" t="s">
        <v>50</v>
      </c>
      <c r="C26" s="21" t="s">
        <v>21</v>
      </c>
      <c r="D26" s="21" t="s">
        <v>22</v>
      </c>
      <c r="E26" s="21" t="s">
        <v>91</v>
      </c>
      <c r="F26" s="21"/>
      <c r="G26" s="22"/>
      <c r="H26" s="23" t="s">
        <v>23</v>
      </c>
      <c r="I26" s="24" t="s">
        <v>92</v>
      </c>
      <c r="J26" s="24" t="s">
        <v>24</v>
      </c>
      <c r="K26" s="25" t="str">
        <f t="shared" si="0"/>
        <v>insert into CHB_DATACHECK_RULE (CHECKRULEID,DATATYPE,CHECKCLASS,CHECKMETHOD,SRCPROPERTY,COMPARETO,OBJVALUE,REMARK,STATUS,NULLABLE) values ('CHB_PRD_FEE_DEAL-E001-007F0100700023','CHB_PRD_FEE_DEAL','com.joyintech.tams.common.svreport.datacheck.service.BaseCheckLib','isNotEmpty','RIVAL_PARTY_TYPE','','','交易对手方类型要素不可为空。','E','N');</v>
      </c>
    </row>
    <row r="27" spans="1:11" x14ac:dyDescent="0.15">
      <c r="A27" s="17" t="s">
        <v>132</v>
      </c>
      <c r="B27" s="18" t="s">
        <v>50</v>
      </c>
      <c r="C27" s="11" t="s">
        <v>21</v>
      </c>
      <c r="D27" s="11" t="s">
        <v>68</v>
      </c>
      <c r="E27" s="11" t="s">
        <v>91</v>
      </c>
      <c r="F27" s="11" t="s">
        <v>25</v>
      </c>
      <c r="G27" s="12" t="s">
        <v>93</v>
      </c>
      <c r="H27" s="15" t="s">
        <v>27</v>
      </c>
      <c r="I27" s="13" t="s">
        <v>94</v>
      </c>
      <c r="J27" s="13" t="s">
        <v>24</v>
      </c>
      <c r="K27" s="1" t="str">
        <f t="shared" si="0"/>
        <v>insert into CHB_DATACHECK_RULE (CHECKRULEID,DATATYPE,CHECKCLASS,CHECKMETHOD,SRCPROPERTY,COMPARETO,OBJVALUE,REMARK,STATUS,NULLABLE) values ('CHB_PRD_FEE_DEAL-E001-007F0100700024','CHB_PRD_FEE_DEAL','com.joyintech.tams.common.svreport.datacheck.service.BaseCheckLib','inDatadict','RIVAL_PARTY_TYPE','==','SVR_RIVAL_PARTY_TYPE','交易对手方类型不在值域范围内。','E','Y');</v>
      </c>
    </row>
    <row r="28" spans="1:11" x14ac:dyDescent="0.15">
      <c r="A28" s="17" t="s">
        <v>133</v>
      </c>
      <c r="B28" s="18" t="s">
        <v>50</v>
      </c>
      <c r="C28" s="11" t="s">
        <v>21</v>
      </c>
      <c r="D28" s="11" t="s">
        <v>22</v>
      </c>
      <c r="E28" s="11" t="s">
        <v>97</v>
      </c>
      <c r="F28" s="11"/>
      <c r="G28" s="12"/>
      <c r="H28" s="15" t="s">
        <v>23</v>
      </c>
      <c r="I28" s="13" t="s">
        <v>102</v>
      </c>
      <c r="J28" s="13" t="s">
        <v>24</v>
      </c>
      <c r="K28" s="1" t="str">
        <f t="shared" si="0"/>
        <v>insert into CHB_DATACHECK_RULE (CHECKRULEID,DATATYPE,CHECKCLASS,CHECKMETHOD,SRCPROPERTY,COMPARETO,OBJVALUE,REMARK,STATUS,NULLABLE) values ('CHB_PRD_FEE_DEAL-E001-007F0100700025','CHB_PRD_FEE_DEAL','com.joyintech.tams.common.svreport.datacheck.service.BaseCheckLib','isNotEmpty','PAY_DATE','','','支付日要素不可为空。','E','N');</v>
      </c>
    </row>
    <row r="29" spans="1:11" x14ac:dyDescent="0.15">
      <c r="A29" s="17" t="s">
        <v>134</v>
      </c>
      <c r="B29" s="18" t="s">
        <v>50</v>
      </c>
      <c r="C29" s="11" t="s">
        <v>21</v>
      </c>
      <c r="D29" s="11" t="s">
        <v>29</v>
      </c>
      <c r="E29" s="11" t="s">
        <v>97</v>
      </c>
      <c r="F29" s="11" t="s">
        <v>25</v>
      </c>
      <c r="G29" s="12" t="s">
        <v>41</v>
      </c>
      <c r="H29" s="15" t="s">
        <v>27</v>
      </c>
      <c r="I29" s="13" t="s">
        <v>101</v>
      </c>
      <c r="J29" s="13" t="s">
        <v>24</v>
      </c>
      <c r="K29" s="1" t="str">
        <f t="shared" si="0"/>
        <v>insert into CHB_DATACHECK_RULE (CHECKRULEID,DATATYPE,CHECKCLASS,CHECKMETHOD,SRCPROPERTY,COMPARETO,OBJVALUE,REMARK,STATUS,NULLABLE) values ('CHB_PRD_FEE_DEAL-E001-007F0100700026','CHB_PRD_FEE_DEAL','com.joyintech.tams.common.svreport.datacheck.service.BaseCheckLib','isValidDate','PAY_DATE','==','yyyy-MM-dd','支付日必须为日期格式（YYYY-MM-DD）且为正确的日期。','E','Y');</v>
      </c>
    </row>
    <row r="30" spans="1:11" x14ac:dyDescent="0.15">
      <c r="A30" s="17" t="s">
        <v>173</v>
      </c>
      <c r="B30" s="18" t="s">
        <v>50</v>
      </c>
      <c r="C30" s="11" t="s">
        <v>21</v>
      </c>
      <c r="D30" s="11" t="s">
        <v>22</v>
      </c>
      <c r="E30" s="11" t="s">
        <v>98</v>
      </c>
      <c r="F30" s="11"/>
      <c r="G30" s="12"/>
      <c r="H30" s="15" t="s">
        <v>23</v>
      </c>
      <c r="I30" s="13" t="s">
        <v>100</v>
      </c>
      <c r="J30" s="13" t="s">
        <v>24</v>
      </c>
      <c r="K30" s="1" t="str">
        <f t="shared" si="0"/>
        <v>insert into CHB_DATACHECK_RULE (CHECKRULEID,DATATYPE,CHECKCLASS,CHECKMETHOD,SRCPROPERTY,COMPARETO,OBJVALUE,REMARK,STATUS,NULLABLE) values ('CHB_PRD_FEE_DEAL-E001-007F0100700027','CHB_PRD_FEE_DEAL','com.joyintech.tams.common.svreport.datacheck.service.BaseCheckLib','isNotEmpty','REV_DATE','','','撤销日要素不可为空。','E','N');</v>
      </c>
    </row>
    <row r="31" spans="1:11" x14ac:dyDescent="0.15">
      <c r="A31" s="17" t="s">
        <v>135</v>
      </c>
      <c r="B31" s="18" t="s">
        <v>50</v>
      </c>
      <c r="C31" s="11" t="s">
        <v>21</v>
      </c>
      <c r="D31" s="11" t="s">
        <v>29</v>
      </c>
      <c r="E31" s="11" t="s">
        <v>98</v>
      </c>
      <c r="F31" s="11" t="s">
        <v>25</v>
      </c>
      <c r="G31" s="12" t="s">
        <v>41</v>
      </c>
      <c r="H31" s="15" t="s">
        <v>27</v>
      </c>
      <c r="I31" s="13" t="s">
        <v>99</v>
      </c>
      <c r="J31" s="13" t="s">
        <v>24</v>
      </c>
      <c r="K31" s="1" t="str">
        <f t="shared" si="0"/>
        <v>insert into CHB_DATACHECK_RULE (CHECKRULEID,DATATYPE,CHECKCLASS,CHECKMETHOD,SRCPROPERTY,COMPARETO,OBJVALUE,REMARK,STATUS,NULLABLE) values ('CHB_PRD_FEE_DEAL-E001-007F0100700028','CHB_PRD_FEE_DEAL','com.joyintech.tams.common.svreport.datacheck.service.BaseCheckLib','isValidDate','REV_DATE','==','yyyy-MM-dd','撤销日必须为日期格式（YYYY-MM-DD）且为正确的日期。','E','Y');</v>
      </c>
    </row>
    <row r="32" spans="1:11" x14ac:dyDescent="0.15">
      <c r="A32" s="17" t="s">
        <v>136</v>
      </c>
      <c r="B32" s="18" t="s">
        <v>50</v>
      </c>
      <c r="C32" s="11" t="s">
        <v>21</v>
      </c>
      <c r="D32" s="11" t="s">
        <v>34</v>
      </c>
      <c r="E32" s="11" t="s">
        <v>8</v>
      </c>
      <c r="F32" s="11"/>
      <c r="G32" s="12" t="s">
        <v>86</v>
      </c>
      <c r="H32" s="15" t="s">
        <v>27</v>
      </c>
      <c r="I32" s="13" t="s">
        <v>87</v>
      </c>
      <c r="J32" s="13" t="s">
        <v>24</v>
      </c>
      <c r="K32" s="1" t="str">
        <f t="shared" si="0"/>
        <v>insert into CHB_DATACHECK_RULE (CHECKRULEID,DATATYPE,CHECKCLASS,CHECKMETHOD,SRCPROPERTY,COMPARETO,OBJVALUE,REMARK,STATUS,NULLABLE) values ('CHB_PRD_FEE_DEAL-E001-007F0100700029','CHB_PRD_FEE_DEAL','com.joyintech.tams.common.svreport.datacheck.service.BaseCheckLib','lessThanCharLength','REMARK','','257','备注要素文字长度（最大长）256','E','Y');</v>
      </c>
    </row>
    <row r="33" spans="1:11" x14ac:dyDescent="0.15">
      <c r="A33" s="17" t="s">
        <v>137</v>
      </c>
      <c r="B33" s="18" t="s">
        <v>50</v>
      </c>
      <c r="C33" s="11" t="s">
        <v>21</v>
      </c>
      <c r="D33" s="11" t="s">
        <v>76</v>
      </c>
      <c r="E33" s="11" t="s">
        <v>8</v>
      </c>
      <c r="F33" s="11"/>
      <c r="G33" s="12" t="s">
        <v>77</v>
      </c>
      <c r="H33" s="15" t="s">
        <v>27</v>
      </c>
      <c r="I33" s="13" t="s">
        <v>88</v>
      </c>
      <c r="J33" s="13" t="s">
        <v>24</v>
      </c>
      <c r="K33" s="1" t="str">
        <f t="shared" si="0"/>
        <v>insert into CHB_DATACHECK_RULE (CHECKRULEID,DATATYPE,CHECKCLASS,CHECKMETHOD,SRCPROPERTY,COMPARETO,OBJVALUE,REMARK,STATUS,NULLABLE) values ('CHB_PRD_FEE_DEAL-E001-007F0100700030','CHB_PRD_FEE_DEAL','com.joyintech.tams.common.svreport.datacheck.service.BaseCheckLib','isCustomizedStringForWhitelist','REMARK','','^[\u4e00-\u9fa5\ue815-\ue864\uff01-\uff5e\uffe0-\uffe5\u3000-\u3003\u3005-\u3017\u301d-\u301e\u2010\u2013-\u2016\u2018-\u2019\u201c-\u201d\u2025-\u2026\u2030\u2032-\u2033\u2035\u203b\u00b7\u0030-\u0039\u0041-\u005a\u0061-\u007a\u2160-\u216b\u0020-\u0026\u0028-\u007B\u007D\u007E]{0,}$','备注必须填写白名单中的文字。','E','Y');</v>
      </c>
    </row>
    <row r="34" spans="1:11" x14ac:dyDescent="0.15">
      <c r="A34" s="17" t="s">
        <v>155</v>
      </c>
      <c r="B34" s="18" t="s">
        <v>96</v>
      </c>
      <c r="C34" s="11" t="s">
        <v>21</v>
      </c>
      <c r="D34" s="11" t="s">
        <v>22</v>
      </c>
      <c r="E34" s="11" t="s">
        <v>8</v>
      </c>
      <c r="F34" s="11"/>
      <c r="G34" s="12"/>
      <c r="H34" s="15" t="s">
        <v>162</v>
      </c>
      <c r="I34" s="13" t="s">
        <v>163</v>
      </c>
      <c r="J34" s="13" t="s">
        <v>24</v>
      </c>
      <c r="K34" s="1" t="str">
        <f t="shared" si="0"/>
        <v>insert into CHB_DATACHECK_RULE (CHECKRULEID,DATATYPE,CHECKCLASS,CHECKMETHOD,SRCPROPERTY,COMPARETO,OBJVALUE,REMARK,STATUS,NULLABLE) values ('CHB_PRD_FEE_DEAL-E001-007F0100700031','CHB_PRD_FEE_DEAL','com.joyintech.tams.common.svreport.datacheck.service.BaseCheckLib','isNotEmpty','REMARK','','','备注要素不可为空。','E','N');</v>
      </c>
    </row>
    <row r="35" spans="1:11" x14ac:dyDescent="0.15">
      <c r="A35" s="17" t="s">
        <v>161</v>
      </c>
      <c r="B35" s="18" t="s">
        <v>58</v>
      </c>
      <c r="C35" s="11" t="s">
        <v>21</v>
      </c>
      <c r="D35" s="11" t="s">
        <v>22</v>
      </c>
      <c r="E35" s="11" t="s">
        <v>158</v>
      </c>
      <c r="F35" s="11"/>
      <c r="G35" s="12"/>
      <c r="H35" s="15" t="s">
        <v>166</v>
      </c>
      <c r="I35" s="13" t="s">
        <v>167</v>
      </c>
      <c r="J35" s="13" t="s">
        <v>24</v>
      </c>
      <c r="K35" s="1" t="str">
        <f t="shared" ref="K35:K37" si="1">CONCATENATE("insert into CHB_DATACHECK_RULE (CHECKRULEID,DATATYPE,CHECKCLASS,CHECKMETHOD,SRCPROPERTY,COMPARETO,OBJVALUE,REMARK,STATUS,NULLABLE) values ('",A35,"','",B35,"','",C35,"','",D35,"','",E35,"','",F35,"','",G35,"','",I35,"','",J35,"','",H35,"');")</f>
        <v>insert into CHB_DATACHECK_RULE (CHECKRULEID,DATATYPE,CHECKCLASS,CHECKMETHOD,SRCPROPERTY,COMPARETO,OBJVALUE,REMARK,STATUS,NULLABLE) values ('CHB_PRD_FEE_DEAL-E001-007F0100700032','CHB_PRD_FEE_DEAL','com.joyintech.tams.common.svreport.datacheck.service.BaseCheckLib','isNotEmpty','FEE_TYPE','','','费用类型要素不可为空。','E','N');</v>
      </c>
    </row>
    <row r="36" spans="1:11" x14ac:dyDescent="0.15">
      <c r="A36" s="17" t="s">
        <v>168</v>
      </c>
      <c r="B36" s="18" t="s">
        <v>58</v>
      </c>
      <c r="C36" s="11" t="s">
        <v>21</v>
      </c>
      <c r="D36" s="11" t="s">
        <v>22</v>
      </c>
      <c r="E36" s="11" t="s">
        <v>164</v>
      </c>
      <c r="F36" s="11"/>
      <c r="G36" s="12"/>
      <c r="H36" s="15" t="s">
        <v>162</v>
      </c>
      <c r="I36" s="13" t="s">
        <v>169</v>
      </c>
      <c r="J36" s="13" t="s">
        <v>24</v>
      </c>
      <c r="K36" s="1" t="str">
        <f t="shared" si="1"/>
        <v>insert into CHB_DATACHECK_RULE (CHECKRULEID,DATATYPE,CHECKCLASS,CHECKMETHOD,SRCPROPERTY,COMPARETO,OBJVALUE,REMARK,STATUS,NULLABLE) values ('CHB_PRD_FEE_DEAL-E001-007F0100700033','CHB_PRD_FEE_DEAL','com.joyintech.tams.common.svreport.datacheck.service.BaseCheckLib','isNotEmpty','FEE_SECTYPE','','','费用二级类型要素不可为空。','E','N');</v>
      </c>
    </row>
    <row r="37" spans="1:11" x14ac:dyDescent="0.15">
      <c r="A37" s="17" t="s">
        <v>170</v>
      </c>
      <c r="B37" s="18" t="s">
        <v>58</v>
      </c>
      <c r="C37" s="11" t="s">
        <v>21</v>
      </c>
      <c r="D37" s="11" t="s">
        <v>68</v>
      </c>
      <c r="E37" s="11" t="s">
        <v>160</v>
      </c>
      <c r="F37" s="11" t="s">
        <v>25</v>
      </c>
      <c r="G37" s="12" t="s">
        <v>165</v>
      </c>
      <c r="H37" s="15" t="s">
        <v>171</v>
      </c>
      <c r="I37" s="13" t="s">
        <v>172</v>
      </c>
      <c r="J37" s="13" t="s">
        <v>24</v>
      </c>
      <c r="K37" s="1" t="str">
        <f t="shared" si="1"/>
        <v>insert into CHB_DATACHECK_RULE (CHECKRULEID,DATATYPE,CHECKCLASS,CHECKMETHOD,SRCPROPERTY,COMPARETO,OBJVALUE,REMARK,STATUS,NULLABLE) values ('CHB_PRD_FEE_DEAL-E001-007F0100700034','CHB_PRD_FEE_DEAL','com.joyintech.tams.common.svreport.datacheck.service.BaseCheckLib','inDatadict','FEE_SECTYPE','==','SVR_FEE_SEC_TYPE','费用二级类型不在值域范围内。','E','Y');</v>
      </c>
    </row>
  </sheetData>
  <autoFilter ref="A2:K34"/>
  <mergeCells count="1">
    <mergeCell ref="A3:J3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C8" sqref="C8"/>
    </sheetView>
  </sheetViews>
  <sheetFormatPr defaultColWidth="7.19921875" defaultRowHeight="18.75" x14ac:dyDescent="0.25"/>
  <cols>
    <col min="1" max="1" width="7.19921875" style="2"/>
    <col min="2" max="3" width="27.8984375" style="2" bestFit="1" customWidth="1"/>
    <col min="4" max="4" width="16.5" style="2" customWidth="1"/>
    <col min="5" max="5" width="9.5" style="2" customWidth="1"/>
    <col min="6" max="6" width="11.19921875" style="2" customWidth="1"/>
    <col min="7" max="7" width="7.19921875" style="3"/>
    <col min="8" max="8" width="12.3984375" style="3" customWidth="1"/>
    <col min="9" max="9" width="14.19921875" style="2" customWidth="1"/>
    <col min="10" max="257" width="7.19921875" style="2"/>
    <col min="258" max="258" width="17.796875" style="2" customWidth="1"/>
    <col min="259" max="259" width="7.19921875" style="2"/>
    <col min="260" max="260" width="12.3984375" style="2" customWidth="1"/>
    <col min="261" max="261" width="9.5" style="2" customWidth="1"/>
    <col min="262" max="262" width="11.19921875" style="2" customWidth="1"/>
    <col min="263" max="513" width="7.19921875" style="2"/>
    <col min="514" max="514" width="17.796875" style="2" customWidth="1"/>
    <col min="515" max="515" width="7.19921875" style="2"/>
    <col min="516" max="516" width="12.3984375" style="2" customWidth="1"/>
    <col min="517" max="517" width="9.5" style="2" customWidth="1"/>
    <col min="518" max="518" width="11.19921875" style="2" customWidth="1"/>
    <col min="519" max="769" width="7.19921875" style="2"/>
    <col min="770" max="770" width="17.796875" style="2" customWidth="1"/>
    <col min="771" max="771" width="7.19921875" style="2"/>
    <col min="772" max="772" width="12.3984375" style="2" customWidth="1"/>
    <col min="773" max="773" width="9.5" style="2" customWidth="1"/>
    <col min="774" max="774" width="11.19921875" style="2" customWidth="1"/>
    <col min="775" max="1025" width="7.19921875" style="2"/>
    <col min="1026" max="1026" width="17.796875" style="2" customWidth="1"/>
    <col min="1027" max="1027" width="7.19921875" style="2"/>
    <col min="1028" max="1028" width="12.3984375" style="2" customWidth="1"/>
    <col min="1029" max="1029" width="9.5" style="2" customWidth="1"/>
    <col min="1030" max="1030" width="11.19921875" style="2" customWidth="1"/>
    <col min="1031" max="1281" width="7.19921875" style="2"/>
    <col min="1282" max="1282" width="17.796875" style="2" customWidth="1"/>
    <col min="1283" max="1283" width="7.19921875" style="2"/>
    <col min="1284" max="1284" width="12.3984375" style="2" customWidth="1"/>
    <col min="1285" max="1285" width="9.5" style="2" customWidth="1"/>
    <col min="1286" max="1286" width="11.19921875" style="2" customWidth="1"/>
    <col min="1287" max="1537" width="7.19921875" style="2"/>
    <col min="1538" max="1538" width="17.796875" style="2" customWidth="1"/>
    <col min="1539" max="1539" width="7.19921875" style="2"/>
    <col min="1540" max="1540" width="12.3984375" style="2" customWidth="1"/>
    <col min="1541" max="1541" width="9.5" style="2" customWidth="1"/>
    <col min="1542" max="1542" width="11.19921875" style="2" customWidth="1"/>
    <col min="1543" max="1793" width="7.19921875" style="2"/>
    <col min="1794" max="1794" width="17.796875" style="2" customWidth="1"/>
    <col min="1795" max="1795" width="7.19921875" style="2"/>
    <col min="1796" max="1796" width="12.3984375" style="2" customWidth="1"/>
    <col min="1797" max="1797" width="9.5" style="2" customWidth="1"/>
    <col min="1798" max="1798" width="11.19921875" style="2" customWidth="1"/>
    <col min="1799" max="2049" width="7.19921875" style="2"/>
    <col min="2050" max="2050" width="17.796875" style="2" customWidth="1"/>
    <col min="2051" max="2051" width="7.19921875" style="2"/>
    <col min="2052" max="2052" width="12.3984375" style="2" customWidth="1"/>
    <col min="2053" max="2053" width="9.5" style="2" customWidth="1"/>
    <col min="2054" max="2054" width="11.19921875" style="2" customWidth="1"/>
    <col min="2055" max="2305" width="7.19921875" style="2"/>
    <col min="2306" max="2306" width="17.796875" style="2" customWidth="1"/>
    <col min="2307" max="2307" width="7.19921875" style="2"/>
    <col min="2308" max="2308" width="12.3984375" style="2" customWidth="1"/>
    <col min="2309" max="2309" width="9.5" style="2" customWidth="1"/>
    <col min="2310" max="2310" width="11.19921875" style="2" customWidth="1"/>
    <col min="2311" max="2561" width="7.19921875" style="2"/>
    <col min="2562" max="2562" width="17.796875" style="2" customWidth="1"/>
    <col min="2563" max="2563" width="7.19921875" style="2"/>
    <col min="2564" max="2564" width="12.3984375" style="2" customWidth="1"/>
    <col min="2565" max="2565" width="9.5" style="2" customWidth="1"/>
    <col min="2566" max="2566" width="11.19921875" style="2" customWidth="1"/>
    <col min="2567" max="2817" width="7.19921875" style="2"/>
    <col min="2818" max="2818" width="17.796875" style="2" customWidth="1"/>
    <col min="2819" max="2819" width="7.19921875" style="2"/>
    <col min="2820" max="2820" width="12.3984375" style="2" customWidth="1"/>
    <col min="2821" max="2821" width="9.5" style="2" customWidth="1"/>
    <col min="2822" max="2822" width="11.19921875" style="2" customWidth="1"/>
    <col min="2823" max="3073" width="7.19921875" style="2"/>
    <col min="3074" max="3074" width="17.796875" style="2" customWidth="1"/>
    <col min="3075" max="3075" width="7.19921875" style="2"/>
    <col min="3076" max="3076" width="12.3984375" style="2" customWidth="1"/>
    <col min="3077" max="3077" width="9.5" style="2" customWidth="1"/>
    <col min="3078" max="3078" width="11.19921875" style="2" customWidth="1"/>
    <col min="3079" max="3329" width="7.19921875" style="2"/>
    <col min="3330" max="3330" width="17.796875" style="2" customWidth="1"/>
    <col min="3331" max="3331" width="7.19921875" style="2"/>
    <col min="3332" max="3332" width="12.3984375" style="2" customWidth="1"/>
    <col min="3333" max="3333" width="9.5" style="2" customWidth="1"/>
    <col min="3334" max="3334" width="11.19921875" style="2" customWidth="1"/>
    <col min="3335" max="3585" width="7.19921875" style="2"/>
    <col min="3586" max="3586" width="17.796875" style="2" customWidth="1"/>
    <col min="3587" max="3587" width="7.19921875" style="2"/>
    <col min="3588" max="3588" width="12.3984375" style="2" customWidth="1"/>
    <col min="3589" max="3589" width="9.5" style="2" customWidth="1"/>
    <col min="3590" max="3590" width="11.19921875" style="2" customWidth="1"/>
    <col min="3591" max="3841" width="7.19921875" style="2"/>
    <col min="3842" max="3842" width="17.796875" style="2" customWidth="1"/>
    <col min="3843" max="3843" width="7.19921875" style="2"/>
    <col min="3844" max="3844" width="12.3984375" style="2" customWidth="1"/>
    <col min="3845" max="3845" width="9.5" style="2" customWidth="1"/>
    <col min="3846" max="3846" width="11.19921875" style="2" customWidth="1"/>
    <col min="3847" max="4097" width="7.19921875" style="2"/>
    <col min="4098" max="4098" width="17.796875" style="2" customWidth="1"/>
    <col min="4099" max="4099" width="7.19921875" style="2"/>
    <col min="4100" max="4100" width="12.3984375" style="2" customWidth="1"/>
    <col min="4101" max="4101" width="9.5" style="2" customWidth="1"/>
    <col min="4102" max="4102" width="11.19921875" style="2" customWidth="1"/>
    <col min="4103" max="4353" width="7.19921875" style="2"/>
    <col min="4354" max="4354" width="17.796875" style="2" customWidth="1"/>
    <col min="4355" max="4355" width="7.19921875" style="2"/>
    <col min="4356" max="4356" width="12.3984375" style="2" customWidth="1"/>
    <col min="4357" max="4357" width="9.5" style="2" customWidth="1"/>
    <col min="4358" max="4358" width="11.19921875" style="2" customWidth="1"/>
    <col min="4359" max="4609" width="7.19921875" style="2"/>
    <col min="4610" max="4610" width="17.796875" style="2" customWidth="1"/>
    <col min="4611" max="4611" width="7.19921875" style="2"/>
    <col min="4612" max="4612" width="12.3984375" style="2" customWidth="1"/>
    <col min="4613" max="4613" width="9.5" style="2" customWidth="1"/>
    <col min="4614" max="4614" width="11.19921875" style="2" customWidth="1"/>
    <col min="4615" max="4865" width="7.19921875" style="2"/>
    <col min="4866" max="4866" width="17.796875" style="2" customWidth="1"/>
    <col min="4867" max="4867" width="7.19921875" style="2"/>
    <col min="4868" max="4868" width="12.3984375" style="2" customWidth="1"/>
    <col min="4869" max="4869" width="9.5" style="2" customWidth="1"/>
    <col min="4870" max="4870" width="11.19921875" style="2" customWidth="1"/>
    <col min="4871" max="5121" width="7.19921875" style="2"/>
    <col min="5122" max="5122" width="17.796875" style="2" customWidth="1"/>
    <col min="5123" max="5123" width="7.19921875" style="2"/>
    <col min="5124" max="5124" width="12.3984375" style="2" customWidth="1"/>
    <col min="5125" max="5125" width="9.5" style="2" customWidth="1"/>
    <col min="5126" max="5126" width="11.19921875" style="2" customWidth="1"/>
    <col min="5127" max="5377" width="7.19921875" style="2"/>
    <col min="5378" max="5378" width="17.796875" style="2" customWidth="1"/>
    <col min="5379" max="5379" width="7.19921875" style="2"/>
    <col min="5380" max="5380" width="12.3984375" style="2" customWidth="1"/>
    <col min="5381" max="5381" width="9.5" style="2" customWidth="1"/>
    <col min="5382" max="5382" width="11.19921875" style="2" customWidth="1"/>
    <col min="5383" max="5633" width="7.19921875" style="2"/>
    <col min="5634" max="5634" width="17.796875" style="2" customWidth="1"/>
    <col min="5635" max="5635" width="7.19921875" style="2"/>
    <col min="5636" max="5636" width="12.3984375" style="2" customWidth="1"/>
    <col min="5637" max="5637" width="9.5" style="2" customWidth="1"/>
    <col min="5638" max="5638" width="11.19921875" style="2" customWidth="1"/>
    <col min="5639" max="5889" width="7.19921875" style="2"/>
    <col min="5890" max="5890" width="17.796875" style="2" customWidth="1"/>
    <col min="5891" max="5891" width="7.19921875" style="2"/>
    <col min="5892" max="5892" width="12.3984375" style="2" customWidth="1"/>
    <col min="5893" max="5893" width="9.5" style="2" customWidth="1"/>
    <col min="5894" max="5894" width="11.19921875" style="2" customWidth="1"/>
    <col min="5895" max="6145" width="7.19921875" style="2"/>
    <col min="6146" max="6146" width="17.796875" style="2" customWidth="1"/>
    <col min="6147" max="6147" width="7.19921875" style="2"/>
    <col min="6148" max="6148" width="12.3984375" style="2" customWidth="1"/>
    <col min="6149" max="6149" width="9.5" style="2" customWidth="1"/>
    <col min="6150" max="6150" width="11.19921875" style="2" customWidth="1"/>
    <col min="6151" max="6401" width="7.19921875" style="2"/>
    <col min="6402" max="6402" width="17.796875" style="2" customWidth="1"/>
    <col min="6403" max="6403" width="7.19921875" style="2"/>
    <col min="6404" max="6404" width="12.3984375" style="2" customWidth="1"/>
    <col min="6405" max="6405" width="9.5" style="2" customWidth="1"/>
    <col min="6406" max="6406" width="11.19921875" style="2" customWidth="1"/>
    <col min="6407" max="6657" width="7.19921875" style="2"/>
    <col min="6658" max="6658" width="17.796875" style="2" customWidth="1"/>
    <col min="6659" max="6659" width="7.19921875" style="2"/>
    <col min="6660" max="6660" width="12.3984375" style="2" customWidth="1"/>
    <col min="6661" max="6661" width="9.5" style="2" customWidth="1"/>
    <col min="6662" max="6662" width="11.19921875" style="2" customWidth="1"/>
    <col min="6663" max="6913" width="7.19921875" style="2"/>
    <col min="6914" max="6914" width="17.796875" style="2" customWidth="1"/>
    <col min="6915" max="6915" width="7.19921875" style="2"/>
    <col min="6916" max="6916" width="12.3984375" style="2" customWidth="1"/>
    <col min="6917" max="6917" width="9.5" style="2" customWidth="1"/>
    <col min="6918" max="6918" width="11.19921875" style="2" customWidth="1"/>
    <col min="6919" max="7169" width="7.19921875" style="2"/>
    <col min="7170" max="7170" width="17.796875" style="2" customWidth="1"/>
    <col min="7171" max="7171" width="7.19921875" style="2"/>
    <col min="7172" max="7172" width="12.3984375" style="2" customWidth="1"/>
    <col min="7173" max="7173" width="9.5" style="2" customWidth="1"/>
    <col min="7174" max="7174" width="11.19921875" style="2" customWidth="1"/>
    <col min="7175" max="7425" width="7.19921875" style="2"/>
    <col min="7426" max="7426" width="17.796875" style="2" customWidth="1"/>
    <col min="7427" max="7427" width="7.19921875" style="2"/>
    <col min="7428" max="7428" width="12.3984375" style="2" customWidth="1"/>
    <col min="7429" max="7429" width="9.5" style="2" customWidth="1"/>
    <col min="7430" max="7430" width="11.19921875" style="2" customWidth="1"/>
    <col min="7431" max="7681" width="7.19921875" style="2"/>
    <col min="7682" max="7682" width="17.796875" style="2" customWidth="1"/>
    <col min="7683" max="7683" width="7.19921875" style="2"/>
    <col min="7684" max="7684" width="12.3984375" style="2" customWidth="1"/>
    <col min="7685" max="7685" width="9.5" style="2" customWidth="1"/>
    <col min="7686" max="7686" width="11.19921875" style="2" customWidth="1"/>
    <col min="7687" max="7937" width="7.19921875" style="2"/>
    <col min="7938" max="7938" width="17.796875" style="2" customWidth="1"/>
    <col min="7939" max="7939" width="7.19921875" style="2"/>
    <col min="7940" max="7940" width="12.3984375" style="2" customWidth="1"/>
    <col min="7941" max="7941" width="9.5" style="2" customWidth="1"/>
    <col min="7942" max="7942" width="11.19921875" style="2" customWidth="1"/>
    <col min="7943" max="8193" width="7.19921875" style="2"/>
    <col min="8194" max="8194" width="17.796875" style="2" customWidth="1"/>
    <col min="8195" max="8195" width="7.19921875" style="2"/>
    <col min="8196" max="8196" width="12.3984375" style="2" customWidth="1"/>
    <col min="8197" max="8197" width="9.5" style="2" customWidth="1"/>
    <col min="8198" max="8198" width="11.19921875" style="2" customWidth="1"/>
    <col min="8199" max="8449" width="7.19921875" style="2"/>
    <col min="8450" max="8450" width="17.796875" style="2" customWidth="1"/>
    <col min="8451" max="8451" width="7.19921875" style="2"/>
    <col min="8452" max="8452" width="12.3984375" style="2" customWidth="1"/>
    <col min="8453" max="8453" width="9.5" style="2" customWidth="1"/>
    <col min="8454" max="8454" width="11.19921875" style="2" customWidth="1"/>
    <col min="8455" max="8705" width="7.19921875" style="2"/>
    <col min="8706" max="8706" width="17.796875" style="2" customWidth="1"/>
    <col min="8707" max="8707" width="7.19921875" style="2"/>
    <col min="8708" max="8708" width="12.3984375" style="2" customWidth="1"/>
    <col min="8709" max="8709" width="9.5" style="2" customWidth="1"/>
    <col min="8710" max="8710" width="11.19921875" style="2" customWidth="1"/>
    <col min="8711" max="8961" width="7.19921875" style="2"/>
    <col min="8962" max="8962" width="17.796875" style="2" customWidth="1"/>
    <col min="8963" max="8963" width="7.19921875" style="2"/>
    <col min="8964" max="8964" width="12.3984375" style="2" customWidth="1"/>
    <col min="8965" max="8965" width="9.5" style="2" customWidth="1"/>
    <col min="8966" max="8966" width="11.19921875" style="2" customWidth="1"/>
    <col min="8967" max="9217" width="7.19921875" style="2"/>
    <col min="9218" max="9218" width="17.796875" style="2" customWidth="1"/>
    <col min="9219" max="9219" width="7.19921875" style="2"/>
    <col min="9220" max="9220" width="12.3984375" style="2" customWidth="1"/>
    <col min="9221" max="9221" width="9.5" style="2" customWidth="1"/>
    <col min="9222" max="9222" width="11.19921875" style="2" customWidth="1"/>
    <col min="9223" max="9473" width="7.19921875" style="2"/>
    <col min="9474" max="9474" width="17.796875" style="2" customWidth="1"/>
    <col min="9475" max="9475" width="7.19921875" style="2"/>
    <col min="9476" max="9476" width="12.3984375" style="2" customWidth="1"/>
    <col min="9477" max="9477" width="9.5" style="2" customWidth="1"/>
    <col min="9478" max="9478" width="11.19921875" style="2" customWidth="1"/>
    <col min="9479" max="9729" width="7.19921875" style="2"/>
    <col min="9730" max="9730" width="17.796875" style="2" customWidth="1"/>
    <col min="9731" max="9731" width="7.19921875" style="2"/>
    <col min="9732" max="9732" width="12.3984375" style="2" customWidth="1"/>
    <col min="9733" max="9733" width="9.5" style="2" customWidth="1"/>
    <col min="9734" max="9734" width="11.19921875" style="2" customWidth="1"/>
    <col min="9735" max="9985" width="7.19921875" style="2"/>
    <col min="9986" max="9986" width="17.796875" style="2" customWidth="1"/>
    <col min="9987" max="9987" width="7.19921875" style="2"/>
    <col min="9988" max="9988" width="12.3984375" style="2" customWidth="1"/>
    <col min="9989" max="9989" width="9.5" style="2" customWidth="1"/>
    <col min="9990" max="9990" width="11.19921875" style="2" customWidth="1"/>
    <col min="9991" max="10241" width="7.19921875" style="2"/>
    <col min="10242" max="10242" width="17.796875" style="2" customWidth="1"/>
    <col min="10243" max="10243" width="7.19921875" style="2"/>
    <col min="10244" max="10244" width="12.3984375" style="2" customWidth="1"/>
    <col min="10245" max="10245" width="9.5" style="2" customWidth="1"/>
    <col min="10246" max="10246" width="11.19921875" style="2" customWidth="1"/>
    <col min="10247" max="10497" width="7.19921875" style="2"/>
    <col min="10498" max="10498" width="17.796875" style="2" customWidth="1"/>
    <col min="10499" max="10499" width="7.19921875" style="2"/>
    <col min="10500" max="10500" width="12.3984375" style="2" customWidth="1"/>
    <col min="10501" max="10501" width="9.5" style="2" customWidth="1"/>
    <col min="10502" max="10502" width="11.19921875" style="2" customWidth="1"/>
    <col min="10503" max="10753" width="7.19921875" style="2"/>
    <col min="10754" max="10754" width="17.796875" style="2" customWidth="1"/>
    <col min="10755" max="10755" width="7.19921875" style="2"/>
    <col min="10756" max="10756" width="12.3984375" style="2" customWidth="1"/>
    <col min="10757" max="10757" width="9.5" style="2" customWidth="1"/>
    <col min="10758" max="10758" width="11.19921875" style="2" customWidth="1"/>
    <col min="10759" max="11009" width="7.19921875" style="2"/>
    <col min="11010" max="11010" width="17.796875" style="2" customWidth="1"/>
    <col min="11011" max="11011" width="7.19921875" style="2"/>
    <col min="11012" max="11012" width="12.3984375" style="2" customWidth="1"/>
    <col min="11013" max="11013" width="9.5" style="2" customWidth="1"/>
    <col min="11014" max="11014" width="11.19921875" style="2" customWidth="1"/>
    <col min="11015" max="11265" width="7.19921875" style="2"/>
    <col min="11266" max="11266" width="17.796875" style="2" customWidth="1"/>
    <col min="11267" max="11267" width="7.19921875" style="2"/>
    <col min="11268" max="11268" width="12.3984375" style="2" customWidth="1"/>
    <col min="11269" max="11269" width="9.5" style="2" customWidth="1"/>
    <col min="11270" max="11270" width="11.19921875" style="2" customWidth="1"/>
    <col min="11271" max="11521" width="7.19921875" style="2"/>
    <col min="11522" max="11522" width="17.796875" style="2" customWidth="1"/>
    <col min="11523" max="11523" width="7.19921875" style="2"/>
    <col min="11524" max="11524" width="12.3984375" style="2" customWidth="1"/>
    <col min="11525" max="11525" width="9.5" style="2" customWidth="1"/>
    <col min="11526" max="11526" width="11.19921875" style="2" customWidth="1"/>
    <col min="11527" max="11777" width="7.19921875" style="2"/>
    <col min="11778" max="11778" width="17.796875" style="2" customWidth="1"/>
    <col min="11779" max="11779" width="7.19921875" style="2"/>
    <col min="11780" max="11780" width="12.3984375" style="2" customWidth="1"/>
    <col min="11781" max="11781" width="9.5" style="2" customWidth="1"/>
    <col min="11782" max="11782" width="11.19921875" style="2" customWidth="1"/>
    <col min="11783" max="12033" width="7.19921875" style="2"/>
    <col min="12034" max="12034" width="17.796875" style="2" customWidth="1"/>
    <col min="12035" max="12035" width="7.19921875" style="2"/>
    <col min="12036" max="12036" width="12.3984375" style="2" customWidth="1"/>
    <col min="12037" max="12037" width="9.5" style="2" customWidth="1"/>
    <col min="12038" max="12038" width="11.19921875" style="2" customWidth="1"/>
    <col min="12039" max="12289" width="7.19921875" style="2"/>
    <col min="12290" max="12290" width="17.796875" style="2" customWidth="1"/>
    <col min="12291" max="12291" width="7.19921875" style="2"/>
    <col min="12292" max="12292" width="12.3984375" style="2" customWidth="1"/>
    <col min="12293" max="12293" width="9.5" style="2" customWidth="1"/>
    <col min="12294" max="12294" width="11.19921875" style="2" customWidth="1"/>
    <col min="12295" max="12545" width="7.19921875" style="2"/>
    <col min="12546" max="12546" width="17.796875" style="2" customWidth="1"/>
    <col min="12547" max="12547" width="7.19921875" style="2"/>
    <col min="12548" max="12548" width="12.3984375" style="2" customWidth="1"/>
    <col min="12549" max="12549" width="9.5" style="2" customWidth="1"/>
    <col min="12550" max="12550" width="11.19921875" style="2" customWidth="1"/>
    <col min="12551" max="12801" width="7.19921875" style="2"/>
    <col min="12802" max="12802" width="17.796875" style="2" customWidth="1"/>
    <col min="12803" max="12803" width="7.19921875" style="2"/>
    <col min="12804" max="12804" width="12.3984375" style="2" customWidth="1"/>
    <col min="12805" max="12805" width="9.5" style="2" customWidth="1"/>
    <col min="12806" max="12806" width="11.19921875" style="2" customWidth="1"/>
    <col min="12807" max="13057" width="7.19921875" style="2"/>
    <col min="13058" max="13058" width="17.796875" style="2" customWidth="1"/>
    <col min="13059" max="13059" width="7.19921875" style="2"/>
    <col min="13060" max="13060" width="12.3984375" style="2" customWidth="1"/>
    <col min="13061" max="13061" width="9.5" style="2" customWidth="1"/>
    <col min="13062" max="13062" width="11.19921875" style="2" customWidth="1"/>
    <col min="13063" max="13313" width="7.19921875" style="2"/>
    <col min="13314" max="13314" width="17.796875" style="2" customWidth="1"/>
    <col min="13315" max="13315" width="7.19921875" style="2"/>
    <col min="13316" max="13316" width="12.3984375" style="2" customWidth="1"/>
    <col min="13317" max="13317" width="9.5" style="2" customWidth="1"/>
    <col min="13318" max="13318" width="11.19921875" style="2" customWidth="1"/>
    <col min="13319" max="13569" width="7.19921875" style="2"/>
    <col min="13570" max="13570" width="17.796875" style="2" customWidth="1"/>
    <col min="13571" max="13571" width="7.19921875" style="2"/>
    <col min="13572" max="13572" width="12.3984375" style="2" customWidth="1"/>
    <col min="13573" max="13573" width="9.5" style="2" customWidth="1"/>
    <col min="13574" max="13574" width="11.19921875" style="2" customWidth="1"/>
    <col min="13575" max="13825" width="7.19921875" style="2"/>
    <col min="13826" max="13826" width="17.796875" style="2" customWidth="1"/>
    <col min="13827" max="13827" width="7.19921875" style="2"/>
    <col min="13828" max="13828" width="12.3984375" style="2" customWidth="1"/>
    <col min="13829" max="13829" width="9.5" style="2" customWidth="1"/>
    <col min="13830" max="13830" width="11.19921875" style="2" customWidth="1"/>
    <col min="13831" max="14081" width="7.19921875" style="2"/>
    <col min="14082" max="14082" width="17.796875" style="2" customWidth="1"/>
    <col min="14083" max="14083" width="7.19921875" style="2"/>
    <col min="14084" max="14084" width="12.3984375" style="2" customWidth="1"/>
    <col min="14085" max="14085" width="9.5" style="2" customWidth="1"/>
    <col min="14086" max="14086" width="11.19921875" style="2" customWidth="1"/>
    <col min="14087" max="14337" width="7.19921875" style="2"/>
    <col min="14338" max="14338" width="17.796875" style="2" customWidth="1"/>
    <col min="14339" max="14339" width="7.19921875" style="2"/>
    <col min="14340" max="14340" width="12.3984375" style="2" customWidth="1"/>
    <col min="14341" max="14341" width="9.5" style="2" customWidth="1"/>
    <col min="14342" max="14342" width="11.19921875" style="2" customWidth="1"/>
    <col min="14343" max="14593" width="7.19921875" style="2"/>
    <col min="14594" max="14594" width="17.796875" style="2" customWidth="1"/>
    <col min="14595" max="14595" width="7.19921875" style="2"/>
    <col min="14596" max="14596" width="12.3984375" style="2" customWidth="1"/>
    <col min="14597" max="14597" width="9.5" style="2" customWidth="1"/>
    <col min="14598" max="14598" width="11.19921875" style="2" customWidth="1"/>
    <col min="14599" max="14849" width="7.19921875" style="2"/>
    <col min="14850" max="14850" width="17.796875" style="2" customWidth="1"/>
    <col min="14851" max="14851" width="7.19921875" style="2"/>
    <col min="14852" max="14852" width="12.3984375" style="2" customWidth="1"/>
    <col min="14853" max="14853" width="9.5" style="2" customWidth="1"/>
    <col min="14854" max="14854" width="11.19921875" style="2" customWidth="1"/>
    <col min="14855" max="15105" width="7.19921875" style="2"/>
    <col min="15106" max="15106" width="17.796875" style="2" customWidth="1"/>
    <col min="15107" max="15107" width="7.19921875" style="2"/>
    <col min="15108" max="15108" width="12.3984375" style="2" customWidth="1"/>
    <col min="15109" max="15109" width="9.5" style="2" customWidth="1"/>
    <col min="15110" max="15110" width="11.19921875" style="2" customWidth="1"/>
    <col min="15111" max="15361" width="7.19921875" style="2"/>
    <col min="15362" max="15362" width="17.796875" style="2" customWidth="1"/>
    <col min="15363" max="15363" width="7.19921875" style="2"/>
    <col min="15364" max="15364" width="12.3984375" style="2" customWidth="1"/>
    <col min="15365" max="15365" width="9.5" style="2" customWidth="1"/>
    <col min="15366" max="15366" width="11.19921875" style="2" customWidth="1"/>
    <col min="15367" max="15617" width="7.19921875" style="2"/>
    <col min="15618" max="15618" width="17.796875" style="2" customWidth="1"/>
    <col min="15619" max="15619" width="7.19921875" style="2"/>
    <col min="15620" max="15620" width="12.3984375" style="2" customWidth="1"/>
    <col min="15621" max="15621" width="9.5" style="2" customWidth="1"/>
    <col min="15622" max="15622" width="11.19921875" style="2" customWidth="1"/>
    <col min="15623" max="15873" width="7.19921875" style="2"/>
    <col min="15874" max="15874" width="17.796875" style="2" customWidth="1"/>
    <col min="15875" max="15875" width="7.19921875" style="2"/>
    <col min="15876" max="15876" width="12.3984375" style="2" customWidth="1"/>
    <col min="15877" max="15877" width="9.5" style="2" customWidth="1"/>
    <col min="15878" max="15878" width="11.19921875" style="2" customWidth="1"/>
    <col min="15879" max="16129" width="7.19921875" style="2"/>
    <col min="16130" max="16130" width="17.796875" style="2" customWidth="1"/>
    <col min="16131" max="16131" width="7.19921875" style="2"/>
    <col min="16132" max="16132" width="12.3984375" style="2" customWidth="1"/>
    <col min="16133" max="16133" width="9.5" style="2" customWidth="1"/>
    <col min="16134" max="16134" width="11.19921875" style="2" customWidth="1"/>
    <col min="16135" max="16384" width="7.19921875" style="2"/>
  </cols>
  <sheetData>
    <row r="1" spans="1:11" s="1" customFormat="1" ht="12" x14ac:dyDescent="0.25">
      <c r="B1" s="4" t="s">
        <v>30</v>
      </c>
      <c r="C1" s="4" t="s">
        <v>0</v>
      </c>
      <c r="D1" s="4" t="s">
        <v>3</v>
      </c>
      <c r="E1" s="5" t="s">
        <v>4</v>
      </c>
      <c r="F1" s="5" t="s">
        <v>5</v>
      </c>
      <c r="G1" s="6" t="s">
        <v>6</v>
      </c>
      <c r="H1" s="6" t="s">
        <v>8</v>
      </c>
      <c r="I1" s="4" t="s">
        <v>9</v>
      </c>
    </row>
    <row r="2" spans="1:11" s="1" customFormat="1" ht="24" x14ac:dyDescent="0.25">
      <c r="A2" s="7" t="s">
        <v>10</v>
      </c>
      <c r="B2" s="4" t="s">
        <v>31</v>
      </c>
      <c r="C2" s="4" t="s">
        <v>32</v>
      </c>
      <c r="D2" s="4" t="s">
        <v>14</v>
      </c>
      <c r="E2" s="5" t="s">
        <v>15</v>
      </c>
      <c r="F2" s="4" t="s">
        <v>16</v>
      </c>
      <c r="G2" s="6" t="s">
        <v>33</v>
      </c>
      <c r="H2" s="6" t="s">
        <v>19</v>
      </c>
      <c r="I2" s="4" t="s">
        <v>20</v>
      </c>
    </row>
    <row r="3" spans="1:11" s="1" customFormat="1" x14ac:dyDescent="0.25">
      <c r="A3" s="2"/>
      <c r="B3" s="27" t="s">
        <v>150</v>
      </c>
      <c r="C3" s="27"/>
      <c r="D3" s="27"/>
      <c r="E3" s="27"/>
      <c r="F3" s="27"/>
      <c r="G3" s="27"/>
      <c r="H3" s="27"/>
      <c r="I3" s="27"/>
      <c r="J3" s="1" t="s">
        <v>108</v>
      </c>
    </row>
    <row r="4" spans="1:11" s="8" customFormat="1" ht="24" x14ac:dyDescent="0.15">
      <c r="A4" s="17">
        <v>1</v>
      </c>
      <c r="B4" s="18" t="s">
        <v>107</v>
      </c>
      <c r="C4" s="11" t="s">
        <v>138</v>
      </c>
      <c r="D4" s="11" t="s">
        <v>95</v>
      </c>
      <c r="E4" s="11" t="s">
        <v>103</v>
      </c>
      <c r="F4" s="11" t="s">
        <v>25</v>
      </c>
      <c r="G4" s="12" t="s">
        <v>104</v>
      </c>
      <c r="H4" s="15" t="s">
        <v>157</v>
      </c>
      <c r="I4" s="13" t="s">
        <v>105</v>
      </c>
      <c r="J4" s="13" t="str">
        <f>CONCATENATE("insert into chb_datacheck_condition (CHECKCONDITIONID,CHECKRULEID,CHECKMETHOD,SRCPROPERTY,COMPARETO,OBJVALUE,REMARK,STATUS) values ('",B4,"','",C4,"','",D4,"','",E4,"','",F4,"','",G4,"','",H4,"','",I4,"');")</f>
        <v>insert into chb_datacheck_condition (CHECKCONDITIONID,CHECKRULEID,CHECKMETHOD,SRCPROPERTY,COMPARETO,OBJVALUE,REMARK,STATUS) values ('CHB_PRD_FEE_DEAL-CON0001','CHB_PRD_FEE_DEAL-E001-007F0100700031','inArray','RIVAL_PARTY_TYPE','==','99','当交易对手方类型为其他时','E');</v>
      </c>
      <c r="K4" s="1"/>
    </row>
    <row r="5" spans="1:11" s="8" customFormat="1" ht="24" x14ac:dyDescent="0.15">
      <c r="A5" s="17" t="s">
        <v>146</v>
      </c>
      <c r="B5" s="18" t="s">
        <v>139</v>
      </c>
      <c r="C5" s="11" t="s">
        <v>156</v>
      </c>
      <c r="D5" s="11" t="s">
        <v>95</v>
      </c>
      <c r="E5" s="11" t="s">
        <v>142</v>
      </c>
      <c r="F5" s="11" t="s">
        <v>25</v>
      </c>
      <c r="G5" s="12" t="s">
        <v>143</v>
      </c>
      <c r="H5" s="15" t="s">
        <v>144</v>
      </c>
      <c r="I5" s="13" t="s">
        <v>105</v>
      </c>
      <c r="J5" s="13" t="str">
        <f>CONCATENATE("insert into chb_datacheck_condition (CHECKCONDITIONID,CHECKRULEID,CHECKMETHOD,SRCPROPERTY,COMPARETO,OBJVALUE,REMARK,STATUS) values ('",B5,"','",C5,"','",D5,"','",E5,"','",F5,"','",G5,"','",H5,"','",I5,"');")</f>
        <v>insert into chb_datacheck_condition (CHECKCONDITIONID,CHECKRULEID,CHECKMETHOD,SRCPROPERTY,COMPARETO,OBJVALUE,REMARK,STATUS) values ('CHB_PRD_FEE_DEAL-CON0002','CHB_PRD_FEE_DEAL-E001-007F0100700020','inArray','FEE_TYPE','==','02','当费用类型为其他机构费用时','E');</v>
      </c>
      <c r="K5" s="1"/>
    </row>
    <row r="6" spans="1:11" s="8" customFormat="1" ht="24" x14ac:dyDescent="0.15">
      <c r="A6" s="17" t="s">
        <v>147</v>
      </c>
      <c r="B6" s="18" t="s">
        <v>145</v>
      </c>
      <c r="C6" s="11" t="s">
        <v>141</v>
      </c>
      <c r="D6" s="11" t="s">
        <v>95</v>
      </c>
      <c r="E6" s="11" t="s">
        <v>142</v>
      </c>
      <c r="F6" s="11" t="s">
        <v>25</v>
      </c>
      <c r="G6" s="12" t="s">
        <v>143</v>
      </c>
      <c r="H6" s="15" t="s">
        <v>144</v>
      </c>
      <c r="I6" s="13" t="s">
        <v>105</v>
      </c>
      <c r="J6" s="13" t="str">
        <f>CONCATENATE("insert into chb_datacheck_condition (CHECKCONDITIONID,CHECKRULEID,CHECKMETHOD,SRCPROPERTY,COMPARETO,OBJVALUE,REMARK,STATUS) values ('",B6,"','",C6,"','",D6,"','",E6,"','",F6,"','",G6,"','",H6,"','",I6,"');")</f>
        <v>insert into chb_datacheck_condition (CHECKCONDITIONID,CHECKRULEID,CHECKMETHOD,SRCPROPERTY,COMPARETO,OBJVALUE,REMARK,STATUS) values ('CHB_PRD_FEE_DEAL-CON0003','CHB_PRD_FEE_DEAL-E001-007F0100700023','inArray','FEE_TYPE','==','02','当费用类型为其他机构费用时','E');</v>
      </c>
      <c r="K6" s="1"/>
    </row>
    <row r="7" spans="1:11" x14ac:dyDescent="0.25">
      <c r="A7" s="17" t="s">
        <v>148</v>
      </c>
      <c r="B7" s="18" t="s">
        <v>149</v>
      </c>
      <c r="C7" s="11" t="s">
        <v>154</v>
      </c>
      <c r="D7" s="11" t="s">
        <v>95</v>
      </c>
      <c r="E7" s="11" t="s">
        <v>151</v>
      </c>
      <c r="F7" s="11" t="s">
        <v>25</v>
      </c>
      <c r="G7" s="12" t="s">
        <v>152</v>
      </c>
      <c r="H7" s="15" t="s">
        <v>153</v>
      </c>
      <c r="I7" s="13" t="s">
        <v>105</v>
      </c>
      <c r="J7" s="13" t="str">
        <f>CONCATENATE("insert into chb_datacheck_condition (CHECKCONDITIONID,CHECKRULEID,CHECKMETHOD,SRCPROPERTY,COMPARETO,OBJVALUE,REMARK,STATUS) values ('",B7,"','",C7,"','",D7,"','",E7,"','",F7,"','",G7,"','",H7,"','",I7,"');")</f>
        <v>insert into chb_datacheck_condition (CHECKCONDITIONID,CHECKRULEID,CHECKMETHOD,SRCPROPERTY,COMPARETO,OBJVALUE,REMARK,STATUS) values ('CHB_PRD_FEE_DEAL-CON0004','CHB_PRD_FEE_DEAL-E001-007F0100700027','inArray','STATUS','==','D','当数据状态为删除时','E');</v>
      </c>
    </row>
  </sheetData>
  <autoFilter ref="B1:I4"/>
  <mergeCells count="1">
    <mergeCell ref="B3:I3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规则表配置</vt:lpstr>
      <vt:lpstr>规则条件表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姚佳萍</dc:creator>
  <cp:lastModifiedBy>Windows User</cp:lastModifiedBy>
  <dcterms:created xsi:type="dcterms:W3CDTF">2018-07-10T04:40:00Z</dcterms:created>
  <dcterms:modified xsi:type="dcterms:W3CDTF">2021-01-28T02:02:21Z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