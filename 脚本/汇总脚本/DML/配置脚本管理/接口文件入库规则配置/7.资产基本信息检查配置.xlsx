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E:\TIS-PBC\2.1.6\脚本管理\业务数据维护脚本\接口文件入库规则配置\"/>
    </mc:Choice>
  </mc:AlternateContent>
  <bookViews>
    <workbookView xWindow="0" yWindow="0" windowWidth="20490" windowHeight="7770"/>
  </bookViews>
  <sheets>
    <sheet name="规则表配置" sheetId="3" r:id="rId1"/>
    <sheet name="规则条件表" sheetId="4" r:id="rId2"/>
    <sheet name="Sheet2" sheetId="2" r:id="rId3"/>
  </sheets>
  <definedNames>
    <definedName name="_xlnm._FilterDatabase" localSheetId="0" hidden="1">规则表配置!$A$2:$WVI$786</definedName>
    <definedName name="_xlnm._FilterDatabase" localSheetId="1" hidden="1">规则条件表!$B$1:$I$702</definedName>
  </definedNames>
  <calcPr calcId="152511"/>
</workbook>
</file>

<file path=xl/calcChain.xml><?xml version="1.0" encoding="utf-8"?>
<calcChain xmlns="http://schemas.openxmlformats.org/spreadsheetml/2006/main">
  <c r="L695" i="3" l="1"/>
  <c r="J732" i="4" l="1"/>
  <c r="L786" i="3"/>
  <c r="L785" i="3"/>
  <c r="J731" i="4"/>
  <c r="L784" i="3"/>
  <c r="L783" i="3"/>
  <c r="J730" i="4"/>
  <c r="L782" i="3"/>
  <c r="L781" i="3"/>
  <c r="L780" i="3"/>
  <c r="J729" i="4"/>
  <c r="J728" i="4"/>
  <c r="L779" i="3"/>
  <c r="J727" i="4"/>
  <c r="J726" i="4"/>
  <c r="L778" i="3"/>
  <c r="L616" i="3"/>
  <c r="J725" i="4"/>
  <c r="J723" i="4"/>
  <c r="J724" i="4"/>
  <c r="L615" i="3"/>
  <c r="J722" i="4"/>
  <c r="J721" i="4"/>
  <c r="L777" i="3"/>
  <c r="L776" i="3"/>
  <c r="L775" i="3"/>
  <c r="J720" i="4"/>
  <c r="J713" i="4"/>
  <c r="J714" i="4"/>
  <c r="J715" i="4"/>
  <c r="J716" i="4"/>
  <c r="J717" i="4"/>
  <c r="J718" i="4"/>
  <c r="J719" i="4"/>
  <c r="J706" i="4"/>
  <c r="J707" i="4"/>
  <c r="J708" i="4"/>
  <c r="J709" i="4"/>
  <c r="J710" i="4"/>
  <c r="J711" i="4"/>
  <c r="J712" i="4"/>
  <c r="J705" i="4"/>
  <c r="L759" i="3"/>
  <c r="L758" i="3"/>
  <c r="L760" i="3"/>
  <c r="L761" i="3"/>
  <c r="L762" i="3"/>
  <c r="L763" i="3"/>
  <c r="L764" i="3"/>
  <c r="L765" i="3"/>
  <c r="L766" i="3"/>
  <c r="L767" i="3"/>
  <c r="L768" i="3"/>
  <c r="L769" i="3"/>
  <c r="L770" i="3"/>
  <c r="L771" i="3"/>
  <c r="L772" i="3"/>
  <c r="L773" i="3"/>
  <c r="L774" i="3"/>
  <c r="J704" i="4"/>
  <c r="J703" i="4"/>
  <c r="L757" i="3"/>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4" i="4"/>
  <c r="L4" i="3"/>
  <c r="L17" i="3"/>
  <c r="L5" i="3"/>
  <c r="L6" i="3"/>
  <c r="L7" i="3"/>
  <c r="L8" i="3"/>
  <c r="L9" i="3"/>
  <c r="L10" i="3"/>
  <c r="L11" i="3"/>
  <c r="L12" i="3"/>
  <c r="L13" i="3"/>
  <c r="L14" i="3"/>
  <c r="L15" i="3"/>
  <c r="L16"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alcChain>
</file>

<file path=xl/sharedStrings.xml><?xml version="1.0" encoding="utf-8"?>
<sst xmlns="http://schemas.openxmlformats.org/spreadsheetml/2006/main" count="12934" uniqueCount="2526">
  <si>
    <t>CHECKRULEID</t>
  </si>
  <si>
    <t>DATATYPE</t>
  </si>
  <si>
    <t>CHECKCLASS</t>
  </si>
  <si>
    <t>CHECKMETHOD</t>
  </si>
  <si>
    <t>SRCPROPERTY</t>
  </si>
  <si>
    <t>COMPARETO</t>
  </si>
  <si>
    <t>OBJVALUE</t>
  </si>
  <si>
    <t>NULLABLE</t>
  </si>
  <si>
    <t>REMARK</t>
  </si>
  <si>
    <t>STATUS</t>
  </si>
  <si>
    <t>序号</t>
  </si>
  <si>
    <t>规则标识</t>
  </si>
  <si>
    <t>检查的对象类型</t>
  </si>
  <si>
    <t>检查类</t>
  </si>
  <si>
    <t>检查方法</t>
  </si>
  <si>
    <t>被检查的字段</t>
  </si>
  <si>
    <t>检查比较关系：&gt;,&lt;,&gt;=,&lt;=,==,!=</t>
  </si>
  <si>
    <t>目标结果，对于日期格式，年:小写yyyy或者yy，月:大写MM，日:小写dd，时:大写HH,分:小写mm，秒:小写ss</t>
  </si>
  <si>
    <t>是否可为空，Y－是，N－否，默认为否，表示当SRCPROPERTY的值如果传入是空，校验不通过</t>
  </si>
  <si>
    <t>备注</t>
  </si>
  <si>
    <t>有效状态,E:有效,D:删除</t>
  </si>
  <si>
    <t>com.joyintech.tams.common.svreport.datacheck.service.BaseCheckLib</t>
  </si>
  <si>
    <t>isNotEmpty</t>
  </si>
  <si>
    <t>N</t>
  </si>
  <si>
    <t>E</t>
  </si>
  <si>
    <t>==</t>
  </si>
  <si>
    <t>0</t>
  </si>
  <si>
    <t>Y</t>
  </si>
  <si>
    <t>isNumber</t>
  </si>
  <si>
    <t>5,0</t>
  </si>
  <si>
    <t>inDatadict</t>
  </si>
  <si>
    <t>INVEST_TYPE</t>
  </si>
  <si>
    <t>isNumber2</t>
  </si>
  <si>
    <t>8,5</t>
  </si>
  <si>
    <t>compareValueAsNumber</t>
  </si>
  <si>
    <t>&gt;=</t>
  </si>
  <si>
    <t>15,2</t>
  </si>
  <si>
    <t>&gt;</t>
  </si>
  <si>
    <t>isValidDate</t>
  </si>
  <si>
    <t>compareProperty</t>
  </si>
  <si>
    <t>compareValue</t>
  </si>
  <si>
    <t>!=</t>
  </si>
  <si>
    <t>TRU_FEE_RATE</t>
  </si>
  <si>
    <t>备注要素不可为空</t>
  </si>
  <si>
    <t>6,0</t>
  </si>
  <si>
    <t>ISSUE_PARTY_ID</t>
  </si>
  <si>
    <t>MANAGER_ID</t>
  </si>
  <si>
    <t>PROFIT_TYPE</t>
  </si>
  <si>
    <t>isCustomizedString</t>
  </si>
  <si>
    <t>CHECKCONDITIONID</t>
  </si>
  <si>
    <t>主键</t>
  </si>
  <si>
    <t>检查规则标识，检查规则表主键</t>
  </si>
  <si>
    <t>目标结果</t>
  </si>
  <si>
    <t>01</t>
  </si>
  <si>
    <t>02</t>
  </si>
  <si>
    <t>99</t>
  </si>
  <si>
    <t>备注必须填写白名单中的文字。</t>
  </si>
  <si>
    <t>^[0-9a-zA-Z]{6}$</t>
  </si>
  <si>
    <t>SVR_COUNTRY_AREA</t>
  </si>
  <si>
    <t>CURRENCY_CHB</t>
  </si>
  <si>
    <t>发行机构代码要素不可为空。</t>
  </si>
  <si>
    <t>托管费率%必须大于等于0。</t>
  </si>
  <si>
    <t>lessThanCharLength</t>
  </si>
  <si>
    <t>^[\u4e00-\u9fa5\ue815-\ue864\uff01-\uff5e\uffe0-\uffe5\u3000-\u3003\u3005-\u3017\u301d-\u301e\u2010\u2013-\u2016\u2018-\u2019\u201c-\u201d\u2025-\u2026\u2030\u2032-\u2033\u2035\u203b\u00b7\u0030-\u0039\u0041-\u005a\u0061-\u007a\u2160-\u216b\u0020-\u0026\u0028-\u007B\u007D\u007E]{0,}$</t>
  </si>
  <si>
    <t>W03E4A49-6810-5A9E-E050-007F01006A48</t>
  </si>
  <si>
    <t>W03E4A49-6810-5A9E-E050-007F01006A49</t>
  </si>
  <si>
    <t>W03E4A49-6810-5A9E-E050-007F01006A50</t>
  </si>
  <si>
    <t>W03E4A49-6810-5A9E-E050-007F01006A51</t>
  </si>
  <si>
    <t>W03E4A49-6810-5A9E-E050-007F01006A52</t>
  </si>
  <si>
    <t>W03E4A49-6810-5A9E-E050-007F01006A53</t>
  </si>
  <si>
    <t>W03E4A49-6810-5A9E-E050-007F01006A54</t>
  </si>
  <si>
    <t>W03E4A49-6810-5A9E-E050-007F01006A55</t>
  </si>
  <si>
    <t>W03E4A49-6810-5A9E-E050-007F01006A56</t>
  </si>
  <si>
    <t>W03E4A49-6810-5A9E-E050-007F01006A59</t>
  </si>
  <si>
    <t>W03E4A49-6810-5A9E-E050-007F01006A60</t>
  </si>
  <si>
    <t>W03E4A49-6810-5A9E-E050-007F01006A61</t>
  </si>
  <si>
    <t>W03E4A49-6810-5A9E-E050-007F01006A62</t>
  </si>
  <si>
    <t>W03E4A49-6810-5A9E-E050-007F01006A63</t>
  </si>
  <si>
    <t>W03E4A49-6810-5A9E-E050-007F01006A64</t>
  </si>
  <si>
    <t>W03E4A49-6810-5A9E-E050-007F01006A65</t>
  </si>
  <si>
    <t>W03E4A49-6810-5A9E-E050-007F01006A67</t>
  </si>
  <si>
    <t>W03E4A49-6810-5A9E-E050-007F01006A68</t>
  </si>
  <si>
    <t>W03E4A49-6810-5A9E-E050-007F01006A69</t>
  </si>
  <si>
    <t>W03E4A49-6810-5A9E-E050-007F01006A70</t>
  </si>
  <si>
    <t>W03E4A49-6810-5A9E-E050-007F01006A71</t>
  </si>
  <si>
    <t>W03E4A49-6810-5A9E-E050-007F01006A72</t>
  </si>
  <si>
    <t>W03E4A49-6810-5A9E-E050-007F01006A73</t>
  </si>
  <si>
    <t>W03E4A49-6810-5A9E-E050-007F01006A74</t>
  </si>
  <si>
    <t>W03E4A49-6810-5A9E-E050-007F01006A75</t>
  </si>
  <si>
    <t>W03E4A49-6810-5A9E-E050-007F01006A76</t>
  </si>
  <si>
    <t>W03E4A49-6810-5A9E-E050-007F01006A78</t>
  </si>
  <si>
    <t>W03E4A49-6810-5A9E-E050-007F01006A79</t>
  </si>
  <si>
    <t>W03E4A49-6810-5A9E-E050-007F01006A80</t>
  </si>
  <si>
    <t>W03E4A49-6810-5A9E-E050-007F01006A81</t>
  </si>
  <si>
    <t>W03E4A49-6810-5A9E-E050-007F01006A83</t>
  </si>
  <si>
    <t>W03E4A49-6810-5A9E-E050-007F01006A84</t>
  </si>
  <si>
    <t>W03E4A49-6810-5A9E-E050-007F01006A85</t>
  </si>
  <si>
    <t>W03E4A49-6810-5A9E-E050-007F01006A86</t>
  </si>
  <si>
    <t>W03E4A49-6810-5A9E-E050-007F01006A87</t>
  </si>
  <si>
    <t>W03E4A49-6810-5A9E-E050-007F01006A88</t>
  </si>
  <si>
    <t>W03E4A49-6810-5A9E-E050-007F01006A90</t>
  </si>
  <si>
    <t>W03E4A49-6810-5A9E-E050-007F01006A91</t>
  </si>
  <si>
    <t>W03E4A49-6810-5A9E-E050-007F01006A92</t>
  </si>
  <si>
    <t>W03E4A49-6810-5A9E-E050-007F01006A94</t>
  </si>
  <si>
    <t>W03E4A49-6810-5A9E-E050-007F01006A95</t>
  </si>
  <si>
    <t>W03E4A49-6810-5A9E-E050-007F01006A96</t>
  </si>
  <si>
    <t>W03E4A49-6810-5A9E-E050-007F01006A97</t>
  </si>
  <si>
    <t>W03E4A49-6810-5A9E-E050-007F01006A98</t>
  </si>
  <si>
    <t>W03E4A49-6810-5A9E-E050-007F01006A99</t>
  </si>
  <si>
    <t>W03E4A49-6810-5A9E-E050-007F01007A64</t>
  </si>
  <si>
    <t>W03E4A49-6810-5A9E-E050-007F01016A56</t>
  </si>
  <si>
    <t>W03E4A49-6810-5A9E-E050-007F01026A56</t>
  </si>
  <si>
    <t>W03E4A49-6810-5A9E-E050-107F01006A87</t>
  </si>
  <si>
    <t>W03E4A49-6810-5A9E-E050-107F01006A90</t>
  </si>
  <si>
    <t>W03E4A49-6810-5A9E-E050-107F01006A91</t>
  </si>
  <si>
    <t>W03E4A49-6810-5A9E-E0WM-007F01006A64</t>
  </si>
  <si>
    <t>W03E4A49-6810-5A9E-E050-007F01006A57</t>
  </si>
  <si>
    <t>W11E4A49-6810-5A9E-E050-007F01006A22</t>
  </si>
  <si>
    <t>W13E4A49-6810-5A9E-E050-007F01006A62</t>
  </si>
  <si>
    <t>W23E4A49-6810-5A9E-E050-007F01006A14</t>
  </si>
  <si>
    <t>W23E4A49-6810-5A9E-E050-007F01006A15</t>
  </si>
  <si>
    <t>W23E4A49-6810-5A9E-E050-007F01006A19</t>
  </si>
  <si>
    <t>W23E4A49-6810-5A9E-E050-007F01006A20</t>
  </si>
  <si>
    <t>W23E4A49-6810-5A9E-E050-007F01006A21</t>
  </si>
  <si>
    <t>W23E4A49-6810-5A9E-E050-007F01006A22</t>
  </si>
  <si>
    <t>W23E4A49-6810-5A9E-E050-007F01006A23</t>
  </si>
  <si>
    <t>W23E4A49-6810-5A9E-E050-007F01006A24</t>
  </si>
  <si>
    <t>W23E4A49-6810-5A9E-E050-007F01006A25</t>
  </si>
  <si>
    <t>W23E4A49-6810-5A9E-E050-007F01006A26</t>
  </si>
  <si>
    <t>W23E4A49-6810-5A9E-E050-007F01006A27</t>
  </si>
  <si>
    <t>W23E4A49-6810-5A9E-E050-007F01006A28</t>
  </si>
  <si>
    <t>W23E4A49-6810-5A9E-E050-007F01006A29</t>
  </si>
  <si>
    <t>W23E4A49-6810-5A9E-E050-007F01006A34</t>
  </si>
  <si>
    <t>W23E4A49-6810-5A9E-E050-007F01006A42</t>
  </si>
  <si>
    <t>W23E4A49-6810-5A9E-E050-007F01006A43</t>
  </si>
  <si>
    <t>W23E4A49-6810-5A9E-E050-007F01006A44</t>
  </si>
  <si>
    <t>W23E4A49-6810-5A9E-E050-007F01006A45</t>
  </si>
  <si>
    <t>W23E4A49-6810-5A9E-E050-007F01006A46</t>
  </si>
  <si>
    <t>W23E4A49-6810-5A9E-E050-007F01006A47</t>
  </si>
  <si>
    <t>W23E4A49-6810-5A9E-E050-007F01006A48</t>
  </si>
  <si>
    <t>W23E4A49-6810-5A9E-E050-007F01006A49</t>
  </si>
  <si>
    <t>W23E4A49-6810-5A9E-E050-007F01006A50</t>
  </si>
  <si>
    <t>W23E4A49-6810-5A9E-E050-007F01006A51</t>
  </si>
  <si>
    <t>W23E4A49-6810-5A9E-E050-007F01006A52</t>
  </si>
  <si>
    <t>W23E4A49-6810-5A9E-E050-007F01006A53</t>
  </si>
  <si>
    <t>W23E4A49-6810-5A9E-E050-007F01006A54</t>
  </si>
  <si>
    <t>W23E4A49-6810-5A9E-E050-007F01006A55</t>
  </si>
  <si>
    <t>W23E4A49-6810-5A9E-E050-007F01006A56</t>
  </si>
  <si>
    <t>W23E4A49-6810-5A9E-E050-007F01006A57</t>
  </si>
  <si>
    <t>W23E4A49-6810-5A9E-E050-007F01006A58</t>
  </si>
  <si>
    <t>W23E4A49-6810-5A9E-E050-007F01006A59</t>
  </si>
  <si>
    <t>W23E4A49-6810-5A9E-E050-007F01006A62</t>
  </si>
  <si>
    <t>W23E4A49-6810-5A9E-E050-007F01006A97</t>
  </si>
  <si>
    <t>W23E4A49-6810-5A9E-E050-107F01006A22</t>
  </si>
  <si>
    <t>W23E4A49-6810-5A9E-E050-107F01006A43</t>
  </si>
  <si>
    <t>W23E4A49-6810-5A9E-E050-207F01006A22</t>
  </si>
  <si>
    <t>W23E4A49-6810-5A9E-E050-307F01006A22</t>
  </si>
  <si>
    <t>W23E4A49-6810-5A9E-E050-407F01006A22</t>
  </si>
  <si>
    <t>W23E4A49-6810-5A9E-E050-507F01006A22</t>
  </si>
  <si>
    <t>W23E4A49-6810-5AWM-E050-007F01006A30</t>
  </si>
  <si>
    <t>W23E4A49-6810-5AWM-E050-007F01006A32</t>
  </si>
  <si>
    <t>W23E4A49-6810-5AWM-E050-007F01006A33</t>
  </si>
  <si>
    <t>W23E4A49-6810-5AWM-E050-007F01006A40</t>
  </si>
  <si>
    <t>W23E4A49-6810-5AWM-E050-007F01006A41</t>
  </si>
  <si>
    <t>W23E4A49-6811-5A9E-E152-007F01006A26</t>
  </si>
  <si>
    <t>W84807E5-DF1C-D920-E050-007F010177FD</t>
  </si>
  <si>
    <t>W23E4A49-6810-5A9E-E050-007F01006A00</t>
  </si>
  <si>
    <t>W23E4A49-6810-5A9E-E050-007F01006A02</t>
  </si>
  <si>
    <t>W23E4A49-6810-5A9E-E050-007F01006A03</t>
  </si>
  <si>
    <t>W23E4A49-6810-5A9E-E050-007F01006A04</t>
  </si>
  <si>
    <t>W23E4A49-6810-5A9E-E050-007F01006A05</t>
  </si>
  <si>
    <t>W23E4A49-6810-5A9E-E050-007F01006A06</t>
  </si>
  <si>
    <t>W23E4A49-6810-5A9E-E050-007F01006A07</t>
  </si>
  <si>
    <t>W23E4A49-6810-5A9E-E050-007F01006A08</t>
  </si>
  <si>
    <t>W23E4A49-6810-5A9E-E050-007F01006A09</t>
  </si>
  <si>
    <t>W23E4A49-6810-5A9E-E050-007F01006A10</t>
  </si>
  <si>
    <t>W23E4A49-6810-5A9E-E050-007F01006A11</t>
  </si>
  <si>
    <t>W23E4A49-6810-5A9E-E050-007F01006A12</t>
  </si>
  <si>
    <t>W23E4A49-6810-5A9E-E050-007F01006A13</t>
  </si>
  <si>
    <t>W23E4A49-6810-5A9E-E050-007F01006A16</t>
  </si>
  <si>
    <t>W23E4A49-6810-5A9E-E050-007F01006A17</t>
  </si>
  <si>
    <t>W23E4A49-6810-5A9E-E050-007F01006A18</t>
  </si>
  <si>
    <t>W23E4A49-6810-5A9E-E050-007F01006A30</t>
  </si>
  <si>
    <t>W23E4A49-6810-5A9E-E050-007F01006A31</t>
  </si>
  <si>
    <t>W23E4A49-6810-5A9E-E050-007F01006A32</t>
  </si>
  <si>
    <t>W23E4A49-6810-5A9E-E050-007F01006A33</t>
  </si>
  <si>
    <t>W23E4A49-6810-5A9E-E050-007F01006A35</t>
  </si>
  <si>
    <t>W23E4A49-6810-5A9E-E050-007F01006A36</t>
  </si>
  <si>
    <t>W23E4A49-6810-5A9E-E050-007F01006A37</t>
  </si>
  <si>
    <t>W23E4A49-6810-5A9E-E050-007F01006A38</t>
  </si>
  <si>
    <t>W23E4A49-6810-5A9E-E050-007F01006A39</t>
  </si>
  <si>
    <t>W23E4A49-6810-5A9E-E050-007F01006A40</t>
  </si>
  <si>
    <t>W23E4A49-6810-5A9E-E050-007F01006A41</t>
  </si>
  <si>
    <t>W23E4A49-6810-5A9E-E050-007F01006A60</t>
  </si>
  <si>
    <t>W23E4A49-6810-5A9E-E050-007F01006A61</t>
  </si>
  <si>
    <t>W23E4A49-6810-5A9E-E050-007F01006A63</t>
  </si>
  <si>
    <t>W23E4A49-6810-5A9E-E050-007F01006A64</t>
  </si>
  <si>
    <t>W23E4A49-6810-5A9E-E050-007F01006A65</t>
  </si>
  <si>
    <t>W23E4A49-6810-5A9E-E050-007F01006A66</t>
  </si>
  <si>
    <t>W23E4A49-6810-5A9E-E050-007F01006A67</t>
  </si>
  <si>
    <t>W23E4A49-6810-5A9E-E050-007F01006A70</t>
  </si>
  <si>
    <t>W23E4A49-6810-5A9E-E050-007F01006A71</t>
  </si>
  <si>
    <t>W23E4A49-6810-5A9E-E050-007F01006A72</t>
  </si>
  <si>
    <t>W23E4A49-6810-5A9E-E050-007F01006A73</t>
  </si>
  <si>
    <t>W23E4A49-6810-5A9E-E050-007F01006A74</t>
  </si>
  <si>
    <t>W23E4A49-6810-5A9E-E050-007F01006A75</t>
  </si>
  <si>
    <t>W23E4A49-6810-5A9E-E050-007F01006A76</t>
  </si>
  <si>
    <t>W23E4A49-6810-5A9E-E050-007F01006A77</t>
  </si>
  <si>
    <t>W23E4A49-6810-5A9E-E050-007F01006A78</t>
  </si>
  <si>
    <t>W23E4A49-6810-5A9E-E050-007F01006A80</t>
  </si>
  <si>
    <t>W23E4A49-6810-5A9E-E050-007F01006A81</t>
  </si>
  <si>
    <t>W23E4A49-6810-5A9E-E050-007F01006A82</t>
  </si>
  <si>
    <t>W23E4A49-6810-5A9E-E050-007F01006A83</t>
  </si>
  <si>
    <t>W23E4A49-6810-5A9E-E050-007F01006A84</t>
  </si>
  <si>
    <t>W23E4A49-6810-5A9E-E050-007F01006A86</t>
  </si>
  <si>
    <t>W23E4A49-6810-5A9E-E050-007F01006A87</t>
  </si>
  <si>
    <t>W23E4A49-6810-5A9E-E050-007F01006A88</t>
  </si>
  <si>
    <t>W23E4A49-6810-5A9E-E050-007F01006A89</t>
  </si>
  <si>
    <t>W23E4A49-6810-5A9E-E050-007F01006A8S</t>
  </si>
  <si>
    <t>W23E4A49-6810-5A9E-E050-007F01006A90</t>
  </si>
  <si>
    <t>W23E4A49-6810-5A9E-E050-007F01006A92</t>
  </si>
  <si>
    <t>W23E4A49-6810-5A9E-E050-007F01006A93</t>
  </si>
  <si>
    <t>W23E4A49-6810-5A9E-E050-007F01006A94</t>
  </si>
  <si>
    <t>W23E4A49-6810-5A9E-E050-007F01006A95</t>
  </si>
  <si>
    <t>W23E4A49-6810-5A9E-E050-007F01006A96</t>
  </si>
  <si>
    <t>W23E4A49-6810-5A9E-E050-007F01006A98</t>
  </si>
  <si>
    <t>W23E4A49-6810-5A9E-E050-007F01006A99</t>
  </si>
  <si>
    <t>W23E4A49-6810-5A9E-E050-007F01016A88</t>
  </si>
  <si>
    <t>W23E4A49-6810-5A9E-E050-107F01006A05</t>
  </si>
  <si>
    <t>W23E4A49-6810-5A9E-E050-107F01006A18</t>
  </si>
  <si>
    <t>W23E4A49-6810-5A9E-E050-107F01006A31</t>
  </si>
  <si>
    <t>W23E4A49-6810-5A9E-E050-107F01006A49</t>
  </si>
  <si>
    <t>W23E4A49-6810-5A9E-E050-107F01006A52</t>
  </si>
  <si>
    <t>W23E4A49-6810-5A9E-E050-107F01006A55</t>
  </si>
  <si>
    <t>W23E4A49-6810-5A9E-E050-107F01006A64</t>
  </si>
  <si>
    <t>W23E4A49-6810-5A9E-E050-107F01006A72</t>
  </si>
  <si>
    <t>W23E4A49-6810-5A9E-E050-107F01006A80</t>
  </si>
  <si>
    <t>W23E4A49-6810-5A9E-E050-107F01006A92</t>
  </si>
  <si>
    <t>W23E4A49-6810-5A9E-E050-207F01006A31</t>
  </si>
  <si>
    <t>W23E4A49-6810-5A9E-E050-207F01006A32</t>
  </si>
  <si>
    <t>W23E4A49-6810-5A9E-E050-207F01006A33</t>
  </si>
  <si>
    <t>W23E4A49-6810-5A9E-E050-207F01006A34</t>
  </si>
  <si>
    <t>W23E4A49-6810-5A9E-E050-207F01006A35</t>
  </si>
  <si>
    <t>W23E4A49-6810-5A9E-E050-207F01006A36</t>
  </si>
  <si>
    <t>W23E4A49-6810-5A9E-E050-207F01006A37</t>
  </si>
  <si>
    <t>W84807E5-DF28-D920-E050-007F010088FD</t>
  </si>
  <si>
    <t>W84807E5-DF28-D920-E050-007F010098FD</t>
  </si>
  <si>
    <t>W84807E5-DF28-D920-E050-007F010099FD</t>
  </si>
  <si>
    <t>W84807E5-DF28-D920-E050-007F010100FD</t>
  </si>
  <si>
    <t>W84807E5-DF43-D920-E050-007F010077FD</t>
  </si>
  <si>
    <t>W43E4A49-6810-5A9E-E050-007F01006A00</t>
  </si>
  <si>
    <t>W43E4A49-6810-5A9E-E050-007F01006A01</t>
  </si>
  <si>
    <t>W43E4A49-6810-5A9E-E050-007F01006A02</t>
  </si>
  <si>
    <t>W43E4A49-6810-5A9E-E050-007F01006A05</t>
  </si>
  <si>
    <t>W43E4A49-6810-5A9E-E050-007F01006A06</t>
  </si>
  <si>
    <t>W43E4A49-6810-5A9E-E050-007F01006A12</t>
  </si>
  <si>
    <t>W43E4A49-6810-5A9E-E050-007F01006A13</t>
  </si>
  <si>
    <t>W43E4A49-6810-5A9E-E050-007F01006A18</t>
  </si>
  <si>
    <t>W43E4A49-6810-5A9E-E050-007F01006A19</t>
  </si>
  <si>
    <t>W43E4A49-6810-5A9E-E050-007F01006A20</t>
  </si>
  <si>
    <t>W43E4A49-6810-5A9E-E050-007F01006A21</t>
  </si>
  <si>
    <t>W43E4A49-6810-5A9E-E050-007F01006A22</t>
  </si>
  <si>
    <t>W43E4A49-6810-5A9E-E050-007F01006A24</t>
  </si>
  <si>
    <t>W43E4A49-6810-5A9E-E050-007F01006A25</t>
  </si>
  <si>
    <t>W43E4A49-6810-5A9E-E050-007F01006A26</t>
  </si>
  <si>
    <t>W43E4A49-6810-5A9E-E050-007F01006A27</t>
  </si>
  <si>
    <t>W43E4A49-6810-5A9E-E050-007F01006A28</t>
  </si>
  <si>
    <t>W43E4A49-6810-5A9E-E050-007F01006A29</t>
  </si>
  <si>
    <t>W43E4A49-6810-5A9E-E050-007F01006A30</t>
  </si>
  <si>
    <t>W43E4A49-6810-5A9E-E050-007F01006A31</t>
  </si>
  <si>
    <t>W43E4A49-6810-5A9E-E050-007F01006A32</t>
  </si>
  <si>
    <t>W43E4A49-6810-5A9E-E050-007F01006A33</t>
  </si>
  <si>
    <t>W43E4A49-6810-5A9E-E050-007F01006A34</t>
  </si>
  <si>
    <t>W43E4A49-6810-5A9E-E050-007F01006A35</t>
  </si>
  <si>
    <t>W43E4A49-6810-5A9E-E050-007F01006A36</t>
  </si>
  <si>
    <t>W43E4A49-6810-5A9E-E050-007F01006A37</t>
  </si>
  <si>
    <t>W43E4A49-6810-5A9E-E050-007F01006A38</t>
  </si>
  <si>
    <t>W43E4A49-6810-5A9E-E050-007F01006A39</t>
  </si>
  <si>
    <t>W43E4A49-6810-5A9E-E050-007F01006A40</t>
  </si>
  <si>
    <t>W43E4A49-6810-5A9E-E050-007F01006A41</t>
  </si>
  <si>
    <t>W43E4A49-6810-5A9E-E050-007F01006A42</t>
  </si>
  <si>
    <t>W43E4A49-6810-5A9E-E050-007F01006A43</t>
  </si>
  <si>
    <t>W43E4A49-6810-5A9E-E050-007F01006A44</t>
  </si>
  <si>
    <t>W43E4A49-6810-5A9E-E050-007F01006A45</t>
  </si>
  <si>
    <t>W43E4A49-6810-5A9E-E050-007F01006A46</t>
  </si>
  <si>
    <t>W43E4A49-6810-5A9E-E050-007F01006A47</t>
  </si>
  <si>
    <t>W43E4A49-6810-5A9E-E050-007F01006A48</t>
  </si>
  <si>
    <t>W43E4A49-6810-5A9E-E050-007F01006A49</t>
  </si>
  <si>
    <t>W43E4A49-6810-5A9E-E050-007F01006A50</t>
  </si>
  <si>
    <t>W43E4A49-6810-5A9E-E050-007F01006A51</t>
  </si>
  <si>
    <t>W43E4A49-6810-5A9E-E050-007F01006A52</t>
  </si>
  <si>
    <t>W43E4A49-6810-5A9E-E050-007F01006A53</t>
  </si>
  <si>
    <t>W43E4A49-6810-5A9E-E050-007F01006A55</t>
  </si>
  <si>
    <t>W43E4A49-6810-5A9E-E050-007F01006B41</t>
  </si>
  <si>
    <t>W43E4A49-6810-5A9E-E050-107F01006A12</t>
  </si>
  <si>
    <t>W43E4A49-6810-5A9E-E050-107F01006A18</t>
  </si>
  <si>
    <t>W43E4A49-6810-5A9E-E050-107F01006A27</t>
  </si>
  <si>
    <t>W43E4A49-6810-5A9E-E050-107F01006A28</t>
  </si>
  <si>
    <t>W43E4A49-6810-5A9E-E050-107F01006A42</t>
  </si>
  <si>
    <t>W43E4A49-6810-5A9E-E050-107F01006A43</t>
  </si>
  <si>
    <t>W43E4A49-6810-5A9E-E050-107F01006A48</t>
  </si>
  <si>
    <t>W43E4A49-6810-5A9E-E050-107F01006A49</t>
  </si>
  <si>
    <t>W43E4A49-6810-5A9E-E050-107F01006A51</t>
  </si>
  <si>
    <t>W43E4A49-6810-5A9E-E050-107F01006A53</t>
  </si>
  <si>
    <t>W43E4A49-6810-5A9E-E050-117F01006A13</t>
  </si>
  <si>
    <t>W43E4A49-6810-5A9E-E050-207F01006A53</t>
  </si>
  <si>
    <t>W43E4A49-6810-5A9E-E151-007F01006A42</t>
  </si>
  <si>
    <t>W43E4A59-6810-5A9E-E050-007F01006A36</t>
  </si>
  <si>
    <t>W84804E5-DF7F-D920-E050-007F010077FD</t>
  </si>
  <si>
    <t>W84804E5-DF7F-D920-E050-107F010077FD</t>
  </si>
  <si>
    <t>W84807E5-DF1A-D920-E050-007F010077FD</t>
  </si>
  <si>
    <t>W84807E5-DF1B-D920-E050-007F010077FD</t>
  </si>
  <si>
    <t>W84807E5-DF1C-D920-E050-007F010077FD</t>
  </si>
  <si>
    <t>W84807E5-DF1C-D921-E050-007F010077FD</t>
  </si>
  <si>
    <t>W84807E5-DF1E-D920-E050-007F010077FD</t>
  </si>
  <si>
    <t>W84807E5-DF1E-D920-E050-107F010077FD</t>
  </si>
  <si>
    <t>W84807E5-DF1E-D920-E050-117F010077FD</t>
  </si>
  <si>
    <t>W84807E5-DF1E-D920-E050-207F010077FD</t>
  </si>
  <si>
    <t>W84807E5-DF1F-D920-E050-007F010077FD</t>
  </si>
  <si>
    <t>W84807E5-DF20-D920-E050-007F010077FD</t>
  </si>
  <si>
    <t>W84807E5-DF21-D920-E050-007F010077FD</t>
  </si>
  <si>
    <t>W84807E5-DF22-D920-E050-007F010077FD</t>
  </si>
  <si>
    <t>W84807E5-DF23-D920-E050-007F010077FD</t>
  </si>
  <si>
    <t>W84807E5-DF24-D920-E050-007F010077FD</t>
  </si>
  <si>
    <t>W84807E5-DF25-D920-E050-007F010077FD</t>
  </si>
  <si>
    <t>W84807E5-DF26-D920-E050-007F010077FD</t>
  </si>
  <si>
    <t>W84807E5-DF27-D920-E050-007F010077FD</t>
  </si>
  <si>
    <t>W84807E5-DF28-D920-E050-007F010077FD</t>
  </si>
  <si>
    <t>W84807E5-DF28-D981-E051-007F01007914</t>
  </si>
  <si>
    <t>W84807E5-DF29-D920-E050-007F010077FD</t>
  </si>
  <si>
    <t>W84807E5-DF2A-D920-E050-007F010077FD</t>
  </si>
  <si>
    <t>W84807E5-DF2B-D920-E050-007F010077FD</t>
  </si>
  <si>
    <t>W84807E5-DF2C-D920-E050-007F010077FD</t>
  </si>
  <si>
    <t>W84807E5-DF2D-D920-E050-007F010077FD</t>
  </si>
  <si>
    <t>W84807E5-DF2E-D920-E050-007F010077FD</t>
  </si>
  <si>
    <t>W84807E5-DF2F-D920-E050-007F010077FD</t>
  </si>
  <si>
    <t>W84807E5-DF34-D920-E050-007F010077FD</t>
  </si>
  <si>
    <t>W84807E5-DF34-D920-E050-107F010077FD</t>
  </si>
  <si>
    <t>W84807E5-DF35-D920-E050-007F010077FD</t>
  </si>
  <si>
    <t>W84807E5-DF35-D981-E051-007F01007914</t>
  </si>
  <si>
    <t>W84807E5-DF35-D981-E051-117F01007914</t>
  </si>
  <si>
    <t>W84807E5-DF36-D920-E050-007F010077FD</t>
  </si>
  <si>
    <t>W84807E5-DF37-D920-E050-007F010077FD</t>
  </si>
  <si>
    <t>W84807E5-DF38-D920-E050-007F010077FD</t>
  </si>
  <si>
    <t>W84807E5-DF39-D920-E050-007F010077FD</t>
  </si>
  <si>
    <t>W84807E5-DF3A-D920-E050-007F010077FD</t>
  </si>
  <si>
    <t>W84807E5-DF3B-D920-E050-007F010077FD</t>
  </si>
  <si>
    <t>W84807E5-DF3C-D920-E050-007F010077FD</t>
  </si>
  <si>
    <t>W84807E5-DF3E-D920-E050-007F010077FD</t>
  </si>
  <si>
    <t>W84807E5-DF3F-D920-E050-007F010077FD</t>
  </si>
  <si>
    <t>W84807E5-DF40-D920-E050-007F010077FD</t>
  </si>
  <si>
    <t>W84807E5-DF41-D920-E050-007F010077FD</t>
  </si>
  <si>
    <t>W84807E5-DF42-D920-E050-007F010077FD</t>
  </si>
  <si>
    <t>W84807E5-DF44-D920-E050-007F010077FD</t>
  </si>
  <si>
    <t>W84807E5-DF45-D920-E050-007F010077FD</t>
  </si>
  <si>
    <t>W84807E5-DF46-D920-E050-007F010077FD</t>
  </si>
  <si>
    <t>W84807E5-DF47-D920-E050-007F010077FD</t>
  </si>
  <si>
    <t>W84807E5-DF48-D920-E050-007F010077FD</t>
  </si>
  <si>
    <t>W84807E5-DF49-D920-E050-007F010077FD</t>
  </si>
  <si>
    <t>W84807E5-DF4B-D920-E050-007F010077FD</t>
  </si>
  <si>
    <t>W84807E5-DF4C-D920-E050-007F010077FD</t>
  </si>
  <si>
    <t>W84807E5-DF4D-D920-E050-007F010077FD</t>
  </si>
  <si>
    <t>W84807E5-DF4E-D920-E050-007F010077FD</t>
  </si>
  <si>
    <t>W84807E5-DF4F-D920-E050-007F010077FD</t>
  </si>
  <si>
    <t>W84807E5-DF4F-D920-E050-107F010077FD</t>
  </si>
  <si>
    <t>W84807E5-DF50-D920-E050-007F010077FD</t>
  </si>
  <si>
    <t>W84807E5-DF50-D920-E050-107F010077FD</t>
  </si>
  <si>
    <t>W84807E5-DF51-D920-E050-007F010077FD</t>
  </si>
  <si>
    <t>W84807E5-DF52-D920-E050-007F010077FD</t>
  </si>
  <si>
    <t>W84807E5-DF53-D920-E050-007F010077FD</t>
  </si>
  <si>
    <t>W84807E5-DF54-D920-E050-007F010077FD</t>
  </si>
  <si>
    <t>W84807E5-DF54-D920-E050-207F010077FD</t>
  </si>
  <si>
    <t>W84807E5-DF56-D920-E050-007F010077FD</t>
  </si>
  <si>
    <t>W84807E5-DF56-D920-E050-107F010077FD</t>
  </si>
  <si>
    <t>W84807E5-DF57-D920-E050-007F010077FD</t>
  </si>
  <si>
    <t>W84807E5-DF57-D920-E050-107F010077FD</t>
  </si>
  <si>
    <t>W84807E5-DF57-D920-E050-117F010077FD</t>
  </si>
  <si>
    <t>W84807E5-DF58-D920-E050-007F010077FD</t>
  </si>
  <si>
    <t>W84807E5-DF59-D920-E050-007F010077FD</t>
  </si>
  <si>
    <t>W84807E5-DF59-D920-E050-107F010077FD</t>
  </si>
  <si>
    <t>W84807E5-DF5A-D920-E050-007F010077FD</t>
  </si>
  <si>
    <t>W84807E5-DF5A-D920-E050-107F010077FD</t>
  </si>
  <si>
    <t>W84807E5-DF5B-D920-E050-007F010077FD</t>
  </si>
  <si>
    <t>W84807E5-DF5C-D920-E050-007F010077FD</t>
  </si>
  <si>
    <t>W84807E5-DF5D-D920-E050-007F010077FD</t>
  </si>
  <si>
    <t>W84807E5-DF5E-D920-E050-007F010077FD</t>
  </si>
  <si>
    <t>W84807E5-DF5F-D920-E050-007F010077FD</t>
  </si>
  <si>
    <t>W84807E5-DF60-D920-E050-007F010077FD</t>
  </si>
  <si>
    <t>W84807E5-DF61-D920-E050-007F010077FD</t>
  </si>
  <si>
    <t>W84807E5-DF62-D920-E050-007F010077FD</t>
  </si>
  <si>
    <t>W84807E5-DF63-D920-E050-007F010077FD</t>
  </si>
  <si>
    <t>W84807E5-DF64-D920-E050-007F010077FD</t>
  </si>
  <si>
    <t>W84807E5-DF65-D920-E050-007F010077FD</t>
  </si>
  <si>
    <t>W84807E5-DF66-D920-E050-007F010077FD</t>
  </si>
  <si>
    <t>W84807E5-DF66-D920-E050-107F010077FD</t>
  </si>
  <si>
    <t>W84807E5-DF68-D920-E050-007F010077FD</t>
  </si>
  <si>
    <t>W84807E5-DF6C-D920-E050-007F010077FD</t>
  </si>
  <si>
    <t>W84807E5-DF6C-D920-E050-107F010077FD</t>
  </si>
  <si>
    <t>W84807E5-DF6C-D920-E050-107F01007SFD</t>
  </si>
  <si>
    <t>W84807E5-DF6C-D920-E050-207F01007SFD</t>
  </si>
  <si>
    <t>W84807E5-DF6E-D920-E050-007F010077FD</t>
  </si>
  <si>
    <t>W84807E5-DF6F-D920-E050-007F010077FD</t>
  </si>
  <si>
    <t>W84807E5-DF6F-D920-E050-107F010077FD</t>
  </si>
  <si>
    <t>W84807E5-DF70-D920-E050-007F010077FD</t>
  </si>
  <si>
    <t>W84807E5-DF70-D920-E050-107F010077FD</t>
  </si>
  <si>
    <t>W84807E5-DF71-D920-E050-007F010077FD</t>
  </si>
  <si>
    <t>W84807E5-DF72-D920-E050-007F010077FD</t>
  </si>
  <si>
    <t>W84807E5-DF72-D920-E050-107F010077FD</t>
  </si>
  <si>
    <t>W84807E5-DF73-D920-E050-007F010077FD</t>
  </si>
  <si>
    <t>W84807E5-DF73-D920-E050-107F010077FD</t>
  </si>
  <si>
    <t>W84807E5-DF74-D920-E050-007F010077FD</t>
  </si>
  <si>
    <t>W84807E5-DF74-D920-E050-107F010077FD</t>
  </si>
  <si>
    <t>W84807E5-DF75-D920-E050-007F010077FD</t>
  </si>
  <si>
    <t>W84807E5-DF75-D920-E050-107F010077FD</t>
  </si>
  <si>
    <t>W84807E5-DF76-D920-E050-007F010077FD</t>
  </si>
  <si>
    <t>W84807E5-DF77-D920-E050-007F010077FD</t>
  </si>
  <si>
    <t>W84807E5-DF78-D920-E050-007F010077FD</t>
  </si>
  <si>
    <t>W84807E5-DF79-D920-E050-007F010077FD</t>
  </si>
  <si>
    <t>W84807E5-DF79-D920-E050-117F010077FD</t>
  </si>
  <si>
    <t>W84807E5-DF7A-D920-E050-007F010077FD</t>
  </si>
  <si>
    <t>W84807E5-DF7A-D920-E050-117F010077FD</t>
  </si>
  <si>
    <t>W84807E5-DF7A-D920-E050-117F010078FD</t>
  </si>
  <si>
    <t>W84807E5-DF7A-D920-E050-117F010079FD</t>
  </si>
  <si>
    <t>W84807E5-DF7A-D920-E050-117F010080FD</t>
  </si>
  <si>
    <t>W84807E5-DF7A-D920-E050-117F010081FD</t>
  </si>
  <si>
    <t>W84807E5-DF7A-D920-E051-117F010077FD</t>
  </si>
  <si>
    <t>W84807E5-DF7A-D920-E051-117F010078FD</t>
  </si>
  <si>
    <t>W84807E5-DF7B-D920-E050-007F010077FD</t>
  </si>
  <si>
    <t>W84807E5-DF7C-D920-E050-007F010077FD</t>
  </si>
  <si>
    <t>W84807E5-DF7C-D920-E050-107F010077FD</t>
  </si>
  <si>
    <t>W84807E5-DF7D-D920-E050-007F010077FD</t>
  </si>
  <si>
    <t>W84807E5-DF7D-D920-E050-007F011277FD</t>
  </si>
  <si>
    <t>W84807E5-DF7E-D920-E050-007F010077FD</t>
  </si>
  <si>
    <t>W84807E5-DF7E-D920-E050-007F010A77FD</t>
  </si>
  <si>
    <t>W84807E5-DF7E-D920-E050-107F010A77FD</t>
  </si>
  <si>
    <t>W84807E5-DF7F-D920-E036-007F010077FD</t>
  </si>
  <si>
    <t>W84807E5-DF7F-D920-E050-007F010077FD</t>
  </si>
  <si>
    <t>W84807E5-DF7F-D920-E050-007FC10077FD</t>
  </si>
  <si>
    <t>W84807E5-DF7F-D920-E050-107FC10077FD</t>
  </si>
  <si>
    <t>W84807E5-DF7H-D920-E036-007F010077FD</t>
  </si>
  <si>
    <t>W84807E5-DF80-D920-E050-007F010077FD</t>
  </si>
  <si>
    <t>W84807E5-DF80-D920-E050-107F010077FD</t>
  </si>
  <si>
    <t>W84807E5-DF80-D920-E050-207F010077FD</t>
  </si>
  <si>
    <t>W84807E5-DF81-D920-E050-007F010077FD</t>
  </si>
  <si>
    <t>W84807E5-DF82-D920-E050-007F010077FD</t>
  </si>
  <si>
    <t>W84807E5-DF82-D920-E050-007FD10077FD</t>
  </si>
  <si>
    <t>W84807E5-DF82-D920-E050-107F010077FD</t>
  </si>
  <si>
    <t>W84807E5-DF82-D920-E050-107FD10077FD</t>
  </si>
  <si>
    <t>W84807E5-DF82-D920-E050-207FD10077FD</t>
  </si>
  <si>
    <t>W84807E5-DF82-D920-E050-307FD10077FD</t>
  </si>
  <si>
    <t>W84807E5-DF83-D920-E050-007F010077FD</t>
  </si>
  <si>
    <t>W84807E5-DF83-D920-E050-A07F010077FD</t>
  </si>
  <si>
    <t>W84807E5-DF84-D920-E050-007F010077FD</t>
  </si>
  <si>
    <t>W84807E5-DF84-D920-E050-007FD10077FD</t>
  </si>
  <si>
    <t>W84807E5-DF84-D920-E050-107FD10077FD</t>
  </si>
  <si>
    <t>W84807E5-DF85-D920-E050-007F010077FD</t>
  </si>
  <si>
    <t>W84807E5-DF85-D920-EE52-007F010077FD</t>
  </si>
  <si>
    <t>W84807E5-DF86-D920-E050-007F010077FD</t>
  </si>
  <si>
    <t>W84807E5-DF86-D920-E050-007FA10077FD</t>
  </si>
  <si>
    <t>W84807E5-DF87-D920-EE51-007F010077FD</t>
  </si>
  <si>
    <t>W84807E5-DF87-D920-EE51-107F010077FD</t>
  </si>
  <si>
    <t>W84807E5-DF88-D920-E050-007F010077FD</t>
  </si>
  <si>
    <t>W84807E5-DF88-D920-E050-007F010877FD</t>
  </si>
  <si>
    <t>W84807E5-DF88-D920-E050-107F010877FD</t>
  </si>
  <si>
    <t>W84807E5-DF88-D920-E050-207F010877FD</t>
  </si>
  <si>
    <t>W84807E5-DF89-D920-E050-007F010077FD</t>
  </si>
  <si>
    <t>W84807E5-DF89-D920-E050-107F010077FD</t>
  </si>
  <si>
    <t>W84807E5-DF89-D920-E050-207F010077FD</t>
  </si>
  <si>
    <t>W84807E5-DF89-D920-E050-307F010077FD</t>
  </si>
  <si>
    <t>W84807E5-DF89-D920-E050-407F010077FD</t>
  </si>
  <si>
    <t>W84807E5-DF8A-D920-E050-007F010077FD</t>
  </si>
  <si>
    <t>W84807E5-DF8A-D920-E050-107F010077FD</t>
  </si>
  <si>
    <t>W84807E5-DF8B-D920-E050-007F010077FD</t>
  </si>
  <si>
    <t>W84807E5-DF8C-D920-E050-007F010077FD</t>
  </si>
  <si>
    <t>W84807E5-DF8D-D920-E050-007F010077FD</t>
  </si>
  <si>
    <t>W84807E5-DF8E-D920-E050-007F010077FD</t>
  </si>
  <si>
    <t>W84807E5-DF8F-D920-E050-007F010077FD</t>
  </si>
  <si>
    <t>W84807E5-DF90-D920-E050-007F010077FD</t>
  </si>
  <si>
    <t>W84807E5-DF91-D920-E050-007F010077FD</t>
  </si>
  <si>
    <t>W84807E5-DF93-D920-E050-007F010077FD</t>
  </si>
  <si>
    <t>W84807E5-DF93-D920-E050-007F030077FD</t>
  </si>
  <si>
    <t>W84807E5-DF93-D920-E050-107F010077FD</t>
  </si>
  <si>
    <t>W84807E5-DF93-D920-E050-107F030077FD</t>
  </si>
  <si>
    <t>W84807E5-DF94-D920-E050-007F010077FD</t>
  </si>
  <si>
    <t>W84807E5-DF95-D920-E050-007F010077FD</t>
  </si>
  <si>
    <t>W84807E5-DF95-D920-E050-007F710077FD</t>
  </si>
  <si>
    <t>W84807E5-DF95-D920-E050-107F010077FD</t>
  </si>
  <si>
    <t>W84807E5-DF95-D920-E050-107F710077FD</t>
  </si>
  <si>
    <t>W84807E5-DF96-D920-E050-007F010077FD</t>
  </si>
  <si>
    <t>W84807E5-DF97-D920-E050-007F010077FD</t>
  </si>
  <si>
    <t>W84807E5-DF97-D920-E050-007F910077FD</t>
  </si>
  <si>
    <t>W84807E5-DF97-D920-E050-107F010077FD</t>
  </si>
  <si>
    <t>W84807E5-DF97-D920-E050-107F910077FD</t>
  </si>
  <si>
    <t>W84807E5-DF98-D920-E050-007F010077FD</t>
  </si>
  <si>
    <t>W84807E5-DF99-D920-E050-007F010077FD</t>
  </si>
  <si>
    <t>W84807E5-DF99-D920-E050-007FX10077FD</t>
  </si>
  <si>
    <t>W84807E5-DF99-D920-E050-107F010077FD</t>
  </si>
  <si>
    <t>W84807E5-DF99-D920-E050-107FX10077FD</t>
  </si>
  <si>
    <t>W84807E5-DF9A-D920-E050-007F010077FD</t>
  </si>
  <si>
    <t>W84807E5-DF9B-D920-E050-007F010077FD</t>
  </si>
  <si>
    <t>W84807E5-DF9B-D920-E050-107F010077FD</t>
  </si>
  <si>
    <t>W84807E5-DF9B-D922-E050-007F010077FD</t>
  </si>
  <si>
    <t>W84807E5-DF9B-D922-E050-107F010077FD</t>
  </si>
  <si>
    <t>W84807E5-DF9C-D920-E050-007F010077FD</t>
  </si>
  <si>
    <t>W84807E5-DF9D-D920-E050-007F010077FD</t>
  </si>
  <si>
    <t>W84807E5-DF9D-D920-E050-107F010077FD</t>
  </si>
  <si>
    <t>W84807E5-DF9E-D920-E050-007F010077FD</t>
  </si>
  <si>
    <t>W84807E5-DF9F-D920-E050-007F010077FD</t>
  </si>
  <si>
    <t>W84807E5-DFA0-D920-E050-007F010077FD</t>
  </si>
  <si>
    <t>W84807E5-DFA1-D920-E050-007F010077FD</t>
  </si>
  <si>
    <t>W84807E5-DFA2-D920-E050-007F010077FD</t>
  </si>
  <si>
    <t>W84807E5-DFA3-D920-E050-007F010077FD</t>
  </si>
  <si>
    <t>W84807E5-DFA3-D920-E050-107F010077FD</t>
  </si>
  <si>
    <t>W84807E5-DFA4-D920-E050-007F010077FD</t>
  </si>
  <si>
    <t>W84807E5-DFA5-D920-E050-007F010077FD</t>
  </si>
  <si>
    <t>W84807E5-DFA5-D920-E050-107F010077FD</t>
  </si>
  <si>
    <t>W84807E5-DFA6-D920-E050-007F010077FD</t>
  </si>
  <si>
    <t>W84807E5-DFA7-D920-E050-007F010077FD</t>
  </si>
  <si>
    <t>W84807E5-DFA8-D920-E050-007F010077FD</t>
  </si>
  <si>
    <t>W84807E5-DFA9-D920-E050-007F010077FD</t>
  </si>
  <si>
    <t>W84807E5-DFAA-D920-E050-007F010077FD</t>
  </si>
  <si>
    <t>W84807E5-DFAA-D920-E050-107F010077FD</t>
  </si>
  <si>
    <t>W84807E5-DFAB-D920-E050-007F010077FD</t>
  </si>
  <si>
    <t>W84807E5-DFAC-D920-E050-007F010077FD</t>
  </si>
  <si>
    <t>W84807E5-DFAD-D920-E050-007F010077FD</t>
  </si>
  <si>
    <t>W84807E5-DFAE-D920-E050-007F010077FD</t>
  </si>
  <si>
    <t>W84807E5-DFAF-D920-E050-007F010077FD</t>
  </si>
  <si>
    <t>W84807E5-DFB0-D920-E050-007F010077FD</t>
  </si>
  <si>
    <t>W84807E5-DFB1-D920-E050-007F010077FD</t>
  </si>
  <si>
    <t>W84807E5-DFB2-D920-E050-007F010077FD</t>
  </si>
  <si>
    <t>W84807E5-DFB3-D920-E050-007F010077FD</t>
  </si>
  <si>
    <t>W84807E5-DFB4-D920-E050-007F010077FD</t>
  </si>
  <si>
    <t>W84807E5-DFB5-D920-E050-007F010077FD</t>
  </si>
  <si>
    <t>W84807E5-DFB6-D920-E050-007F010077FD</t>
  </si>
  <si>
    <t>W84807E5-DFB7-D920-E050-007F010077FD</t>
  </si>
  <si>
    <t>W84807E5-DFB8-D920-E050-007F010077FD</t>
  </si>
  <si>
    <t>W84807E5-DFB8-D920-E050-007F010077FE</t>
  </si>
  <si>
    <t>W84807E5-EF00-D001-E050-007F010077FD</t>
  </si>
  <si>
    <t>W84807E5-EF00-D002-E050-007F010077FD</t>
  </si>
  <si>
    <t>W84807E5-EF00-D003-E050-007F010077FD</t>
  </si>
  <si>
    <t>W84807E5-EF00-D004-E050-007F010077FD</t>
  </si>
  <si>
    <t>W84807E5-EF00-D005-E050-007F010077FD</t>
  </si>
  <si>
    <t>W84807E5-EF00-D006-E050-007F010077FD</t>
  </si>
  <si>
    <t>W84807E5-EF00-D007-E050-007F010077FD</t>
  </si>
  <si>
    <t>W84807E5-EF00-D008-E050-007F010077FD</t>
  </si>
  <si>
    <t>W84807E5-EF00-D009-E050-007F010077FD</t>
  </si>
  <si>
    <t>W84807E5-EF00-D011-E050-007F010077FD</t>
  </si>
  <si>
    <t>W84807E5-EF00-D012-E050-007F010077FD</t>
  </si>
  <si>
    <t>W84807E5-EF00-D013-E050-007F010077FD</t>
  </si>
  <si>
    <t>W84807E5-EF00-D015-E050-007F010077FD</t>
  </si>
  <si>
    <t>W84807E5-EF00-D017-E050-007F010077FD</t>
  </si>
  <si>
    <t>W84807E5-EF00-D018-E050-007F010077FD</t>
  </si>
  <si>
    <t>W84807E5-EF00-D019-E050-007F010077FD</t>
  </si>
  <si>
    <t>W84807E5-EF00-D020-E050-007F010077FD</t>
  </si>
  <si>
    <t>W84807E5-EF00-D021-E050-007F010077FD</t>
  </si>
  <si>
    <t>W84807E5-EF00-D022-E050-007F010077FD</t>
  </si>
  <si>
    <t>W84807E5-EF00-D023-E050-007F010077FD</t>
  </si>
  <si>
    <t>W84807E5-EF00-D024-E050-007F010077FD</t>
  </si>
  <si>
    <t>W84807E5-EF00-D025-E050-007F010077FD</t>
  </si>
  <si>
    <t>W84807E5-EF00-D027-E050-007F010077FD</t>
  </si>
  <si>
    <t>W84807E5-EF00-D028-E050-007F010077FD</t>
  </si>
  <si>
    <t>W84807E5-EF00-D029-E050-007F010077FD</t>
  </si>
  <si>
    <t>W84807E5-EF00-D031-E050-007F010077FD</t>
  </si>
  <si>
    <t>W84807E5-EF00-D032-E050-007F010077FD</t>
  </si>
  <si>
    <t>W84807E5-EF00-D034-E050-007F010077FD</t>
  </si>
  <si>
    <t>W84807E5-EF00-D035-E050-007F010077FD</t>
  </si>
  <si>
    <t>W84807E5-EF00-D036-E050-007F010077FD</t>
  </si>
  <si>
    <t>W84807E5-EF00-D037-E050-007F010077FD</t>
  </si>
  <si>
    <t>W84807E5-EF00-D038-E050-007F010077FD</t>
  </si>
  <si>
    <t>W84807E5-EF00-D039-E050-007F010077FD</t>
  </si>
  <si>
    <t>W84807E5-EF00-D047-E050-007F010077FD</t>
  </si>
  <si>
    <t>W84807E5-EF00-D048-E050-007F010077FD</t>
  </si>
  <si>
    <t>W84807E5-EF00-D049-E050-007F010077FD</t>
  </si>
  <si>
    <t>W84807E5-EF00-D050-E050-007F010077FD</t>
  </si>
  <si>
    <t>W84807E5-EF00-D051-E050-007F010077FD</t>
  </si>
  <si>
    <t>W84807E5-EF00-D052-E050-007F010077FD</t>
  </si>
  <si>
    <t>W84807E5-EF00-D053-E050-007F010077FD</t>
  </si>
  <si>
    <t>W84807E5-EF00-D054-E050-007F010077FD</t>
  </si>
  <si>
    <t>W84807E5-EF00-D055-E050-007F010077FD</t>
  </si>
  <si>
    <t>W84807E5-EF00-D056-E050-007F010077FD</t>
  </si>
  <si>
    <t>W84807E5-EF00-D057-E050-007F010077FD</t>
  </si>
  <si>
    <t>W84807E5-EF00-D058-E050-007F010077FD</t>
  </si>
  <si>
    <t>W84807E5-EF00-D059-E050-007F010077FD</t>
  </si>
  <si>
    <t>W84807E5-EF00-D060-E050-007F010077FD</t>
  </si>
  <si>
    <t>W84807E5-EF00-D061-E050-007F010077FD</t>
  </si>
  <si>
    <t>W84807E5-EF00-D062-E050-007F010077FD</t>
  </si>
  <si>
    <t>W84807E5-EF00-D063-E050-007F010077FD</t>
  </si>
  <si>
    <t>W84807E5-EF00-D064-E050-007F010077FD</t>
  </si>
  <si>
    <t>W84807E5-EF00-D065-E050-007F010077FD</t>
  </si>
  <si>
    <t>W84807E5-EF00-D066-E050-007F010077FD</t>
  </si>
  <si>
    <t>W84807E5-EF00-D067-E050-007F010077FD</t>
  </si>
  <si>
    <t>W84807E5-EF00-D068-E050-007F010077FD</t>
  </si>
  <si>
    <t>W84807E5-EF00-D069-E050-007F010077FD</t>
  </si>
  <si>
    <t>W84807E5-EF00-D070-E050-007F010077FD</t>
  </si>
  <si>
    <t>W84807E5-EF00-D071-E050-007F010077FD</t>
  </si>
  <si>
    <t>W84807E5-EF00-D072-E050-007F010077FD</t>
  </si>
  <si>
    <t>W84807E5-EF00-D073-E050-007F010077FD</t>
  </si>
  <si>
    <t>W84807E5-EF00-D074-E050-007F010077FD</t>
  </si>
  <si>
    <t>W84807E5-EF00-D075-E050-007F010077FD</t>
  </si>
  <si>
    <t>W84807E5-EF00-D076-E050-007F010077FD</t>
  </si>
  <si>
    <t>W84807E5-EF00-D077-E050-007F010077FD</t>
  </si>
  <si>
    <t>W84807E5-EF00-D078-E050-007F010077FD</t>
  </si>
  <si>
    <t>W84807E5-EF00-D079-E050-007F010077FD</t>
  </si>
  <si>
    <t>W84807E5-EF00-D080-E050-007F010077FD</t>
  </si>
  <si>
    <t>W84807E5-EF00-D081-E050-007F010077FD</t>
  </si>
  <si>
    <t>W84807E5-EF00-D082-E050-007F010077FD</t>
  </si>
  <si>
    <t>W84807E5-EF00-D083-E050-007F010077FD</t>
  </si>
  <si>
    <t>W84807E5-EF00-D084-E050-007F010077FD</t>
  </si>
  <si>
    <t>W84807E5-EF00-D086-E050-007F010077FD</t>
  </si>
  <si>
    <t>W84807E5-EF00-D087-E050-007F010077FD</t>
  </si>
  <si>
    <t>W84807E5-EF00-D088-E050-007F010077FD</t>
  </si>
  <si>
    <t>W84807E5-EF00-D089-E050-007F010077FD</t>
  </si>
  <si>
    <t>W84807E5-EF00-D090-E050-007F010077FD</t>
  </si>
  <si>
    <t>W84807E5-EF00-D091-E050-007F010077FD</t>
  </si>
  <si>
    <t>W84807E5-EF00-D092-E050-007F010077FD</t>
  </si>
  <si>
    <t>W84807E5-EF00-D093-E050-007F010077FD</t>
  </si>
  <si>
    <t>W84807E5-EF00-D094-E050-007F010077FD</t>
  </si>
  <si>
    <t>W84807E5-EF00-D095-E050-007F010077FD</t>
  </si>
  <si>
    <t>W84807E5-EF00-D096-E050-007F010077FD</t>
  </si>
  <si>
    <t>W84807E5-EF00-D097-E050-007F010077FD</t>
  </si>
  <si>
    <t>W84807E5-EF00-D098-E050-007F010077FD</t>
  </si>
  <si>
    <t>W84807E5-EF00-D099-E050-007F010077FD</t>
  </si>
  <si>
    <t>W84807E5-EF00-D100-E050-007F010077FD</t>
  </si>
  <si>
    <t>W84807E5-EF00-D101-E050-007F010077FD</t>
  </si>
  <si>
    <t>W84807E5-EF00-D102-E050-007F010077FD</t>
  </si>
  <si>
    <t>W84807E5-EF00-D103-E050-007F010077FD</t>
  </si>
  <si>
    <t>W84807E5-EF00-D104-E050-007F010077FD</t>
  </si>
  <si>
    <t>W84807E5-EF00-D105-E050-007F010077FD</t>
  </si>
  <si>
    <t>W84807E5-EF00-D106-E050-007F010077FD</t>
  </si>
  <si>
    <t>W84807E5-EF00-D107-E050-007F010077FD</t>
  </si>
  <si>
    <t>W84807E5-EF00-D108-E050-007F010077FD</t>
  </si>
  <si>
    <t>W84807E5-EF00-D109-E050-007F010077FD</t>
  </si>
  <si>
    <t>W84807E5-EF00-D110-E050-007F010077FD</t>
  </si>
  <si>
    <t>W84807E5-EF00-D111-E050-007F010077FD</t>
  </si>
  <si>
    <t>W84807E5-EF00-D112-E050-007F010077FD</t>
  </si>
  <si>
    <t>W84807E5-EF00-D113-E050-007F010077FD</t>
  </si>
  <si>
    <t>W84807E5-EF00-D114-E050-007F010077FD</t>
  </si>
  <si>
    <t>W84807E5-EF00-D115-E050-007F010077FD</t>
  </si>
  <si>
    <t>W84807E5-EF00-D116-E050-007F010077FD</t>
  </si>
  <si>
    <t>W84807E5-EF00-D117-E050-007F010077FD</t>
  </si>
  <si>
    <t>W84807E5-EF00-D118-E050-007F010077FD</t>
  </si>
  <si>
    <t>W84807E5-EF00-D119-E050-007F010077FD</t>
  </si>
  <si>
    <t>W84807E5-EF00-D120-E050-007F010077FD</t>
  </si>
  <si>
    <t>W84807E5-EF00-D122-E050-007F010077FD</t>
  </si>
  <si>
    <t>W84807E5-EF00-D123-E050-007F010077FD</t>
  </si>
  <si>
    <t>W84807E5-EF00-D124-E050-007F010077FD</t>
  </si>
  <si>
    <t>W84807E5-EF00-D125-E050-007F010077FD</t>
  </si>
  <si>
    <t>W84807E5-EF00-D150-E050-007F010077FD</t>
  </si>
  <si>
    <t>W84807E5-EF00-D151-E050-007F010077FD</t>
  </si>
  <si>
    <t>W84807E5-EF00-D153-E050-007F010077FD</t>
  </si>
  <si>
    <t>W84807E5-EF00-D156-E050-007F010077FD</t>
  </si>
  <si>
    <t>W84807E5-EF00-D157-E050-007F010077FD</t>
  </si>
  <si>
    <t>W84807E5-EF00-D158-E050-007F010077FD</t>
  </si>
  <si>
    <t>W84807E5-EF00-D159-E050-007F010077FD</t>
  </si>
  <si>
    <t>W84807E5-EF00-D161-E050-007F010077FD</t>
  </si>
  <si>
    <t>W84807E5-EF00-D162-E050-007F010077FD</t>
  </si>
  <si>
    <t>W84807E5-EF00-D163-E050-007F010077FD</t>
  </si>
  <si>
    <t>W84807E5-EF00-D164-E050-007F010077FD</t>
  </si>
  <si>
    <t>W84807E5-EF00-D165-E050-007F010077FD</t>
  </si>
  <si>
    <t>W84807E5-EF00-D166-E050-007F010077FD</t>
  </si>
  <si>
    <t>W84807E5-EF00-D168-E050-007F010077FD</t>
  </si>
  <si>
    <t>W84807E5-EF00-D171-E050-007F010077FD</t>
  </si>
  <si>
    <t>W84807E5-EF00-D173-E050-007F010077FD</t>
  </si>
  <si>
    <t>W84807E5-EF00-D174-E050-007F010077FD</t>
  </si>
  <si>
    <t>W84807E5-EF13-D920-E050-007F010077FD</t>
  </si>
  <si>
    <t>W84807E5-EF21-D920-E050-007F010077FD</t>
  </si>
  <si>
    <t>W84807E5-EF22-D920-E050-007F010077FD</t>
  </si>
  <si>
    <t>W84807E5-EF23-D920-E050-007F010077FD</t>
  </si>
  <si>
    <t>W84807E5-EF24-D920-E050-007F010077FD</t>
  </si>
  <si>
    <t>W84807E5-EF25-D920-E050-007F010077FD</t>
  </si>
  <si>
    <t>W84807E5-EF26-D920-E050-007F010077FD</t>
  </si>
  <si>
    <t>W84807E5-EF27-D920-E050-007F010077FD</t>
  </si>
  <si>
    <t>W84807E5-EF35-D920-E050-007F010077FD</t>
  </si>
  <si>
    <t>W84807E5-EF36-D920-E050-007F010077FD</t>
  </si>
  <si>
    <t>W84807E5-EF37-D920-E050-007F010077FD</t>
  </si>
  <si>
    <t>W84807E5-EF45-D920-E050-007F010077FD</t>
  </si>
  <si>
    <t>W84807E5-EF46-D920-E050-007F010077FD</t>
  </si>
  <si>
    <t>W84807E5-EF47-D920-E050-007F010077FD</t>
  </si>
  <si>
    <t>W84807E5-EF55-D920-E050-007F010077FD</t>
  </si>
  <si>
    <t>W84807E5-EF56-D920-E050-007F010077FD</t>
  </si>
  <si>
    <t>W84807E5-EF66-D920-E050-007F010077FD</t>
  </si>
  <si>
    <t>W84807E5-EF74-D920-E050-007F010077FD</t>
  </si>
  <si>
    <t>W84807E5-EF75-D920-E050-007F010077FD</t>
  </si>
  <si>
    <t>W84807E5-EF76-D920-E050-007F010077FD</t>
  </si>
  <si>
    <t>W84807E5-EF77-D920-E050-007F010077FD</t>
  </si>
  <si>
    <t>W84807E5-EF78-D920-E050-007F010077FD</t>
  </si>
  <si>
    <t>W84807E5-EF79-D920-E050-007F010077FD</t>
  </si>
  <si>
    <t>W84807E5-EF80-D920-E050-007F010077FD</t>
  </si>
  <si>
    <t>W84807E5-EF81-D920-E050-007F010077FD</t>
  </si>
  <si>
    <t>W84807E5-EF82-D920-E050-007F010077FD</t>
  </si>
  <si>
    <t>W84807E5-EF83-D920-E050-007F010077FD</t>
  </si>
  <si>
    <t>W84807E5-EF84-D920-E050-007F010077FD</t>
  </si>
  <si>
    <t>W84807E5-EF85-D920-E050-007F010077FD</t>
  </si>
  <si>
    <t>W84807E5-EF86-D920-E050-007F010077FD</t>
  </si>
  <si>
    <t>W84807E5-EF87-D920-E050-007F010077FD</t>
  </si>
  <si>
    <t>W84807E5-EF88-D920-E050-007F010077FD</t>
  </si>
  <si>
    <t>W84807E5-EF89-D920-E050-007F010077FD</t>
  </si>
  <si>
    <t>W84807E5-EF90-D920-E050-007F010077FD</t>
  </si>
  <si>
    <t>W84807E5-EF91-D920-E050-007F010077FD</t>
  </si>
  <si>
    <t>W84807E5-EF92-D920-E050-007F010077FD</t>
  </si>
  <si>
    <t>W84807E5-EF94-D920-E050-007F010077FD</t>
  </si>
  <si>
    <t>W84807E5-EF95-D920-E050-007F010077FD</t>
  </si>
  <si>
    <t>W84807E5-EF95-D920-E050-107F010077FD</t>
  </si>
  <si>
    <t>W84807E5-EF95-D921-E050-007F010077FD</t>
  </si>
  <si>
    <t>W84807E5-EF96-D920-E050-007F010077FD</t>
  </si>
  <si>
    <t>W84807E5-EF98-D920-E050-007F010077FD</t>
  </si>
  <si>
    <t>W84817E5-DF81-D920-E050-007F010077FD</t>
  </si>
  <si>
    <t>W84827E5-DF35-D920-E050-007F010077FD</t>
  </si>
  <si>
    <t>W84827E5-DF35-D920-E050-007F010077FE</t>
  </si>
  <si>
    <t>W84827E5-DF35-D920-E050-007F010077FF</t>
  </si>
  <si>
    <t>W84827E5-DF35-D920-E050-007F010077FG</t>
  </si>
  <si>
    <t>W84827E5-DF35-D920-E050-007F010077FH</t>
  </si>
  <si>
    <t>W84827E5-DF35-D920-E050-007F010077FJ</t>
  </si>
  <si>
    <t>W84827E5-DF35-D920-E050-007F010077FK</t>
  </si>
  <si>
    <t>W84827E5-DF35-D920-E050-007F010077FL</t>
  </si>
  <si>
    <t>W84827E5-DF35-D920-E050-007F010077FM</t>
  </si>
  <si>
    <t>W84827E5-DF35-D920-E050-007F010077FO</t>
  </si>
  <si>
    <t>W84827E5-DF35-D920-E050-007F010077FP</t>
  </si>
  <si>
    <t>W84827E5-DF35-D920-E050-007F010077FQ</t>
  </si>
  <si>
    <t>W84827E5-DF35-D920-E050-007F010077FR</t>
  </si>
  <si>
    <t>W84827E5-DF35-D920-E050-007F010077FS</t>
  </si>
  <si>
    <t>W84827E5-DF35-D920-E050-007F010077FT</t>
  </si>
  <si>
    <t>W84827E5-DF35-D920-E050-007F010077FU</t>
  </si>
  <si>
    <t>W84827E5-DF35-D920-E050-007F010077FV</t>
  </si>
  <si>
    <t>W84827E5-DF35-D920-E050-007F010077FW</t>
  </si>
  <si>
    <t>W84827E5-DF35-D920-E050-007F010077FX</t>
  </si>
  <si>
    <t>W84827E5-DF35-D920-E050-007F010077FY</t>
  </si>
  <si>
    <t>W84827E5-DF35-D920-E050-007F010077FZ</t>
  </si>
  <si>
    <t>W84827E5-DF35-D920-E050-007F010077GG</t>
  </si>
  <si>
    <t>W84827E5-DF35-D920-E050-007F010077JA</t>
  </si>
  <si>
    <t>W84827E5-DF35-D920-E050-007F010077JB</t>
  </si>
  <si>
    <t>W84827E5-DF35-D920-E050-007F010077JC</t>
  </si>
  <si>
    <t>W84827E5-DF35-D920-E050-007F010077JD</t>
  </si>
  <si>
    <t>W84827E5-DF35-D920-E050-007F010077JE</t>
  </si>
  <si>
    <t>W84827E5-DF35-D920-E050-007F010077JF</t>
  </si>
  <si>
    <t>W84827E5-DF35-D920-E050-007F010077JG</t>
  </si>
  <si>
    <t>W84827E5-DF35-D920-E050-007F010077JH</t>
  </si>
  <si>
    <t>W84827E5-DF35-D920-E050-007F010077JI</t>
  </si>
  <si>
    <t>W84827E5-DF35-D920-E050-007F010077JJ</t>
  </si>
  <si>
    <t>W84827E5-DF35-D920-E050-007F010077JK</t>
  </si>
  <si>
    <t>W84827E5-DF35-D920-E050-007F010077JN</t>
  </si>
  <si>
    <t>W84827E5-DF35-D920-E050-007F010077JO</t>
  </si>
  <si>
    <t>W84827E5-DF35-D920-E050-007F010077JP</t>
  </si>
  <si>
    <t>W84827E5-DF35-D920-E050-007F010077JQ</t>
  </si>
  <si>
    <t>W84827E5-DF35-D920-E050-007F010077JR</t>
  </si>
  <si>
    <t>W84827E5-DF35-D920-E050-007F010077JS</t>
  </si>
  <si>
    <t>W84827E5-DF35-D920-E050-007F010077JU</t>
  </si>
  <si>
    <t>W84827E5-DF35-D920-E050-007F010077JV</t>
  </si>
  <si>
    <t>W84827E5-DF35-D920-E050-007F010077JW</t>
  </si>
  <si>
    <t>W84827E5-DF35-D920-E050-007F010077JY</t>
  </si>
  <si>
    <t>W84827E5-DF35-D920-E050-007F010077JZ</t>
  </si>
  <si>
    <t>W84827E5-DF35-D920-E050-007F010077KA</t>
  </si>
  <si>
    <t>W84827E5-DF35-D920-E050-007F010077KB</t>
  </si>
  <si>
    <t>W84827E5-DF35-D920-E050-007F010077KC</t>
  </si>
  <si>
    <t>W84827E5-DF35-D920-E050-007F010077KD</t>
  </si>
  <si>
    <t>W84827E5-DF35-D920-E050-007F010077KE</t>
  </si>
  <si>
    <t>W84827E5-DF35-D920-E050-007F010077KF</t>
  </si>
  <si>
    <t>W84827E5-DF35-D920-E050-007F010077KG</t>
  </si>
  <si>
    <t>W84827E5-DF35-D920-E050-007F010077KH</t>
  </si>
  <si>
    <t>W84827E5-DF35-D920-E050-007F010077KJ</t>
  </si>
  <si>
    <t>W85607E5-DF91-D920-E050-007F010077FD</t>
  </si>
  <si>
    <t>W85607E5-DF91-D920-E050-007F037077FD</t>
  </si>
  <si>
    <t>We294A49-6813-5A9E-E050-107F01006B23</t>
  </si>
  <si>
    <t>AMT</t>
  </si>
  <si>
    <t>存款金额必须为n(15,2)格式。</t>
  </si>
  <si>
    <t>存款金额必须大于等于0</t>
  </si>
  <si>
    <t>VDATE</t>
  </si>
  <si>
    <t>yyyy-MM-dd</t>
  </si>
  <si>
    <t>起息日必须为日期格式（YYYY-MM-DD）</t>
  </si>
  <si>
    <t>MDATE</t>
  </si>
  <si>
    <t>到期日要素必填且必须为日期格式（YYYY-MM-DD）。</t>
  </si>
  <si>
    <t>到期日必须大于等于起息日。</t>
  </si>
  <si>
    <t>ASSET_YIELD</t>
  </si>
  <si>
    <t>年利率%以百分数形式表示时必须为n(8,5)格式。</t>
  </si>
  <si>
    <t>年利率%必须大于等于0。</t>
  </si>
  <si>
    <t>BASIS</t>
  </si>
  <si>
    <t>计息基础要素不可为空。</t>
  </si>
  <si>
    <t>SVR_BASIS</t>
  </si>
  <si>
    <t>计息基础要素必须在值域范围内</t>
  </si>
  <si>
    <t>TARGET_TYPE</t>
  </si>
  <si>
    <t>结构性存款挂钩标的类别要素不可为空。</t>
  </si>
  <si>
    <t>结构性存款挂钩标的类别要素必须为空。</t>
  </si>
  <si>
    <t>TARGET</t>
  </si>
  <si>
    <t>结构性存款挂钩标的要素不可为空。</t>
  </si>
  <si>
    <t>结构性存款挂钩标的要素必须为空。</t>
  </si>
  <si>
    <t>BANK_NAME</t>
  </si>
  <si>
    <t>资金存入银行要素不可为空。</t>
  </si>
  <si>
    <t>资金存入银行要素必须为空。</t>
  </si>
  <si>
    <t>起息日必须为日期格式（YYYY-MM-DD）。</t>
  </si>
  <si>
    <t>计息基础要素不可为空，且必须在值域范围内</t>
  </si>
  <si>
    <t>RIVAL_PARTY</t>
  </si>
  <si>
    <t>对手方不可为空或超长（最大长200字节）</t>
  </si>
  <si>
    <t>TARGET_TYPE1</t>
  </si>
  <si>
    <t>回购标的类别要素必填。</t>
  </si>
  <si>
    <t>回购标的类别要素必须为空。</t>
  </si>
  <si>
    <t>SVR_TARGET_TYPE2</t>
  </si>
  <si>
    <t>回购标的类别不在值域范围内</t>
  </si>
  <si>
    <t>TARGET_AMT</t>
  </si>
  <si>
    <t>回购标的金额要素不可为空。</t>
  </si>
  <si>
    <t>回购标的金额要素必须为空。</t>
  </si>
  <si>
    <t>回购标的金额必须为n(15,2)格式。</t>
  </si>
  <si>
    <t>回购标的金额必须大于等于0。</t>
  </si>
  <si>
    <t>备注不能超过256字符</t>
  </si>
  <si>
    <t>COUNTRY_AREA</t>
  </si>
  <si>
    <t>所属国家或地区必填或不在值域范围内。</t>
  </si>
  <si>
    <t>ASSET_ID</t>
  </si>
  <si>
    <t>股票/基金代码要素不可为空。</t>
  </si>
  <si>
    <t>ASSET_NAME</t>
  </si>
  <si>
    <t>股票/基金名称不可为空且不能过长。</t>
  </si>
  <si>
    <t>ISSUE_PARTY_NAME</t>
  </si>
  <si>
    <t>发行机构不可为空</t>
  </si>
  <si>
    <t>INDUSTRY_SHARES2</t>
  </si>
  <si>
    <t>行业二级分类不可为空</t>
  </si>
  <si>
    <t>BONDTOSTOCK_FLAG</t>
  </si>
  <si>
    <t>SVR_YES_OR_NO</t>
  </si>
  <si>
    <t>是否投向“市场化债转股相关产品的部分”不在值域范围内。</t>
  </si>
  <si>
    <t>PPPFLAG</t>
  </si>
  <si>
    <t>公共PPP不在值域范围内。</t>
  </si>
  <si>
    <t>股票/基金代码过长</t>
  </si>
  <si>
    <t>发行机构过长</t>
  </si>
  <si>
    <t>INSTITUTION_INDUSTRY_SECOND_LEVEL</t>
  </si>
  <si>
    <t>行业不在值域范围内。</t>
  </si>
  <si>
    <t>DEPO_TYPE</t>
  </si>
  <si>
    <t>存款类型要素必填。</t>
  </si>
  <si>
    <t>存款类型要素必须为空。</t>
  </si>
  <si>
    <t>SVR_DEPO_TYPE</t>
  </si>
  <si>
    <t>存款类型要素必须在值域范围内。</t>
  </si>
  <si>
    <t>&lt;</t>
  </si>
  <si>
    <t>SVR_TARGET_TYPE</t>
  </si>
  <si>
    <t>结构性存款挂钩标的类别不在值域范围内并且结构性存款挂钩标的类别的多选选项不可重复。</t>
  </si>
  <si>
    <t>资金存入银行要素过长（最大长200字节）。</t>
  </si>
  <si>
    <t>TRADE_MARKET</t>
  </si>
  <si>
    <t>交易流通场所要素必填</t>
  </si>
  <si>
    <t>结构性存款挂钩标的要素过长（最大长256字节）。</t>
  </si>
  <si>
    <t>ASSET_CODE</t>
  </si>
  <si>
    <t>^[\u0020-\u0026-\u0028-\u007B-\u007D-\u007E-\u2000-\u2040-\u2160-\u216B-\u3000-\u301F-\uFF00-\uFF65-\uFFE0-\uFFEF]{0,}$</t>
  </si>
  <si>
    <t>行内资产/负债编码只能含有白名单内的阿拉伯数字，英文字母，半角符号，全角符号。</t>
  </si>
  <si>
    <t>资金存入银行必须填写白名单中的文字。</t>
  </si>
  <si>
    <t>结构性存款挂钩标的必须填写白名单中的文字。</t>
  </si>
  <si>
    <t>代码必须填写白名单中的文字。</t>
  </si>
  <si>
    <t>名称必须填写白名单中的文字。</t>
  </si>
  <si>
    <t>REGISTORG_COMMENT</t>
  </si>
  <si>
    <t>登记托管机构说明必须填写白名单中的文字。</t>
  </si>
  <si>
    <t>对手方必须填写白名单中的文字。</t>
  </si>
  <si>
    <t>REPAY_CMT</t>
  </si>
  <si>
    <t>还本付息情况说明必须填写白名单中的文字。</t>
  </si>
  <si>
    <t>FINANCIE</t>
  </si>
  <si>
    <t>融资人必须填写白名单中的文字。</t>
  </si>
  <si>
    <t>FCR_GRADE_IN</t>
  </si>
  <si>
    <t>融资人内部信用评级必须填写白名单中的文字。</t>
  </si>
  <si>
    <t>FCR_GRADE_OUT</t>
  </si>
  <si>
    <t>外部评级机构名称及对融资人评级结果必须填写白名单中的文字。</t>
  </si>
  <si>
    <t>FINANCE_PROJ</t>
  </si>
  <si>
    <t>融资项目必须填写白名单中的文字。</t>
  </si>
  <si>
    <t>CONDITION_CMM</t>
  </si>
  <si>
    <t>行权条件说明必须填写白名单中的文字。</t>
  </si>
  <si>
    <t>SEC_CREDIT_GRADE_TYPE</t>
  </si>
  <si>
    <t>债券信用评级必须填写白名单中的文字。</t>
  </si>
  <si>
    <t>GUA_TYPE_REMARK</t>
  </si>
  <si>
    <t>担保情况说明必须填写白名单中的文字。</t>
  </si>
  <si>
    <t>SPECIAL_CMT</t>
  </si>
  <si>
    <t>是否含权等特殊条款情况说明必须填写白名单中的文字。</t>
  </si>
  <si>
    <t>CONTRACT_NAME</t>
  </si>
  <si>
    <t>合约名称必须填写白名单中的文字。</t>
  </si>
  <si>
    <t>DER_INSTR_INV_TYPE</t>
  </si>
  <si>
    <t>衍生金融工具具体投资方式必须填写白名单中的文字。</t>
  </si>
  <si>
    <t>DER_INSTR_TARGET</t>
  </si>
  <si>
    <t>衍生金融工具挂钩标的资产必须填写白名单中的文字。</t>
  </si>
  <si>
    <t>ACCT_MODE</t>
  </si>
  <si>
    <t>利息结算方式必须填写白名单中的文字。</t>
  </si>
  <si>
    <t>SPECIAL_CMT1</t>
  </si>
  <si>
    <t>含权情况说明必须填写白名单中的文字。</t>
  </si>
  <si>
    <t>TRADE_FEE</t>
  </si>
  <si>
    <t>交易费必须填写白名单中的文字。</t>
  </si>
  <si>
    <t>PARTY_CODE</t>
  </si>
  <si>
    <t>资管计划发起人机构编码必须填写白名单中的文字。</t>
  </si>
  <si>
    <t>CHECK_CODE</t>
  </si>
  <si>
    <t>资管计划登记编码必须填写白名单中的文字。</t>
  </si>
  <si>
    <t>管理人必须填写白名单中的文字。</t>
  </si>
  <si>
    <t>TRUSTEE_ID</t>
  </si>
  <si>
    <t>托管人必须填写白名单中的文字。</t>
  </si>
  <si>
    <t>资金运用方式必须填写白名单中的文字。</t>
  </si>
  <si>
    <t>FUND_ENPE_NAME</t>
  </si>
  <si>
    <t>基金公司名称必须填写白名单中的文字。</t>
  </si>
  <si>
    <t>MNG_ORG_NAME</t>
  </si>
  <si>
    <t>基金管理机构名称必须填写白名单中的文字。</t>
  </si>
  <si>
    <t>TRU_ORG_NAME</t>
  </si>
  <si>
    <t>基金托管机构名称必须填写白名单中的文字。</t>
  </si>
  <si>
    <t>IN_ASSET_TYPE_CMM</t>
  </si>
  <si>
    <t>行内资产类别说明必须填写白名单中的文字。</t>
  </si>
  <si>
    <t>发行机构代码要素格式不对正确的格式：6位英文或数字。</t>
  </si>
  <si>
    <t>FUND_INVEST_ASSET</t>
  </si>
  <si>
    <t>INVEST_STAGE</t>
  </si>
  <si>
    <t>SVR_INVEST_STAGE</t>
  </si>
  <si>
    <t>投资阶段要素必须在值域范围内。</t>
  </si>
  <si>
    <t>股票/企业名称必须填写白名单中的文字。</t>
  </si>
  <si>
    <t>债券名称必须填写白名单中的文字。</t>
  </si>
  <si>
    <t>股票/基金名称必须填写白名单中的文字。</t>
  </si>
  <si>
    <t>基金名称必须填写白名单中的文字。</t>
  </si>
  <si>
    <t>委外投资协议名称必须填写白名单中的文字。</t>
  </si>
  <si>
    <t>MON_TYPE_COMM</t>
  </si>
  <si>
    <t>重点监控行业和领域类别说明必须填写白名单中的文字。</t>
  </si>
  <si>
    <t>IN_GRADE</t>
  </si>
  <si>
    <t>资产内部评级必须填写白名单中的文字。</t>
  </si>
  <si>
    <t>CHOSE</t>
  </si>
  <si>
    <t>选择权必须填写白名单中的文字。</t>
  </si>
  <si>
    <t>发行机构必须填写白名单中的文字。</t>
  </si>
  <si>
    <t>PARTY_GRADE</t>
  </si>
  <si>
    <t>发行机构主体信用评级必须填写白名单中的文字。</t>
  </si>
  <si>
    <t>资管计划名称必须填写白名单中的文字。</t>
  </si>
  <si>
    <t>ASSET_TYPE2</t>
  </si>
  <si>
    <t>SVR_ASSET_TYPE_SECOND_LEVEL</t>
  </si>
  <si>
    <t>资产/负债二级类别要素必须在值域范围内</t>
  </si>
  <si>
    <t>SVR_TRADE_MARKET</t>
  </si>
  <si>
    <t>交易流通场所不在值域范围内</t>
  </si>
  <si>
    <t>债券代码要素不可为空且不能过长。</t>
  </si>
  <si>
    <t>债券名称不可为空且不能过长。</t>
  </si>
  <si>
    <t>INDUSTRY_LEVEL2</t>
  </si>
  <si>
    <t>发行机构所属行业要素不可为空，且必须在值域范围内</t>
  </si>
  <si>
    <t>TERM_MONTH</t>
  </si>
  <si>
    <t>期限（月）不可为空且为n..5格式</t>
  </si>
  <si>
    <t>期限（月）必须大于等于0</t>
  </si>
  <si>
    <t>发行机构主体信用评级不可为空且不能过长</t>
  </si>
  <si>
    <t>债券信用评级要素不可为空且不能过长。</t>
  </si>
  <si>
    <t>票面利率%以百分数形式表示时必须为n(8,5)格式。</t>
  </si>
  <si>
    <t>票面利率%必须大于等于0。</t>
  </si>
  <si>
    <t>INTPAY_CYCLE</t>
  </si>
  <si>
    <t>2,0</t>
  </si>
  <si>
    <t>付息频率（个月/次）必须为n..2格式。</t>
  </si>
  <si>
    <t>付息频率（个月/次）必须大于等于0。</t>
  </si>
  <si>
    <t>担保情况说明过长。</t>
  </si>
  <si>
    <t>是否含权等特殊条款情况说明不可为空且不能过长。</t>
  </si>
  <si>
    <t>合约名称必填且不可过长</t>
  </si>
  <si>
    <t>INCOME_RATIO</t>
  </si>
  <si>
    <t>固定收益部分所占比例以百分数形式表示时必须为n(8,5)格式。</t>
  </si>
  <si>
    <t>固定收益部分所占比例必须大于等于0。</t>
  </si>
  <si>
    <t>&lt;=</t>
  </si>
  <si>
    <t>固定收益部分所占比例必须小于等于100。</t>
  </si>
  <si>
    <t>DER_INSTR_RATIO</t>
  </si>
  <si>
    <t>衍生金融工具所占比例以百分数形式表示时必须为n(8,5)格式。</t>
  </si>
  <si>
    <t>衍生金融工具所占比例必须大于等于0。</t>
  </si>
  <si>
    <t>衍生金融工具所占比例必须小于等于100。</t>
  </si>
  <si>
    <t>衍生金融工具具体投资方式过长。</t>
  </si>
  <si>
    <t>衍生金融工具挂钩标的资产过长。</t>
  </si>
  <si>
    <t>利息结算方式过长。</t>
  </si>
  <si>
    <t>含权情况说明过长。</t>
  </si>
  <si>
    <t>MAX_YIELD</t>
  </si>
  <si>
    <t>结构化票据最高收益率以百分数形式表示时必须为n(8,5)格式。</t>
  </si>
  <si>
    <t>结构化票据最高收益率必须大于等于0。</t>
  </si>
  <si>
    <t>comparePropertyAsNumber</t>
  </si>
  <si>
    <t>MIN_YIELD</t>
  </si>
  <si>
    <t>结构化票据最高收益率必须大于等于结构化票据最低收益率。</t>
  </si>
  <si>
    <t>结构化票据最低收益率以百分数形式表示时必须为n(8,5)格式。</t>
  </si>
  <si>
    <t>BASIC_PRICE</t>
  </si>
  <si>
    <t>挂钩标的资产基准价格必须为n(15,2)格式。</t>
  </si>
  <si>
    <t>挂钩标的资产基准价格不为空时，必须大于等于0。</t>
  </si>
  <si>
    <t>REG_DATE_PRICE</t>
  </si>
  <si>
    <t>挂钩标的资产登记日价格必须为n(15,2)格式。</t>
  </si>
  <si>
    <t>挂钩标的资产登记日价格必须大于等于0。</t>
  </si>
  <si>
    <t>交易费不可为空且不可过长</t>
  </si>
  <si>
    <t>名称不可为空且不能过长。</t>
  </si>
  <si>
    <t>NOM_CAPI</t>
  </si>
  <si>
    <t>名义本金不可为空且为(15,2)格式</t>
  </si>
  <si>
    <t>名义本金必须大于等于0。</t>
  </si>
  <si>
    <t>TARGET_TYPE3</t>
  </si>
  <si>
    <t>ASSET_VALUE</t>
  </si>
  <si>
    <t>资产价值不可为空且为(15,2)格式</t>
  </si>
  <si>
    <t>资产价值必须大于等于0</t>
  </si>
  <si>
    <t>资产收益率%以百分数形式表示时必须为n(8,5)格式。</t>
  </si>
  <si>
    <t>TERM_DATE</t>
  </si>
  <si>
    <t>期限（天）必须为n..5格式。</t>
  </si>
  <si>
    <t>期限（天）必须大于等于0。</t>
  </si>
  <si>
    <t>DEBT_SCALE</t>
  </si>
  <si>
    <t>负债规模不可为空且为(15,2)格式。</t>
  </si>
  <si>
    <t>负债规模必须大于等于0。</t>
  </si>
  <si>
    <t>利率%以百分数形式表示时必须为n(8,5)格式。</t>
  </si>
  <si>
    <t>利率%必须大于等于0。</t>
  </si>
  <si>
    <t>基金代码要素不可为空</t>
  </si>
  <si>
    <t>基金名称不可为空且不能过长。</t>
  </si>
  <si>
    <t>REGIST_ORG1</t>
  </si>
  <si>
    <t>登记备案机构要素不可为空。</t>
  </si>
  <si>
    <t>IS_GOVERN_FUND</t>
  </si>
  <si>
    <t>是否属于政府投资基金要素必填。</t>
  </si>
  <si>
    <t>委外投资协议编号要素不可为空且不能过长。</t>
  </si>
  <si>
    <t>GOVERN_INVEST_FUND</t>
  </si>
  <si>
    <t>政府投资基金投向要素不可为空。</t>
  </si>
  <si>
    <t>基金管理机构名称不可为空且不能过长。</t>
  </si>
  <si>
    <t>基金托管机构名称不可为空且不能过长。</t>
  </si>
  <si>
    <t>基金投资资产要素不可为空</t>
  </si>
  <si>
    <t>投资阶段要素必填。</t>
  </si>
  <si>
    <t>固定收益部分所占比例要素不可为空</t>
  </si>
  <si>
    <t>标的类别要素不可为空。</t>
  </si>
  <si>
    <t>基金代码过长</t>
  </si>
  <si>
    <t>SVR_GOV_INVEST_DIRECT</t>
  </si>
  <si>
    <t>政府投资基金投向不在值域范围内。</t>
  </si>
  <si>
    <t>衍生金融工具所占比例要素不可为空</t>
  </si>
  <si>
    <t>衍生金融工具具体投资方式要素不可为空</t>
  </si>
  <si>
    <t>衍生金融工具挂钩标的资产要素不可为空</t>
  </si>
  <si>
    <t>利息结算方式要素不可为空</t>
  </si>
  <si>
    <t>含权情况说明要素不可为空</t>
  </si>
  <si>
    <t>结构化票据最高收益率要素不可为空</t>
  </si>
  <si>
    <t>挂钩标的资产登记日价格要素不可为空</t>
  </si>
  <si>
    <t>ISUI_BOND</t>
  </si>
  <si>
    <t>是否城投债（债券类资产）要素不在值域范围内。</t>
  </si>
  <si>
    <t>PRIVATE_FLAG</t>
  </si>
  <si>
    <t>投向地方政府融资平台要素不在值域范围内。</t>
  </si>
  <si>
    <t>INSTIT_SIZE</t>
  </si>
  <si>
    <t>SVR_INSTIT_SIZE</t>
  </si>
  <si>
    <t>人行机构规模要素不在值域范围内。</t>
  </si>
  <si>
    <t>人行机构规模要素不能为空</t>
  </si>
  <si>
    <t>还本付息情况说明要素必须为空。</t>
  </si>
  <si>
    <t>SHARES_TYPE1</t>
  </si>
  <si>
    <t>投资企业类型（按规模划分）要素不可为空。</t>
  </si>
  <si>
    <t>SVR_PARTY_TYPE1</t>
  </si>
  <si>
    <t>投资企业类型（按规模划分）不在值域范围内。</t>
  </si>
  <si>
    <t>SHARES_TYPE2</t>
  </si>
  <si>
    <t>投资企业类型（按经济类型划分）要素不可为空。</t>
  </si>
  <si>
    <t>SVR_PARTY_TYPE2</t>
  </si>
  <si>
    <t>投资企业类型（按经济类型划分）不在值域范围内。</t>
  </si>
  <si>
    <t>SHARES_TYPE3</t>
  </si>
  <si>
    <t>投资企业类型（按技术领域划分）要素不可为空。</t>
  </si>
  <si>
    <t>行业要素不可为空</t>
  </si>
  <si>
    <t>SVR_REGIST_ORG2</t>
  </si>
  <si>
    <t>登记备案机构不在值域范围内。</t>
  </si>
  <si>
    <t>是否属于政府投资基金不在值域范围内。</t>
  </si>
  <si>
    <t>基金投资资产过长</t>
  </si>
  <si>
    <t>IN_ASSET_TYPE</t>
  </si>
  <si>
    <t>SVR_BANK_IN_ASSET_TYPE</t>
  </si>
  <si>
    <t>行内资产类别不在值域范围内</t>
  </si>
  <si>
    <t>行内资产类别说明要素不可为空。</t>
  </si>
  <si>
    <t>金额必须为n(15,2)格式。</t>
  </si>
  <si>
    <t>金额必须大于等于0</t>
  </si>
  <si>
    <t>RATE_FLAG</t>
  </si>
  <si>
    <t>是否有预期收益率不可为空</t>
  </si>
  <si>
    <t>项目收益率（利率）%以百分数形式表示时必须为n（8,5）格式。</t>
  </si>
  <si>
    <t>项目收益率（利率）%要素必须为空。</t>
  </si>
  <si>
    <t>融资人要素不可为空，且长度不超过200</t>
  </si>
  <si>
    <t>FIN_ORG_CODE</t>
  </si>
  <si>
    <t>融资人组织机构代码不可为空。</t>
  </si>
  <si>
    <t>外部评级机构名称及对融资人评级结果过长</t>
  </si>
  <si>
    <t>FINANCIER_TYPE1</t>
  </si>
  <si>
    <t>融资人类型（按规模划分）要素不可为空,且必须在值域范围内。</t>
  </si>
  <si>
    <t>FINANCIER_TYPE2</t>
  </si>
  <si>
    <t>SVR_PARTY_TYPE3</t>
  </si>
  <si>
    <t>融资人类型（按技术领域划分）要素不可为空，且必须在值域范围内。</t>
  </si>
  <si>
    <t>FINANCIER_TYPE3</t>
  </si>
  <si>
    <t>融资人类型（按经济类型划分）要素不可为空，且必须在值域范围内。</t>
  </si>
  <si>
    <t>融资项目要素不可为空且不可过长</t>
  </si>
  <si>
    <t>INDUSTRY_LEVEL2_TYPE</t>
  </si>
  <si>
    <t>融资人所属行业（其他）要素不可为空</t>
  </si>
  <si>
    <t>PRO_INDUSTRY_LEVEL2</t>
  </si>
  <si>
    <t>融资项目所属行业要素不可为空。</t>
  </si>
  <si>
    <t>INDUSTRY_FLAG</t>
  </si>
  <si>
    <t>项目是否属于重点监控行业和领域要素不可为空，且必须在值域范围内。</t>
  </si>
  <si>
    <t>MONIT_TYPE</t>
  </si>
  <si>
    <t>重点监控行业和领域类别要素不可为空。</t>
  </si>
  <si>
    <t>重点监控行业和领域类别要素必须为空。</t>
  </si>
  <si>
    <t>重点监控行业和领域类别说明要素不可为空。</t>
  </si>
  <si>
    <t>OUT_GRADE</t>
  </si>
  <si>
    <t>SVR_MAIN_GRADE</t>
  </si>
  <si>
    <t>资产外部评级要素不可为空，且必须在值域范围内</t>
  </si>
  <si>
    <t>行内资产类别说明过长</t>
  </si>
  <si>
    <t>投资企业类型（按技术领域划分）不在值域范围内。</t>
  </si>
  <si>
    <t>行内资产类别不可为空</t>
  </si>
  <si>
    <t>融资人所属行业（其他）不在值域范围内</t>
  </si>
  <si>
    <t>融资项目所属行业不在值域范围内。</t>
  </si>
  <si>
    <t>SVR_MOINT_TYPE</t>
  </si>
  <si>
    <t>重点监控行业和领域类别不在值域范围内。</t>
  </si>
  <si>
    <t>重点监控行业和领域类别说明过长。</t>
  </si>
  <si>
    <t>重点监控行业和领域类别说明要素必须为空。</t>
  </si>
  <si>
    <t>^[A-Z0-9]{18}$|^[A-Z0-9]{9}$</t>
  </si>
  <si>
    <t>融资人组织机构代码不合格(应为9或18位大写字母或数字组合，如无则填写“000000000”)。</t>
  </si>
  <si>
    <t>选择权必填，如无则填写“无”。</t>
  </si>
  <si>
    <t>选择权过长</t>
  </si>
  <si>
    <t>行内资产/负债编码过长</t>
  </si>
  <si>
    <t>ASSET_TYPE</t>
  </si>
  <si>
    <t>SVR_ASSETDEBT_TYPE</t>
  </si>
  <si>
    <t>资产/负债类别不在值域范围内</t>
  </si>
  <si>
    <t>CCY</t>
  </si>
  <si>
    <t>币种要素不可为空</t>
  </si>
  <si>
    <t>资产/负债二级类别要素不能为空</t>
  </si>
  <si>
    <t>币种不在值域范围内</t>
  </si>
  <si>
    <t>代码过长（最大15字节）。</t>
  </si>
  <si>
    <t>inArray</t>
  </si>
  <si>
    <t>CHB_SECTYPE</t>
  </si>
  <si>
    <t>01,02,03,04,05,06,07,08,09,10,99</t>
  </si>
  <si>
    <t>具体类别要素不可为空且必须选择01-10或 99中的一项</t>
  </si>
  <si>
    <t>11,12,99</t>
  </si>
  <si>
    <t>具体类别要素不可为空且必须选择11、12、99中的一项</t>
  </si>
  <si>
    <t>13,14,15,99</t>
  </si>
  <si>
    <t>具体类别要素不可为空且必须选择13-15、99中的一项</t>
  </si>
  <si>
    <t>16,17,18,19,20,21,99</t>
  </si>
  <si>
    <t>具体类别要素不可为空且必须选择16-21、99中的一项</t>
  </si>
  <si>
    <t>22,23,24,99</t>
  </si>
  <si>
    <t>具体类别要素不可为空且必须选择22-24、99中的一项</t>
  </si>
  <si>
    <t>25,26,27,28,99</t>
  </si>
  <si>
    <t>具体类别要素不可为空且必须选择25-28、99中的一项</t>
  </si>
  <si>
    <t>ISSUE_MODE</t>
  </si>
  <si>
    <t>SVR_ISSUE_MODE_FUND</t>
  </si>
  <si>
    <t>发行方式不可为空，且必须在值域范围内</t>
  </si>
  <si>
    <t>SEC_MAIN_GRADE</t>
  </si>
  <si>
    <t>主体评级不可为空，且必须在值域范围内</t>
  </si>
  <si>
    <t>PARTY_TYPE1</t>
  </si>
  <si>
    <t>发行机构类型（按规模划分）要素不可为空，且必须在值域范围内</t>
  </si>
  <si>
    <t>PARTY_TYPE2</t>
  </si>
  <si>
    <t>发行机构类型（按经济类型划分）要素不可为空，且必须在值域范围内</t>
  </si>
  <si>
    <t>PARTY_TYPE3</t>
  </si>
  <si>
    <t>发行机构类型（按技术领域划分）要素不可为空，且必须在值域范围内</t>
  </si>
  <si>
    <t>REGIST_ORG</t>
  </si>
  <si>
    <t>登记托管机构要素不可为空，且必须在值域范围内</t>
  </si>
  <si>
    <t>登记托管机构说明要素不可为空且不可过长</t>
  </si>
  <si>
    <t>登记托管机构说明要素必须为空</t>
  </si>
  <si>
    <t>金额格式必须为n(15,2)格式。</t>
  </si>
  <si>
    <t>金额要素不可为空。</t>
  </si>
  <si>
    <t>SVR_PROFIT_TYPE</t>
  </si>
  <si>
    <t>收/受益权类型要素不可为空，且必须在值域范围内</t>
  </si>
  <si>
    <t>收/受益权类型要素必须为空</t>
  </si>
  <si>
    <t>IS_RESALE</t>
  </si>
  <si>
    <t>是否属于买入返售要素不可为空，且必须在值域范围内。</t>
  </si>
  <si>
    <t>项目收益率%以百分数形式表示时必须为n（8,5）格式。</t>
  </si>
  <si>
    <t>项目收益率%要素必须为空。</t>
  </si>
  <si>
    <t>还本付息情况说明要素不可为空且不可超过200</t>
  </si>
  <si>
    <t>BASIS_TYPE</t>
  </si>
  <si>
    <t>SVR_BASIS_TYPE</t>
  </si>
  <si>
    <t>基准利率种类不在值域范围内</t>
  </si>
  <si>
    <t>FLOAT_FACTOR</t>
  </si>
  <si>
    <t>浮动因子（%）以百分数形式表示时必须为n(8,5)格式</t>
  </si>
  <si>
    <t>SPREAD_RATE</t>
  </si>
  <si>
    <t>融资人内部信用评级不可为空，且长度不可过长</t>
  </si>
  <si>
    <t>融资人所属行业（新增可投资资产以及非标准化债权类资产）要素不可为空</t>
  </si>
  <si>
    <t>融资人所属行业（新增可投资资产以及非标准化债权类资产）不在值域范围内</t>
  </si>
  <si>
    <t>重点监控行业和领域类别要素必须为空</t>
  </si>
  <si>
    <t>GUA_TYPE</t>
  </si>
  <si>
    <t>SVR_GUA_TYPE</t>
  </si>
  <si>
    <t>担保方式不在值域范围内</t>
  </si>
  <si>
    <t>担保方式（其他）要素必须为空</t>
  </si>
  <si>
    <t>担保情况说明要素不可为空</t>
  </si>
  <si>
    <t>担保情况说明要素必须为空</t>
  </si>
  <si>
    <t>FINANCIER_GRADE</t>
  </si>
  <si>
    <t>融资人主体评级不在值域范围内。</t>
  </si>
  <si>
    <t>融资人主体评级要素不能为空。</t>
  </si>
  <si>
    <t>资产内部评级要素不可为空</t>
  </si>
  <si>
    <t>资产内部评级过长</t>
  </si>
  <si>
    <t>FIN_AREA</t>
  </si>
  <si>
    <t>ADMINISTRATIVE_TYPE2</t>
  </si>
  <si>
    <t>融资人所属地区不可为空且在值域范围内</t>
  </si>
  <si>
    <t>行权条件说明要素不可为空且不可过长</t>
  </si>
  <si>
    <t>TOTAL_FEE_RATE</t>
  </si>
  <si>
    <t>融资总费率%要素不可为空且必须是(8,5)格式</t>
  </si>
  <si>
    <t>融资总费率%必须大于等于0</t>
  </si>
  <si>
    <t>融资总费率计算公式需要在备注中说明</t>
  </si>
  <si>
    <t>股票代码要素不可为空且不能过长。</t>
  </si>
  <si>
    <t>股票代码要素不能过长。</t>
  </si>
  <si>
    <t>股票/企业名称要素不可为空且不能过长。</t>
  </si>
  <si>
    <t>委外投资协议名称不可为空且不能过长。</t>
  </si>
  <si>
    <t>TRUSTEE</t>
  </si>
  <si>
    <t>受托人不可为空</t>
  </si>
  <si>
    <t>受托人过长</t>
  </si>
  <si>
    <t>SHARES_TYPE</t>
  </si>
  <si>
    <t>股票类型要素不可为空</t>
  </si>
  <si>
    <t>SVR_SHARES_TYPE</t>
  </si>
  <si>
    <t>股票类型不在值域范围内</t>
  </si>
  <si>
    <t>投资阶段要素不可为空。</t>
  </si>
  <si>
    <t>企业类型（按规模划分）要素不可为空。</t>
  </si>
  <si>
    <t>企业类型（按规模划分）不在值域范围内。</t>
  </si>
  <si>
    <t>企业类型（按技术领域划分）要素不可为空。</t>
  </si>
  <si>
    <t>企业类型（按技术领域划分）不在值域范围内。</t>
  </si>
  <si>
    <t>企业类型（按经济类型划分）要素不可为空。</t>
  </si>
  <si>
    <t>企业类型（按经济类型划分）不在值域范围内。</t>
  </si>
  <si>
    <t>IS_PLEDGE</t>
  </si>
  <si>
    <t>是否为质押融资要素不可为空</t>
  </si>
  <si>
    <t>是否为质押融资不在值域范围内</t>
  </si>
  <si>
    <t>资管计划名称要素不可为空。</t>
  </si>
  <si>
    <t>资管计划发起人机构编码要素不可为空。</t>
  </si>
  <si>
    <t>资管计划发起人机构编码过长</t>
  </si>
  <si>
    <t>资管计划登记编码要素不可超长。</t>
  </si>
  <si>
    <t>资管计划名称要素不可超长。</t>
  </si>
  <si>
    <t>管理人要素不可为空</t>
  </si>
  <si>
    <t>实际管理人要素不可为空</t>
  </si>
  <si>
    <t>管理人过长</t>
  </si>
  <si>
    <t>金额要素不可为空</t>
  </si>
  <si>
    <t>托管人要素不可为空</t>
  </si>
  <si>
    <t>托管人过长</t>
  </si>
  <si>
    <t>合计金额必须大于等于0</t>
  </si>
  <si>
    <t>TRU_ACT_TYPE</t>
  </si>
  <si>
    <t>SVR_TRU_ACT_TYPE</t>
  </si>
  <si>
    <t>资金实际投向不在值域范围内</t>
  </si>
  <si>
    <t>资金实际投向要素不可为空</t>
  </si>
  <si>
    <t>20,21,22,23</t>
  </si>
  <si>
    <t>资金实际投向01至19选项为历史数据，不得修改或新增</t>
  </si>
  <si>
    <t>资金运用方式要素不可为空</t>
  </si>
  <si>
    <t>资金运用方式过长</t>
  </si>
  <si>
    <t>CAP_USE_INDU_LEVEL2</t>
  </si>
  <si>
    <t>资金运用行业要素不可为空</t>
  </si>
  <si>
    <t>资金运用行业不在值域范围内</t>
  </si>
  <si>
    <t>PLAN_SDATE</t>
  </si>
  <si>
    <t>资管计划成立日期要素不可为空且必须为日期格式（YYYY-MM-DD）。</t>
  </si>
  <si>
    <t>投资运作起始日期要素不可为空且必须为日期格式（YYYY-MM-DD）。</t>
  </si>
  <si>
    <t>PLAN_EDATE</t>
  </si>
  <si>
    <t>资管计划终止日期要素不可为空且必须为日期格式（YYYY-MM-DD）。</t>
  </si>
  <si>
    <t>投资运作终止日期要素不可为空且必须为日期格式（YYYY-MM-DD）。</t>
  </si>
  <si>
    <t>资管计划终止日期必须大于资管计划成立日期</t>
  </si>
  <si>
    <t>投资运作终止日期必须大于等于投资运作起始日期</t>
  </si>
  <si>
    <t>PRO_PROPERTY</t>
  </si>
  <si>
    <t>资管计划属性要素不可为空</t>
  </si>
  <si>
    <t>委外投资属性要素不可为空</t>
  </si>
  <si>
    <t>SVR_PRO_PROPERTY</t>
  </si>
  <si>
    <t>委外投资属性不在值域范围内</t>
  </si>
  <si>
    <t>资管计划属性不在值域范围内</t>
  </si>
  <si>
    <t>是否有预期收益率不在值域范围内</t>
  </si>
  <si>
    <t>MAX_RATE</t>
  </si>
  <si>
    <t>预期最高收益率%要素不可为空</t>
  </si>
  <si>
    <t>预期最高收益率%以百分数形式表示时必须为n（8,5）格式</t>
  </si>
  <si>
    <t>预期最高收益率%必须大于等于0</t>
  </si>
  <si>
    <t>预期最高收益率%要素必须为空</t>
  </si>
  <si>
    <t>MIN_RATE</t>
  </si>
  <si>
    <t>预期最低收益率%以百分数形式表示时必须为n(8,5)格式</t>
  </si>
  <si>
    <t>预期最低收益率必须小于等于预期最高收益率</t>
  </si>
  <si>
    <t>预期最低收益率%要素必须为空</t>
  </si>
  <si>
    <t>BUY_STRUCT</t>
  </si>
  <si>
    <t>SVR_BUY_STRUCT</t>
  </si>
  <si>
    <t>购买结构要素不在值域范围内。</t>
  </si>
  <si>
    <t>MANAGE_TYPE</t>
  </si>
  <si>
    <t>SVR_MANAGE_STYLE</t>
  </si>
  <si>
    <t>管理方式要素不在值域范围内。</t>
  </si>
  <si>
    <t>MGR_FEE_RATE</t>
  </si>
  <si>
    <t>管理费率%以百分数形式表示时必须为n（8,5）格式</t>
  </si>
  <si>
    <t>管理费率%要素不可为空</t>
  </si>
  <si>
    <t>管理费率%必须大于等于0。</t>
  </si>
  <si>
    <t>托管费率%以百分数形式表示时必须为n（8,5）格式</t>
  </si>
  <si>
    <t>托管费率%要素不可为空</t>
  </si>
  <si>
    <t>TRADE_FEE_RATE</t>
  </si>
  <si>
    <t>交易相关合计费率%以百分数形式表示时必须为n（8,5）格式</t>
  </si>
  <si>
    <t>交易相关合计费率%要素不可为空</t>
  </si>
  <si>
    <t>交易相关合计费率%必须大于等于0</t>
  </si>
  <si>
    <t>AGENCY_FEE_RATE</t>
  </si>
  <si>
    <t>中介服务机构合计费率%以百分数形式表示时必须为n（8,5）格式</t>
  </si>
  <si>
    <t>中介服务机构合计费率%要素不可为空</t>
  </si>
  <si>
    <t>中介服务机构合计费率%必须大于等于0。</t>
  </si>
  <si>
    <t>OTHER_FEE_RATE</t>
  </si>
  <si>
    <t>其他合计费率%以百分数形式表示时必须为n（8,5）格式</t>
  </si>
  <si>
    <t>其他合计费率%要素不可为空</t>
  </si>
  <si>
    <t>其他合计费率%必须大于等于0。</t>
  </si>
  <si>
    <t>管理费率计算公式需要在备注中说明。</t>
  </si>
  <si>
    <t>托管费率计算公式需要在备注中说明。</t>
  </si>
  <si>
    <t>交易相关合计费率计算公式需要在备注中说明</t>
  </si>
  <si>
    <t>中介服务机构合计费率计算公式需要在备注中说明。</t>
  </si>
  <si>
    <t>其他合计费率计算公式需要在备注中说明。</t>
  </si>
  <si>
    <t>IS_RIGHT</t>
  </si>
  <si>
    <t>是否为收/受益权要素不可为空。</t>
  </si>
  <si>
    <t>是否为收/受益权不在值域范围内。</t>
  </si>
  <si>
    <t>NOTSTAND_SEC_TYPE</t>
  </si>
  <si>
    <t>类型要素不可为空。</t>
  </si>
  <si>
    <t>SVR_ASSET_TYPE_BILL_LETTERCREDIT</t>
  </si>
  <si>
    <t>类型不在值域范围内。</t>
  </si>
  <si>
    <t>类型只能填写信用证。</t>
  </si>
  <si>
    <t>类型不能填写信用证。</t>
  </si>
  <si>
    <t>NOTSTAND_SEC_NUM</t>
  </si>
  <si>
    <t>数量要素不可为空且为n..6格式</t>
  </si>
  <si>
    <t>数量必须大于等于0</t>
  </si>
  <si>
    <t>合计金额要素不可为空</t>
  </si>
  <si>
    <t>合计金额必须为n（15,2）格式</t>
  </si>
  <si>
    <t>REMAIN_TERM</t>
  </si>
  <si>
    <t>7,2</t>
  </si>
  <si>
    <t>加权剩余期限（天）要素不可为空且为(7,2)格式</t>
  </si>
  <si>
    <t>加权剩余期限（天）必须大于等于0</t>
  </si>
  <si>
    <t>MAX_REMAIN_TERM</t>
  </si>
  <si>
    <t>加权剩余期限（天）≤最长剩余期限（天）</t>
  </si>
  <si>
    <t>MIN_REMAIN_TERM</t>
  </si>
  <si>
    <t>最短剩余期限（天）要素不可为空且为n..5格式</t>
  </si>
  <si>
    <t>最长剩余期限（天）要素不可为空且为n..5格式</t>
  </si>
  <si>
    <t>最短剩余期限（天）必须大于等于0</t>
  </si>
  <si>
    <t>最长剩余期限（天）必须大于等于0</t>
  </si>
  <si>
    <t>到期日必须大于等于起息日（非标准化债权类投资）</t>
  </si>
  <si>
    <t>贴现利率（%）要素不可为空且为(8,5)格式</t>
  </si>
  <si>
    <t>DISCOUNT_YIELD</t>
  </si>
  <si>
    <t>贴现利率（%）要素不可为空</t>
  </si>
  <si>
    <t>PLEDGE_TYPE</t>
  </si>
  <si>
    <t>SVR_PLEDGE_TYPE</t>
  </si>
  <si>
    <t>抵质押物类型要素不在值域范围内。</t>
  </si>
  <si>
    <t>PLEDGE_VALUE</t>
  </si>
  <si>
    <t>抵质押物价值（元）要素不可为空。</t>
  </si>
  <si>
    <t>抵质押物价值（元）要素必须为空。</t>
  </si>
  <si>
    <t>抵质押物价值（元）要素必须为n(15,2)格式。</t>
  </si>
  <si>
    <t>NATURE_GUARANTEE</t>
  </si>
  <si>
    <t>担保性质要素不可为空。</t>
  </si>
  <si>
    <t>担保性质要素必须为空。</t>
  </si>
  <si>
    <t>SVR_NATURE_GUARANTEE</t>
  </si>
  <si>
    <t>担保性质要素不在值域范围内。</t>
  </si>
  <si>
    <t>RELATION_FINAN</t>
  </si>
  <si>
    <t>担保人与融资人关系要素不可为空。</t>
  </si>
  <si>
    <t>担保人与融资人关系要素必须为空。</t>
  </si>
  <si>
    <t>SVR_RELATION_FINAN</t>
  </si>
  <si>
    <t>担保人与融资人关系要素不在值域范围内。</t>
  </si>
  <si>
    <t>CONTAIN_TYPE</t>
  </si>
  <si>
    <t>含权类型要素必须为空。</t>
  </si>
  <si>
    <t>SVR_CONTAIN_TYPE</t>
  </si>
  <si>
    <t>含权类型要素不在值域范围内。</t>
  </si>
  <si>
    <t>EXERCISE_TYPE</t>
  </si>
  <si>
    <t>行权方式要素不可为空。</t>
  </si>
  <si>
    <t>行权方式要素必须为空。</t>
  </si>
  <si>
    <t>SVR_EXERCISE_TYPE</t>
  </si>
  <si>
    <t>行权方式要素不在值域范围内。</t>
  </si>
  <si>
    <t>EXERCISE_DATE</t>
  </si>
  <si>
    <t>固定行权日要素不可为空。</t>
  </si>
  <si>
    <t>固定行权日要素必须为空。</t>
  </si>
  <si>
    <t>FIRST_EXERCISE_DATE</t>
  </si>
  <si>
    <t>首次行权日期要素不可为空。</t>
  </si>
  <si>
    <t>首次行权日期要素必须为空。</t>
  </si>
  <si>
    <t>EXERCISE_PERIOD</t>
  </si>
  <si>
    <t>行权周期要素不可为空。</t>
  </si>
  <si>
    <t>行权周期要素必须为空。</t>
  </si>
  <si>
    <t>行权周期要素必须为n(5)格式。</t>
  </si>
  <si>
    <t>行权周期要素必须大于等于0。</t>
  </si>
  <si>
    <t>EXERCISE_PRICE</t>
  </si>
  <si>
    <t>行权价格要素不可为空。</t>
  </si>
  <si>
    <t>17,4</t>
  </si>
  <si>
    <t>行权价格要素必须为n(17,4)格式。</t>
  </si>
  <si>
    <t>PERPETUAL_CLAUSE_TYPE</t>
  </si>
  <si>
    <t>永续条款类型要素不可为空。</t>
  </si>
  <si>
    <t>永续条款类型要素必须为空。</t>
  </si>
  <si>
    <t>SVR_PERPETUAL_CLAUSE_TYPE</t>
  </si>
  <si>
    <t>永续条款类型要素不在值域范围内。</t>
  </si>
  <si>
    <t>DEFERRED_INTEREST_TYPE</t>
  </si>
  <si>
    <t>利息递延条款类型要素不可为空。</t>
  </si>
  <si>
    <t>利息递延条款类型要素必须为空。</t>
  </si>
  <si>
    <t>SVR_DEFERRED_INTEREST_TYPE</t>
  </si>
  <si>
    <t>利息递延条款类型要素不在值域范围内。</t>
  </si>
  <si>
    <t>DEFERRED_INTEREST_INT</t>
  </si>
  <si>
    <t>递延利息是否计息要素不可为空。</t>
  </si>
  <si>
    <t>递延利息是否计息要素必须为空。</t>
  </si>
  <si>
    <t>递延利息是否计息要素不在值域范围内。</t>
  </si>
  <si>
    <t>FIRST_REPRCE_DATE</t>
  </si>
  <si>
    <t>首次重定价日期要素不可为空。</t>
  </si>
  <si>
    <t>首次重定价日期要素必须为空。</t>
  </si>
  <si>
    <t>首次重定价日期要素必须为日期格式（YYYY-MM-DD）。</t>
  </si>
  <si>
    <t>REPRCE_CYCLE</t>
  </si>
  <si>
    <t>重定价周期要素不可为空。</t>
  </si>
  <si>
    <t>重定价周期要素必须为空。</t>
  </si>
  <si>
    <t>重定价周期要素必须为n(5)格式。</t>
  </si>
  <si>
    <t>重定价周期要素必须大于0。</t>
  </si>
  <si>
    <t>PART_REDEM_FLAG</t>
  </si>
  <si>
    <t>部分赎回标识要素不可为空。</t>
  </si>
  <si>
    <t>部分赎回标识要素必须为空。</t>
  </si>
  <si>
    <t>部分赎回标识要素不在值域范围内。</t>
  </si>
  <si>
    <t>PART_REDEM_RATE</t>
  </si>
  <si>
    <t>部分赎回比例%要素必须为空。</t>
  </si>
  <si>
    <t>部分赎回比例%要素必须为n(8,5)格式。</t>
  </si>
  <si>
    <t>部分赎回比例%要素必须大于等于0。</t>
  </si>
  <si>
    <t>CREDIT_ORG_CODE</t>
  </si>
  <si>
    <t>增信机构代码要素不可为空。</t>
  </si>
  <si>
    <t>增信机构代码要素必须为空。</t>
  </si>
  <si>
    <t>(([0-9A-Z]{9})|([0-9A-Z]{18})|([\u65e0]))</t>
  </si>
  <si>
    <t>增信机构代码要素格式不对。正确的格式：9或18位大写字母或数字（社会信用代码，如果没有则填写无）。</t>
  </si>
  <si>
    <t>CREDIT_ORG_NAME</t>
  </si>
  <si>
    <t>增信机构名称要素不可为空。</t>
  </si>
  <si>
    <t>增信机构名称要素必须为空。</t>
  </si>
  <si>
    <t>增信机构名称要素过长，最大长c..200。如果没有则填写无</t>
  </si>
  <si>
    <t>增信机构名称要素必须填写白名单中的文字。</t>
  </si>
  <si>
    <t>EQUITY_QUIT</t>
  </si>
  <si>
    <t>股权退出安排要素不可为空。</t>
  </si>
  <si>
    <t>股权退出安排要素必须为空。</t>
  </si>
  <si>
    <t>股权退出安排必须为日期格式（YYYY-MM-DD）。</t>
  </si>
  <si>
    <t>DEPT_EQUITY</t>
  </si>
  <si>
    <t>是否为债转股要素不能为空。</t>
  </si>
  <si>
    <t>是否为债转股要素必须为空。</t>
  </si>
  <si>
    <t>是否为债转股要素不在值域范围内。</t>
  </si>
  <si>
    <t>HOLD_PURPOSE</t>
  </si>
  <si>
    <t>持有目的要素不可为空。</t>
  </si>
  <si>
    <t>SVR_HOLD_PURPOSE</t>
  </si>
  <si>
    <t>持有目的要素不在值域范围内。</t>
  </si>
  <si>
    <t>FINANCIAL_COMISSUE</t>
  </si>
  <si>
    <t>是否由金融资产投资公司发行要素不能为空。</t>
  </si>
  <si>
    <t>是否由金融资产投资公司发行要素必须为空。</t>
  </si>
  <si>
    <t>是否由金融资产投资公司发行要素不在值域范围内。</t>
  </si>
  <si>
    <t>抵质押物类型要素不可为空。</t>
  </si>
  <si>
    <t>抵质押物类型要素必须为空。</t>
  </si>
  <si>
    <t>BASIC_ASSET_TYPE</t>
  </si>
  <si>
    <t>基础资产类型过长。</t>
  </si>
  <si>
    <t>基础资产类型必须填写白名单中的文字。</t>
  </si>
  <si>
    <t>PRIN_BASEAMT</t>
  </si>
  <si>
    <t>份额面值要素不可为空。</t>
  </si>
  <si>
    <t>份额面值要素必须为空。</t>
  </si>
  <si>
    <t>份额面值必须为n(17,4)格式。</t>
  </si>
  <si>
    <t>份额面值必须大于等于0。</t>
  </si>
  <si>
    <t>FMDATE</t>
  </si>
  <si>
    <t>法定到期日要素必须为空。</t>
  </si>
  <si>
    <t>法定到期日必须为日期格式（YYYY-MM-DD）。</t>
  </si>
  <si>
    <t>COUPON_SPECIES</t>
  </si>
  <si>
    <t>计息类型要素不可为空。</t>
  </si>
  <si>
    <t>计息类型要素必须为空。</t>
  </si>
  <si>
    <t>SVR_COUPON_SPECIES</t>
  </si>
  <si>
    <t>计息类型要素不在值域范围内。</t>
  </si>
  <si>
    <t>INTEREST_RULE_FLAG</t>
  </si>
  <si>
    <t>规则付息标识要素不可为空。</t>
  </si>
  <si>
    <t>规则付息标识要素必须为空。</t>
  </si>
  <si>
    <t>规则付息标识要素不在值域范围内。</t>
  </si>
  <si>
    <t>INTPAY_RULE</t>
  </si>
  <si>
    <t>利息分布方式要素不可为空。</t>
  </si>
  <si>
    <t>利息分布方式要素必须为空。</t>
  </si>
  <si>
    <t>SVR_INTPAY_RULE</t>
  </si>
  <si>
    <t>利息分布方式要素不在值域范围内。</t>
  </si>
  <si>
    <t>FLOAT_FACTOR_FLAG</t>
  </si>
  <si>
    <t>是否有浮动因子要素不可为空。</t>
  </si>
  <si>
    <t>是否有浮动因子要素必须为空。</t>
  </si>
  <si>
    <t>是否有浮动因子要素不在值域范围内。</t>
  </si>
  <si>
    <t>浮动因子要素不可为空。</t>
  </si>
  <si>
    <t>浮动因子要素必须为空。</t>
  </si>
  <si>
    <t>STRUCT_GRADE</t>
  </si>
  <si>
    <t>结构档次要素必须为空。</t>
  </si>
  <si>
    <t>SVR_STRUCT_GRADE</t>
  </si>
  <si>
    <t>结构档次要素不在值域范围内。</t>
  </si>
  <si>
    <t>REPAYMENT_TYPE</t>
  </si>
  <si>
    <t>还本方式要素必须为空。</t>
  </si>
  <si>
    <t>SVR_REPAYMENT_TYPE</t>
  </si>
  <si>
    <t>还本方式要素不在值域范围内。</t>
  </si>
  <si>
    <t>PERIOD_REPAYMENT_FLAG</t>
  </si>
  <si>
    <t>分期还本条款标识要素不可为空。</t>
  </si>
  <si>
    <t>分期还本条款标识要素必须为空。</t>
  </si>
  <si>
    <t>SVR_PERIOD_REPAYMENT_FLAG</t>
  </si>
  <si>
    <t>分期还本条款标识要素不在值域范围内。</t>
  </si>
  <si>
    <t>基础资产类型要素必须为空。</t>
  </si>
  <si>
    <t>EXCESS_PROFIT_RATE</t>
  </si>
  <si>
    <t>超额收益分配比例%要素必须为空。</t>
  </si>
  <si>
    <t>超额收益分配比例%以百分数形式表示时必须为n(8,5)格式。</t>
  </si>
  <si>
    <t>超额收益分配比例必须大于等于0。</t>
  </si>
  <si>
    <t>代码要素不可以为空</t>
  </si>
  <si>
    <t>代码要素必须为空</t>
  </si>
  <si>
    <t>存款金额要素不可为空</t>
  </si>
  <si>
    <t>存款金额要素必须为空</t>
  </si>
  <si>
    <t>名称要素必须为空。</t>
  </si>
  <si>
    <t>行内资产/负债编码不可以为空</t>
  </si>
  <si>
    <t>起息日（现金及银行存款）不可以为空</t>
  </si>
  <si>
    <t>到期日（现金及银行存款）不可以为空</t>
  </si>
  <si>
    <t>起息日（拆放同业及买入返售/同业拆入及卖出回购）不可以为空</t>
  </si>
  <si>
    <t>到期日（拆放同业及买入返售/同业拆入及卖出回购）不可以为空</t>
  </si>
  <si>
    <t>起息日（新增可投资资产以及非标准化债权类资产）不可以为空</t>
  </si>
  <si>
    <t>到期日（新增可投资资产以及非标准化债权类资产）不可以为空</t>
  </si>
  <si>
    <t>起息日（非标准化债权类投资）不可以为空</t>
  </si>
  <si>
    <t>到期日（非标准化债权类投资）不可以为空</t>
  </si>
  <si>
    <t>起息日（QDII债券类资产）不可以为空</t>
  </si>
  <si>
    <t>到期日（QDII债券类资产）不可以为空</t>
  </si>
  <si>
    <t>起息日（QDII结构性票据）不可以为空</t>
  </si>
  <si>
    <t>到期日（QDII结构性票据）不可以为空</t>
  </si>
  <si>
    <t>起息日（另类资产）不可以为空</t>
  </si>
  <si>
    <t>到期日（另类资产）不可以为空</t>
  </si>
  <si>
    <t>贴现利率（%）必须大于等于0。</t>
  </si>
  <si>
    <t>起息日（其他）不可以为空</t>
  </si>
  <si>
    <t>到期日（其他）不可以为空</t>
  </si>
  <si>
    <t>起息日必须为空</t>
  </si>
  <si>
    <t>到期日必须为空</t>
  </si>
  <si>
    <t>起息日（QDII拆出/逆回购）不可以为空</t>
  </si>
  <si>
    <t>到期日（QDII拆出/逆回购）不可以为空</t>
  </si>
  <si>
    <t>年利率%不可以为空。</t>
  </si>
  <si>
    <t>项目收益率%不可以为空。</t>
  </si>
  <si>
    <t>贴现利率（%）不可以为空。</t>
  </si>
  <si>
    <t>票面利率%不可以为空。</t>
  </si>
  <si>
    <t>项目收益率（利率）%不可以为空。</t>
  </si>
  <si>
    <t>年利率必须为空。</t>
  </si>
  <si>
    <t>计息基础必须为空</t>
  </si>
  <si>
    <t>付息频率（个月/次）要素不可为空。</t>
  </si>
  <si>
    <t>付息频率必须为空</t>
  </si>
  <si>
    <t>具体类别不可以为空</t>
  </si>
  <si>
    <t>SVR_SEC_DETAIL_TYPE</t>
  </si>
  <si>
    <t>具体类别不在值域范围内。</t>
  </si>
  <si>
    <t>发行方式必须为空</t>
  </si>
  <si>
    <t>主体评级必须为空</t>
  </si>
  <si>
    <t>PART_TYPE1</t>
  </si>
  <si>
    <t>发行机构类型（按规模划分）必须为空</t>
  </si>
  <si>
    <t>PART_TYPE2</t>
  </si>
  <si>
    <t>发行机构类型（按技术领域划分）必须为空</t>
  </si>
  <si>
    <t>PART_TYPE3</t>
  </si>
  <si>
    <t>发行机构类型（按经济类型划分）必须为空</t>
  </si>
  <si>
    <t>发行机构所属行业必须为空</t>
  </si>
  <si>
    <t>登记托管机构必须为空</t>
  </si>
  <si>
    <t>登记托管机构说明必须为空</t>
  </si>
  <si>
    <t>对手方（拆放同业及买入返售/同业拆入及卖出回购）必须为空</t>
  </si>
  <si>
    <t>RIVAL_PARTY_TYPE</t>
  </si>
  <si>
    <t>SVR_RIVAL_PARTY_TYPE</t>
  </si>
  <si>
    <t>对手方类型不可为空，且必须在值域范围内</t>
  </si>
  <si>
    <t>管理方式要素不可以为空</t>
  </si>
  <si>
    <t>购买结构要素不可以为空</t>
  </si>
  <si>
    <t>最短剩余期限（天）≤加权剩余期限（天）</t>
  </si>
  <si>
    <t>受托人必须填写白名单中的文字。</t>
  </si>
  <si>
    <t>CHB_ASSET_INFO</t>
  </si>
  <si>
    <t>delete  CHB_DATACHECK_RULE where datatype='CHB_ASSET_INFO';</t>
    <phoneticPr fontId="4" type="noConversion"/>
  </si>
  <si>
    <t>delete from chb_datacheck_condition t where t.checkruleid in (select checkruleid from chb_datacheck_rule t where t.datatype = 'CHB_ASSET_INFO');</t>
    <phoneticPr fontId="4" type="noConversion"/>
  </si>
  <si>
    <t>W13E4A49-6810-5A9E-E050-007F01006A22</t>
  </si>
  <si>
    <t>W13E4A49-6810-5A9E-E050-007F01006A23</t>
  </si>
  <si>
    <t>W13E4A49-6810-5A9E-E050-007F01006A24</t>
  </si>
  <si>
    <t>W13E4A49-6810-5A9E-E050-007F01006A25</t>
  </si>
  <si>
    <t>W13E4A49-6810-5A9E-E050-007F01006A26</t>
  </si>
  <si>
    <t>W13E4A49-6810-5A9E-E050-007F01006A27</t>
  </si>
  <si>
    <t>W13E4A49-6810-5A9E-E050-007F01006A28</t>
  </si>
  <si>
    <t>W13E4A49-6810-5A9E-E050-007F01006A29</t>
  </si>
  <si>
    <t>W13E4A49-6810-5A9E-E050-007F01006A30</t>
  </si>
  <si>
    <t>W13E4A49-6810-5A9E-E050-007F01006A14</t>
  </si>
  <si>
    <t>W13E4A49-6810-5A9E-E050-007F01006A16</t>
  </si>
  <si>
    <t>W13E4A49-6810-5A9E-E050-007F01006A17</t>
  </si>
  <si>
    <t>W13E4A49-6810-5A9E-E050-007F01006A18</t>
  </si>
  <si>
    <t>W13E4A49-6810-5A9E-E050-007F01006A20</t>
  </si>
  <si>
    <t>W13E4A49-6810-5A9E-E050-007F01006A19</t>
  </si>
  <si>
    <t>W13E4A49-6810-5A9E-E050-007F01006A46</t>
  </si>
  <si>
    <t>W13E4A49-6810-5A9E-E050-007F01006A47</t>
  </si>
  <si>
    <t>W13E4A49-6810-5A9E-E050-007F01006A48</t>
  </si>
  <si>
    <t>W13E4A49-6810-5A9E-E050-007F01006A49</t>
  </si>
  <si>
    <t>W13E4A49-6810-5A9E-E050-007F01006A50</t>
  </si>
  <si>
    <t>W13E4A49-6810-5A9E-E050-007F01006A51</t>
  </si>
  <si>
    <t>W13E4A49-6810-5A9E-E050-007F01006A52</t>
  </si>
  <si>
    <t>W13E4A49-6810-5A9E-E050-007F01006A37</t>
  </si>
  <si>
    <t>W13E4A49-6810-5A9E-E050-007F01006A38</t>
  </si>
  <si>
    <t>W13E4A49-6810-5A9E-E050-007F01006A39</t>
  </si>
  <si>
    <t>W13E4A49-6810-5A9E-E050-007F01006A40</t>
  </si>
  <si>
    <t>W13E4A49-6810-5A9E-E050-007F01006A53</t>
  </si>
  <si>
    <t>W13E4A49-6810-5A9E-E050-007F01006A41</t>
  </si>
  <si>
    <t>W13E4A49-6810-5A9E-E050-007F01006A42</t>
  </si>
  <si>
    <t>W13E4A49-6810-5A9E-E050-007F01006A43</t>
  </si>
  <si>
    <t>W13E4A49-6810-5A9E-E050-007F01006A44</t>
  </si>
  <si>
    <t>W13E4A49-6810-5A9E-E050-007F01006A54</t>
  </si>
  <si>
    <t>W13E4A49-6810-5A9E-E050-007F01006A55</t>
  </si>
  <si>
    <t>W13E4A49-6810-5A9E-E050-007F01006A58</t>
  </si>
  <si>
    <t>W13E4A49-6810-5A9E-E050-007F01006A59</t>
  </si>
  <si>
    <t>W13E4A49-6810-5A9E-E050-007F01006A60</t>
  </si>
  <si>
    <t>W13E4A49-6810-5A9E-E050-007F01006A63</t>
  </si>
  <si>
    <t>W13E4A49-6810-5A9E-E050-007F01006A64</t>
  </si>
  <si>
    <t>W13E4A49-6810-5A9E-E050-007F01006A66</t>
  </si>
  <si>
    <t>W13E4A49-6810-5A9E-E050-007F01006A67</t>
  </si>
  <si>
    <t>W13E4A49-6810-5A9E-E050-007F01006A68</t>
  </si>
  <si>
    <t>W13E4A49-6810-5A9E-E050-007F01006A69</t>
  </si>
  <si>
    <t>W13E4A49-6810-5A9E-E050-007F01006A70</t>
  </si>
  <si>
    <t>W13E4A49-6810-5A9E-E050-007F01006A71</t>
  </si>
  <si>
    <t>W13E4A49-6810-5A9E-E050-107F01006A62</t>
  </si>
  <si>
    <t>W13E4A49-6810-5A9E-E050-107F01006A63</t>
  </si>
  <si>
    <t>W84807E5-DF38-D920-E0WM-007F112077FG</t>
  </si>
  <si>
    <t>W21E4A49-6810-5A9E-E050-007F01006A20</t>
  </si>
  <si>
    <t>W13E4A49-6810-5A9E-E050-007F01006B16</t>
  </si>
  <si>
    <t>W13E4A49-6810-5A9E-E050-007F01006C16</t>
  </si>
  <si>
    <t>W13E4A49-6810-5A9E-E050-107F01006A60</t>
  </si>
  <si>
    <t>W13E4A49-6810-5A9E-E050-307F01006A60</t>
  </si>
  <si>
    <t>W13E4A49-6810-5A9E-E050-307F01006A79</t>
  </si>
  <si>
    <t>W13E4A49-6810-5A9E-E050-407F01006A60</t>
  </si>
  <si>
    <t>W13E4A49-6810-5A9E-E050-507F01006A60</t>
  </si>
  <si>
    <t>W13E4A49-6810-5A9E-E050-607F01006A60</t>
  </si>
  <si>
    <t>W13E4A49-6810-5A9E-E050-707F01006A60</t>
  </si>
  <si>
    <t>W84827E5-DF35-D920-E050-207F010077KL</t>
  </si>
  <si>
    <t>W13E4A49-6810-5A9E-E050-207F01006A60</t>
  </si>
  <si>
    <t>W13E4A49-6810-5A9E-E050-007F01006A72</t>
  </si>
  <si>
    <t>W13E4A49-6810-5A9E-E050-007F01006A76</t>
  </si>
  <si>
    <t>W13E4A49-6810-5A9E-E050-007F01006A77</t>
  </si>
  <si>
    <t>W13E4A49-6810-5A9E-E050-007F01006A78</t>
  </si>
  <si>
    <t>W13E4A49-6810-5A9E-E050-007F01006A79</t>
  </si>
  <si>
    <t>W13E4A49-6810-5A9E-E050-007F01006A80</t>
  </si>
  <si>
    <t>W13E4A49-6810-5A9E-E050-007F01006A81</t>
  </si>
  <si>
    <t>W13E4A49-6810-5A9E-E050-007F01006A82</t>
  </si>
  <si>
    <t>W13E4A49-6810-5A9E-E050-007F01006A83</t>
  </si>
  <si>
    <t>W13E4A49-6810-5A9E-E050-007F01006A84</t>
  </si>
  <si>
    <t>W13E4A49-6810-5A9E-E050-007F01006A85</t>
  </si>
  <si>
    <t>W13E4A49-6810-5A9E-E050-007F01006A86</t>
  </si>
  <si>
    <t>W13E4A49-6810-5A9E-E050-007F01006A87</t>
  </si>
  <si>
    <t>W13E4A49-6810-5A9E-E050-007F01006A88</t>
  </si>
  <si>
    <t>W13E4A49-6810-5A9E-E050-007F01006A89</t>
  </si>
  <si>
    <t>W13E4A49-6810-5A9E-E050-007F01006A90</t>
  </si>
  <si>
    <t>W13E4A49-6810-5A9E-E050-007F01006A91</t>
  </si>
  <si>
    <t>W13E4A49-6810-5A9E-E050-007F01006A93</t>
  </si>
  <si>
    <t>W13E4A49-6810-5A9E-E050-007F01006A94</t>
  </si>
  <si>
    <t>W13E4A49-6810-5A9E-E050-007F01006A95</t>
  </si>
  <si>
    <t>W13E4A49-6810-5A9E-E050-007F01006A96</t>
  </si>
  <si>
    <t>W13E4A49-6810-5A9E-E050-007F01006A97</t>
  </si>
  <si>
    <t>W13E4A49-6810-5A9E-E050-007F01006A98</t>
  </si>
  <si>
    <t>W13E4A49-6810-5A9E-E050-007F01006A99</t>
  </si>
  <si>
    <t>W33E4A49-6810-5A9E-E050-007F01006A00</t>
  </si>
  <si>
    <t>W33E4A49-6810-5A9E-E050-007F01006A01</t>
  </si>
  <si>
    <t>W33E4A49-6810-5A9E-E050-007F01006A02</t>
  </si>
  <si>
    <t>W33E4A49-6810-5A9E-E050-007F01006A03</t>
  </si>
  <si>
    <t>W33E4A49-6810-5A9E-E050-007F01006A04</t>
  </si>
  <si>
    <t>W33E4A49-6810-5A9E-E050-007F01006A05</t>
  </si>
  <si>
    <t>W33E4A49-6810-5A9E-E050-007F01006A06</t>
  </si>
  <si>
    <t>W33E4A49-6810-5A9E-E050-007F01006A07</t>
  </si>
  <si>
    <t>W33E4A49-6810-5A9E-E050-007F01006A08</t>
  </si>
  <si>
    <t>W33E4A49-6810-5A9E-E050-007F01006A09</t>
  </si>
  <si>
    <t>W33E4A49-6810-5A9E-E050-007F01006A10</t>
  </si>
  <si>
    <t>W33E4A49-6810-5A9E-E050-007F01006A11</t>
  </si>
  <si>
    <t>W33E4A49-6810-5A9E-E050-007F01006A12</t>
  </si>
  <si>
    <t>W33E4A49-6810-5A9E-E050-007F01006A13</t>
  </si>
  <si>
    <t>W33E4A49-6810-5A9E-E050-007F01006A14</t>
  </si>
  <si>
    <t>W33E4A49-6810-5A9E-E050-007F01006A15</t>
  </si>
  <si>
    <t>W33E4A49-6810-5A9E-E050-007F01006A16</t>
  </si>
  <si>
    <t>W33E4A49-6810-5A9E-E050-007F01006A17</t>
  </si>
  <si>
    <t>W33E4A49-6810-5A9E-E050-007F01006A18</t>
  </si>
  <si>
    <t>W33E4A49-6810-5A9E-E050-007F01006A19</t>
  </si>
  <si>
    <t>W33E4A49-6810-5A9E-E050-007F01006A20</t>
  </si>
  <si>
    <t>W33E4A49-6810-5A9E-E050-007F01006A21</t>
  </si>
  <si>
    <t>W33E4A49-6810-5A9E-E050-007F01006A24</t>
  </si>
  <si>
    <t>W33E4A49-6810-5A9E-E050-007F01006A25</t>
  </si>
  <si>
    <t>W33E4A49-6810-5A9E-E050-007F01006A26</t>
  </si>
  <si>
    <t>W33E4A49-6810-5A9E-E050-007F01006A27</t>
  </si>
  <si>
    <t>W33E4A49-6810-5A9E-E050-007F01006A30</t>
  </si>
  <si>
    <t>W33E4A49-6810-5A9E-E050-007F01006A31</t>
  </si>
  <si>
    <t>W33E4A49-6810-5A9E-E050-007F01006A32</t>
  </si>
  <si>
    <t>W33E4A49-6810-5A9E-E050-007F01006A33</t>
  </si>
  <si>
    <t>W33E4A49-6810-5A9E-E050-007F01006A34</t>
  </si>
  <si>
    <t>W33E4A49-6810-5A9E-E050-007F01006A35</t>
  </si>
  <si>
    <t>W33E4A49-6810-5A9E-E050-007F01006A36</t>
  </si>
  <si>
    <t>W33E4A49-6810-5A9E-E050-007F01006A37</t>
  </si>
  <si>
    <t>W33E4A49-6810-5A9E-E050-007F01006A40</t>
  </si>
  <si>
    <t>W33E4A49-6810-5A9E-E050-007F01006A41</t>
  </si>
  <si>
    <t>W33E4A49-6810-5A9E-E050-007F01006A42</t>
  </si>
  <si>
    <t>W33E4A49-6810-5A9E-E050-007F01006A43</t>
  </si>
  <si>
    <t>W33E4A49-6810-5A9E-E050-007F01006A44</t>
  </si>
  <si>
    <t>W33E4A49-6810-5A9E-E050-007F01006A47</t>
  </si>
  <si>
    <t>W33E4A49-6810-5A9E-E050-007F01006A48</t>
  </si>
  <si>
    <t>W33E4A49-6810-5A9E-E050-007F01006A49</t>
  </si>
  <si>
    <t>W33E4A49-6810-5A9E-E050-007F01006A50</t>
  </si>
  <si>
    <t>W33E4A49-6810-5A9E-E050-007F01006A51</t>
  </si>
  <si>
    <t>W33E4A49-6810-5A9E-E050-007F01006A52</t>
  </si>
  <si>
    <t>W33E4A49-6810-5A9E-E050-007F01006A53</t>
  </si>
  <si>
    <t>W33E4A49-6810-5A9E-E050-007F01006A54</t>
  </si>
  <si>
    <t>W33E4A49-6810-5A9E-E050-007F01006A55</t>
  </si>
  <si>
    <t>W33E4A49-6810-5A9E-E050-007F01006A56</t>
  </si>
  <si>
    <t>W56E4A49-1111-5A9E-E050-007F01006A63</t>
  </si>
  <si>
    <t>W84807E5-DFBD-D111-E050-007F010277FD</t>
  </si>
  <si>
    <t>W56E4A49-0001-5A9E-E050-007F01006A63</t>
  </si>
  <si>
    <t>W33E4A49-6810-5A9E-E050-007F01006A63</t>
  </si>
  <si>
    <t>W33E4A49-6810-5A9E-E050-007F01006A65</t>
  </si>
  <si>
    <t>W33E4A49-6810-5A9E-E050-007F01006A66</t>
  </si>
  <si>
    <t>W33E4A49-6810-5A9E-E050-007F01006A67</t>
  </si>
  <si>
    <t>W33E4A49-6810-5A9E-E050-007F01006A68</t>
  </si>
  <si>
    <t>W33E4A49-6810-5A9E-E050-007F01006A5S</t>
  </si>
  <si>
    <t>W33E4A49-6810-5A9E-E050-007F01006A69</t>
  </si>
  <si>
    <t>W33E4A49-6810-5A9E-E050-007F01006A71</t>
  </si>
  <si>
    <t>W56E4A49-6810-5A9E-E112-007F01006A63</t>
  </si>
  <si>
    <t>W56E4A49-6810-5A9E-E112-007F01001111</t>
  </si>
  <si>
    <t>W56E4A49-6810-5A9E-E001-007F01001111</t>
  </si>
  <si>
    <t>W33E4A49-6810-5A9E-E050-007F01006A77</t>
  </si>
  <si>
    <t>W33E4A49-6810-5A9E-E050-007F01006A78</t>
  </si>
  <si>
    <t>W13E4A49-6810-5A9E-E050-107F01006A79</t>
  </si>
  <si>
    <t>W13E4A49-6810-5A9E-E050-207F01006A79</t>
  </si>
  <si>
    <t>W33E4A49-6810-5A9E-E050-107F01006A24</t>
  </si>
  <si>
    <t>W33E4A49-6810-5A9E-E050-107F01006A27</t>
  </si>
  <si>
    <t>W33E4A49-6810-5A9E-E050-107F01006A31</t>
  </si>
  <si>
    <t>W33E4A49-6810-5A9E-E050-107F01006A41</t>
  </si>
  <si>
    <t>W33E4A49-6810-5A9E-E050-107F01006A50</t>
  </si>
  <si>
    <t>W21E4A49-6810-5A9E-E050-117F01006A31</t>
  </si>
  <si>
    <t>W33E4A49-6810-5A9E-E050-007F01006A79</t>
  </si>
  <si>
    <t>W33E4A49-6810-5A9E-E050-007F01006A80</t>
  </si>
  <si>
    <t>W33E4A49-6810-5A9E-E050-007F01006A81</t>
  </si>
  <si>
    <t>W33E4A49-6810-5A9E-E050-007F01006A84</t>
  </si>
  <si>
    <t>W33E4A49-6810-5A9E-E050-007F01006A85</t>
  </si>
  <si>
    <t>W33E4A49-6810-5A9E-E050-007F01006A91</t>
  </si>
  <si>
    <t>W33E4A49-6810-5A9E-E050-007F01006A92</t>
  </si>
  <si>
    <t>W33E4A49-6810-5A9E-E050-107F01006A92</t>
  </si>
  <si>
    <t>W56E4A49-1234-5A9E-E050-007F01006A69</t>
  </si>
  <si>
    <t>W84807E5-DFBD-D121-E050-007F010277FD</t>
  </si>
  <si>
    <t>W56E4A49-0002-5A9E-E050-007F01006A69</t>
  </si>
  <si>
    <t>W84807E5-DFBD-D121-E111-007F010277FD</t>
  </si>
  <si>
    <t>W84807E5-DFBD-D121-E111-007F01022222</t>
  </si>
  <si>
    <t>W84807E5-DFBD-D121-E002-007F01022222</t>
  </si>
  <si>
    <t>W53E4A49-6810-5A9E-E050-007F01006A12</t>
  </si>
  <si>
    <t>W53E4A49-6810-5A9E-E050-007F01006A13</t>
  </si>
  <si>
    <t>W53E4A49-6810-5A9E-E050-007F01006A14</t>
  </si>
  <si>
    <t>W53E4A49-6810-5A9E-E050-007F01006A45</t>
  </si>
  <si>
    <t>W53E4A49-6810-5A9E-E050-007F01006A15</t>
  </si>
  <si>
    <t>W53E4A49-6810-5A9E-E050-007F01006A16</t>
  </si>
  <si>
    <t>W53E4A49-6810-5A9E-E050-007F01006A17</t>
  </si>
  <si>
    <t>W53E4A49-6810-5A9E-E050-007F01006A18</t>
  </si>
  <si>
    <t>W53E4A49-6810-5A9E-E050-007F01006A19</t>
  </si>
  <si>
    <t>W53E4A49-6810-5A9E-E050-007F01006A20</t>
  </si>
  <si>
    <t>W53E4A49-6810-5A9E-E050-007F01006A21</t>
  </si>
  <si>
    <t>W53E4A49-6810-5A9E-E050-007F01006A46</t>
  </si>
  <si>
    <t>W53E4A49-6810-5A9E-E050-007F01006A22</t>
  </si>
  <si>
    <t>W53E4A49-6810-5A9E-E050-007F01006A23</t>
  </si>
  <si>
    <t>W53E4A49-6810-5A9E-E050-007F01006A47</t>
  </si>
  <si>
    <t>W53E4A49-6810-5A9E-E050-007F01006A24</t>
  </si>
  <si>
    <t>W53E4A49-6810-5A9E-E050-007F01006A25</t>
  </si>
  <si>
    <t>W53E4A49-6810-5A9E-E050-007F01006A26</t>
  </si>
  <si>
    <t>W53E4A49-6810-5A9E-E050-007F01006A27</t>
  </si>
  <si>
    <t>W53E4A49-6810-5A9E-E050-007F01006A28</t>
  </si>
  <si>
    <t>W53E4A49-6810-5A9E-E050-007F01006A29</t>
  </si>
  <si>
    <t>W53E4A49-6810-5A9E-E050-007F01006A30</t>
  </si>
  <si>
    <t>W53E4A49-6810-5A9E-E050-007F01006A31</t>
  </si>
  <si>
    <t>W53E4A49-6810-5A9E-E050-007F01006A32</t>
  </si>
  <si>
    <t>W53E4A49-6810-5A9E-E050-007F01006A33</t>
  </si>
  <si>
    <t>W53E4A49-6810-5A9E-E050-007F01006A34</t>
  </si>
  <si>
    <t>W53E4A49-6810-5A9E-E050-007F01006A35</t>
  </si>
  <si>
    <t>W53E4A49-6810-5A9E-E050-007F01006A48</t>
  </si>
  <si>
    <t>W53E4A49-6810-5A9E-E050-007F01006A36</t>
  </si>
  <si>
    <t>W53E4A49-6810-5A9E-E050-007F01006A37</t>
  </si>
  <si>
    <t>W53E4A49-6810-5A9E-E050-007F01006A49</t>
  </si>
  <si>
    <t>W53E4A49-6810-5A9E-E050-007F01006A38</t>
  </si>
  <si>
    <t>W53E4A49-6810-5A9E-E050-007F01006A50</t>
  </si>
  <si>
    <t>W53E4A49-6810-5A9E-E050-007F01006A40</t>
  </si>
  <si>
    <t>W33E4A49-6810-5A9E-E050-107F01006A91</t>
  </si>
  <si>
    <t>W53E4A49-6810-5A9E-E050-107F01006A12</t>
  </si>
  <si>
    <t>W53E4A49-6810-5A9E-E050-107F01006A13</t>
  </si>
  <si>
    <t>W53E4A49-6810-5A9E-E050-107F01006A27</t>
  </si>
  <si>
    <t>W53E4A49-6810-5A9E-E050-107F01006A28</t>
  </si>
  <si>
    <t>W53E4A49-6810-5A9E-E050-107F01006A33</t>
  </si>
  <si>
    <t>W53E4A49-6810-5A9E-E050-107F01006A34</t>
  </si>
  <si>
    <t>W67807E5-DF9A-D920-E050-117F010077FD</t>
  </si>
  <si>
    <t>W84807E5-DF9A-D920-E050-117F010077FD</t>
  </si>
  <si>
    <t>W53E4A49-6810-5A9E-E050-107F01006A38</t>
  </si>
  <si>
    <t>W53E4A49-6810-5A9E-E050-107F01006A50</t>
  </si>
  <si>
    <t>W53E4A49-6811-5A9E-E050-007F01006A21</t>
  </si>
  <si>
    <t>W84827E5-DF35-D920-E050-007F010077KL</t>
  </si>
  <si>
    <t>W84827E5-DF35-D920-E050-107F010077KL</t>
  </si>
  <si>
    <t>W84807E5-DF1F-D920-E050-007F030079FD</t>
  </si>
  <si>
    <t>W84807E5-DF1F-D920-E050-007F020078FD</t>
  </si>
  <si>
    <t>W75807E5-DF99-D920-E050-117F010077FD</t>
  </si>
  <si>
    <t>W84807E5-DF99-D920-E050-117F010077FD</t>
  </si>
  <si>
    <t>W84807E5-DF1F-D920-E050-107F030079FD</t>
  </si>
  <si>
    <t>W84807E5-DF28-D920-E050-007F01027924</t>
  </si>
  <si>
    <t>W13E4A89-6810-5A9E-E050-007F91306A46</t>
  </si>
  <si>
    <t>W84807E5-DF30-D920-E050-007F010077FD</t>
  </si>
  <si>
    <t>W84807E5-DF2A-D931-E050-007F010077FD</t>
  </si>
  <si>
    <t>W84807E5-DF31-D920-E050-007F010077FD</t>
  </si>
  <si>
    <t>W84807E5-DF32-D920-E050-007F010077FD</t>
  </si>
  <si>
    <t>W84807E5-DF37-D920-E050-107F010077FD</t>
  </si>
  <si>
    <t>W13E4A49-6810-5A9E-E050-007F01236A45</t>
  </si>
  <si>
    <t>W13E4A89-6810-5A9E-E050-007F91246A46</t>
  </si>
  <si>
    <t>W84807E5-DF98-D920-E050-117F010077FD</t>
  </si>
  <si>
    <t>W75807E5-DF98-D920-E050-117F010077FD</t>
  </si>
  <si>
    <t>W84807E5-DF3D-D920-E050-007F010077FD</t>
  </si>
  <si>
    <t>W1344A49-6810-5A9E-E050-007F01006A22</t>
  </si>
  <si>
    <t>W1344A49-6810-5AEE-E050-007F01006A22</t>
  </si>
  <si>
    <t>W84807E5-DF4A-D920-E050-007F010077FD</t>
  </si>
  <si>
    <t>W84807E5-DF4D-D920-E050-107F010077FD</t>
  </si>
  <si>
    <t>W84807E5-DF4E-D920-E050-107F010077FD</t>
  </si>
  <si>
    <t>W53E4A49-6810-5A9E-E050-107F01006A37</t>
  </si>
  <si>
    <t>W53E4A49-6810-5A9E-E050-207F01006A37</t>
  </si>
  <si>
    <t>W84807E5-DF52-D920-E050-107F010077FD</t>
  </si>
  <si>
    <t>W84807E5-DF52-D920-E050-207F010077FD</t>
  </si>
  <si>
    <t>W84807E5-DF52-D920-E050-217F010077FD</t>
  </si>
  <si>
    <t>W13E4A49-6810-5A9E-E050-207F01006A58</t>
  </si>
  <si>
    <t>W13E4A49-6810-5A9E-E050-107F01006A58</t>
  </si>
  <si>
    <t xml:space="preserve">WADFD6FB33084CF1E0536D5C010AD0CE    </t>
  </si>
  <si>
    <t xml:space="preserve">WADFD6FB33084CF1E1536D5C010AD0CE    </t>
  </si>
  <si>
    <t>W13E4A49-6810-5A9E-E050-407F01006A79</t>
  </si>
  <si>
    <t xml:space="preserve">WADFD6FB33084CF1E0536D5C011AD0CE    </t>
  </si>
  <si>
    <t xml:space="preserve">WADFD6FB33084CF2E1536D5C010AD0CE    </t>
  </si>
  <si>
    <t xml:space="preserve">WADFD6FB34184CF2E0536D5C010AD0CE    </t>
  </si>
  <si>
    <t>W84807E6-DF48-D920-E050-007F010077FD</t>
  </si>
  <si>
    <t>W84807E6-DF65-D920-E050-007F010077FD</t>
  </si>
  <si>
    <t>W84807E6-DF80-D920-E050-007F010077FD</t>
  </si>
  <si>
    <t>W33E4A49-6810-5A9E-E050-007F01016A59</t>
  </si>
  <si>
    <t>W84807E5-DF76-D920-E050-107F010077FD</t>
  </si>
  <si>
    <t>W84807E5-DF77-D920-E050-107F010077FD</t>
  </si>
  <si>
    <t>W84807E5-DF78-D920-E050-107F010077FD</t>
  </si>
  <si>
    <t>W84807E5-DF79-D920-E050-107F010077FD</t>
  </si>
  <si>
    <t>W84807E5-DFA0-D920-E050-117F010077FD</t>
  </si>
  <si>
    <t>W73807E5-DFA0-D920-E050-117F010077FD</t>
  </si>
  <si>
    <t>W84807E5-DFA1-D920-E050-117F010077FD</t>
  </si>
  <si>
    <t>W76807E5-DFA1-D920-E050-117F010077FD</t>
  </si>
  <si>
    <t>W76807E5-DFA1-D920-E050-117F010078FD</t>
  </si>
  <si>
    <t>W76807E5-DFA1-D920-E050-117F010079FD</t>
  </si>
  <si>
    <t>W76807E5-DFA1-D920-E050-117F010080FD</t>
  </si>
  <si>
    <t>W76807E5-DFA1-D920-E050-117F010081FD</t>
  </si>
  <si>
    <t>W76807E5-DFA1-D920-E050-117F010083FD</t>
  </si>
  <si>
    <t>W76807E5-DFA1-D920-E050-117F010082FD</t>
  </si>
  <si>
    <t>W76807E5-DFA1-D920-E050-117F010085FD</t>
  </si>
  <si>
    <t>W76807E5-DFA1-D920-E050-117F010084FD</t>
  </si>
  <si>
    <t>W84807E5-DF8A-D920-E050-007F013377FD</t>
  </si>
  <si>
    <t>W33E4A49-6810-5A9E-E050-007FB1006A59</t>
  </si>
  <si>
    <t>W84807E5-DF81-D920-E088-007F010077FD</t>
  </si>
  <si>
    <t>W33E4A49-6810-5A9E-E050-007FD1006A59</t>
  </si>
  <si>
    <t>W84807E5-DF81-D920-E089-007F010077FD</t>
  </si>
  <si>
    <t>W33E4A49-6810-5A9E-E050-007F01006C59</t>
  </si>
  <si>
    <t>W84807E5-DF85-D920-E050-107F010077FD</t>
  </si>
  <si>
    <t>W33E4A49-6810-5A9E-E050-107F01006C59</t>
  </si>
  <si>
    <t>W84807E5-DF85-D920-E050-207F010077FD</t>
  </si>
  <si>
    <t>W84807E5-DF85-D920-E050-307F010077FD</t>
  </si>
  <si>
    <t>W84807E5-DF85-D920-E050-407F010077FD</t>
  </si>
  <si>
    <t>W33E4A49-6810-5A9E-E050-207F01006C59</t>
  </si>
  <si>
    <t>W33E4A49-6810-5A9E-E050-107F01006A59</t>
  </si>
  <si>
    <t>W84807E5-DF87-D920-E050-007F010077FD</t>
  </si>
  <si>
    <t>W33E4A49-6810-5A9E-E050-007F01116A59</t>
  </si>
  <si>
    <t>W84807E5-DF88-D920-E050-007FX10077FD</t>
  </si>
  <si>
    <t>W84807E5-DF88-D920-E050-007F010777FD</t>
  </si>
  <si>
    <t>W84807E5-DF88-D920-E050-107F010077FD</t>
  </si>
  <si>
    <t>W84807E5-DF88-D920-E050-107FX10077FD</t>
  </si>
  <si>
    <t>W84807E5-DF88-D920-E050-007F010977FD</t>
  </si>
  <si>
    <t>W84807E5-DF88-D920-E050-107F010977FD</t>
  </si>
  <si>
    <t>W53E4A49-6811-5A9E-E050-107F01006A21</t>
  </si>
  <si>
    <t>W84807E5-DF8B-D920-E050-107F010077FD</t>
  </si>
  <si>
    <t>W84807E5-DF3F-D920-E050-107F010077FD</t>
  </si>
  <si>
    <t>W53E4A49-6810-5A9E-E050-107F01006A21</t>
  </si>
  <si>
    <t>W84807E5-DF38-D920-E050-0X7F112077FD</t>
  </si>
  <si>
    <t>W84807E5-DF92-D920-E050-007F010077FD</t>
  </si>
  <si>
    <t>W84807E5-DF92-D920-E050-007F610077FD</t>
  </si>
  <si>
    <t>W84807E5-DF92-D920-E050-107F610077FD</t>
  </si>
  <si>
    <t>W84807E5-DF92-D920-E050-107F010077FD</t>
  </si>
  <si>
    <t>W84807E5-DF92-D920-E050-007F610677FD</t>
  </si>
  <si>
    <t>W84807E5-DF92-D920-E050-107F610677FD</t>
  </si>
  <si>
    <t>W84807E5-DF92-D920-E050-007F910077FD</t>
  </si>
  <si>
    <t>W84807E5-DF94-D920-E050-107F010077FD</t>
  </si>
  <si>
    <t>W84807E5-DF92-D920-E050-107F910077FD</t>
  </si>
  <si>
    <t>W84807E5-DF92-D920-E050-007FD10077FD</t>
  </si>
  <si>
    <t>W84807E5-DF92-D920-E050-107FD10077FD</t>
  </si>
  <si>
    <t>W84807E5-DF96-D920-E050-107F010077FD</t>
  </si>
  <si>
    <t>W84807E5-DF92-D920-E050-007FV10077FD</t>
  </si>
  <si>
    <t>W84807E5-DF92-D920-E050-107FV10077FD</t>
  </si>
  <si>
    <t>W84807E5-DF1F-D920-E050-207F030079FD</t>
  </si>
  <si>
    <t>W84807E5-DF1F-D920-E050-107F020078FD</t>
  </si>
  <si>
    <t>W75807E5-DF98-D920-E050-007F010077FD</t>
  </si>
  <si>
    <t>W75807E5-DF99-D920-E050-007F010077FD</t>
  </si>
  <si>
    <t>W67807E5-DF9A-D920-E050-007F010077FD</t>
  </si>
  <si>
    <t>W73807E5-DFA0-D920-E050-007F010077FD</t>
  </si>
  <si>
    <t>W76807E5-DFA1-D920-E050-007F010077FD</t>
  </si>
  <si>
    <t>W84807E5-DFB0-D920-E050-107F010077FD</t>
  </si>
  <si>
    <t>W84807E5-DFB2-D920-E050-107F010077FD</t>
  </si>
  <si>
    <t>W84807E5-DF38-D920-E050-007F110077FD</t>
  </si>
  <si>
    <t>W84807E5-DF38-D920-E050-107F110077FD</t>
  </si>
  <si>
    <t>W84807E5-DFB9-D920-E050-007F010077FD</t>
  </si>
  <si>
    <t>W84807E5-DFBA-D920-E050-007F010077FD</t>
  </si>
  <si>
    <t>W84807E5-DFBB-D920-E050-007F010077FD</t>
  </si>
  <si>
    <t>W84807E5-DF38-D920-E050-007F112077FI</t>
  </si>
  <si>
    <t>W84807E5-DFBC-D920-E050-007F010077FD</t>
  </si>
  <si>
    <t>W84807E5-DFBD-D920-E050-007F010077FD</t>
  </si>
  <si>
    <t>W84807E5-DFBD-D920-E050-007F010077FE</t>
  </si>
  <si>
    <t xml:space="preserve">WADFD6FB32EB4CF1E1536D5C010AD0CE    </t>
  </si>
  <si>
    <t xml:space="preserve">WADFD6FB32EF4CF1E0536D5C010AD0CE    </t>
  </si>
  <si>
    <t xml:space="preserve">WADFD6FB32EE4CF1E0536D5C010AD0CE    </t>
  </si>
  <si>
    <t xml:space="preserve">WADFD6FB32F14CF1E0536D5C010AD0CE    </t>
  </si>
  <si>
    <t xml:space="preserve">WADFD6FB32F04CF1E0536D5C010AD0CE    </t>
  </si>
  <si>
    <t xml:space="preserve">WADFD6FB32F24CF1E0536D5C010AD0CE    </t>
  </si>
  <si>
    <t xml:space="preserve">WADFD6FB32F44CF1E0536D5C010AD0CE    </t>
  </si>
  <si>
    <t xml:space="preserve">WADFD6FB32F64CF1E0536D5C010AD0CE    </t>
  </si>
  <si>
    <t xml:space="preserve">WADFD6FB32F54CF1E0536D5C010AD0CE    </t>
  </si>
  <si>
    <t xml:space="preserve">WADFD6FB34044CF1E1536D5C010AD0CE    </t>
  </si>
  <si>
    <t xml:space="preserve">WADFD6FB32F84CF1E0536D5C010AD0CE    </t>
  </si>
  <si>
    <t xml:space="preserve">WADFD6FB32F74CF1E0536D5C010AD0CE    </t>
  </si>
  <si>
    <t xml:space="preserve">WADFD6FB32FA4CF1E0536D5C010AD0CE    </t>
  </si>
  <si>
    <t xml:space="preserve">WADFD6FB32F94CF1E0536D5C010AD0CE    </t>
  </si>
  <si>
    <t xml:space="preserve">WADFD6FB32FB4CF1E0536D5C010AD0CE    </t>
  </si>
  <si>
    <t xml:space="preserve">WADFD6FB32FD4CF1E0536D5C010AD0CE    </t>
  </si>
  <si>
    <t xml:space="preserve">WADFD6FB33014CF1E0536D5C010AD0CE    </t>
  </si>
  <si>
    <t xml:space="preserve">WADFD6FB33004CF1E0536D5C010AD0CE    </t>
  </si>
  <si>
    <t xml:space="preserve">WADFD6FB33034CF1E0536D5C010AD0CE    </t>
  </si>
  <si>
    <t xml:space="preserve">WADFD6FB33024CF1E0536D5C010AD0CE    </t>
  </si>
  <si>
    <t xml:space="preserve">WADFD6FB33064CF1E0536D5C010AD0CE    </t>
  </si>
  <si>
    <t xml:space="preserve">WADFD6FB330C4CF1E0536D5C010AD0CE    </t>
  </si>
  <si>
    <t xml:space="preserve">WADFD6FB330D4CF1E0536D5C010AD0CE    </t>
  </si>
  <si>
    <t xml:space="preserve">WADFD6FB330E4CF1E0536D5C010AD0CE    </t>
  </si>
  <si>
    <t xml:space="preserve">WADFD6FB330F4CF1E0536D5C010AD0CE    </t>
  </si>
  <si>
    <t xml:space="preserve">WADFD6FB33104CF1E0536D5C010AD0CE    </t>
  </si>
  <si>
    <t xml:space="preserve">WADFD6FB33114CF1E0536D5C010AD0CE    </t>
  </si>
  <si>
    <t xml:space="preserve">WADFD6FB33124CF1E0536D5C010AD0CE    </t>
  </si>
  <si>
    <t xml:space="preserve">WADFD6FB33134CF1E0536D5C010AD0CE    </t>
  </si>
  <si>
    <t xml:space="preserve">WADFD6FB33144CF1E0536D5C010AD0CE    </t>
  </si>
  <si>
    <t xml:space="preserve">WADFD6FB33154CF1E0536D5C010AD0CE    </t>
  </si>
  <si>
    <t xml:space="preserve">WADFD6FB33164CF1E0536D5C010AD0CE    </t>
  </si>
  <si>
    <t xml:space="preserve">WADFD6FB33174CF1E0536D5C010AD0CE    </t>
  </si>
  <si>
    <t xml:space="preserve">WADFD6FB33184CF1E0536D5C010AD0CE    </t>
  </si>
  <si>
    <t xml:space="preserve">WADFD6FB33194CF1E0536D5C010AD0CE    </t>
  </si>
  <si>
    <t xml:space="preserve">WADFD6FB331A4CF1E0536D5C010AD0CE    </t>
  </si>
  <si>
    <t xml:space="preserve">WADFD6FB332A4CF1E0536D5C010AD0CE    </t>
  </si>
  <si>
    <t xml:space="preserve">WADFD6FB33344CF1E0536D5C010AD0CE    </t>
  </si>
  <si>
    <t xml:space="preserve">WADFD6FB33364CF1E0536D5C010AD0CE    </t>
  </si>
  <si>
    <t xml:space="preserve">WADFD6FB33384CF1E0536D5C010AD0CE    </t>
  </si>
  <si>
    <t xml:space="preserve">WADFD6FB333A4CF1E0536D5C010AD0CE    </t>
  </si>
  <si>
    <t xml:space="preserve">WADFD6FB333C4CF1E0536D5C010AD0CE    </t>
  </si>
  <si>
    <t xml:space="preserve">WADFD6FB333E4CF1E0536D5C010AD0CE    </t>
  </si>
  <si>
    <t xml:space="preserve">WADFD6FB33404CF1E0536D5C010AD0CE    </t>
  </si>
  <si>
    <t xml:space="preserve">WADFD6FB33424CF1E0536D5C010AD0CE    </t>
  </si>
  <si>
    <t xml:space="preserve">WADFD6FB33444CF1E0536D5C010AD0CE    </t>
  </si>
  <si>
    <t xml:space="preserve">WADFD6FB334C4CF1E0536D5C010AD0CE    </t>
  </si>
  <si>
    <t xml:space="preserve">WADFD6FB334D4CF1E0536D5C010AD0CE    </t>
  </si>
  <si>
    <t xml:space="preserve">WADFD6FB334E4CF1E0536D5C010AD0CE    </t>
  </si>
  <si>
    <t xml:space="preserve">WADFD6FB334F4CF1E0536D5C010AD0CE    </t>
  </si>
  <si>
    <t xml:space="preserve">WADFD6FB33504CF1E0536D5C010AD0CE    </t>
  </si>
  <si>
    <t xml:space="preserve">WADFD6FB33514CF1E0536D5C010AD0CE    </t>
  </si>
  <si>
    <t xml:space="preserve">WADFD6FB33524CF1E0536D5C010AD0CE    </t>
  </si>
  <si>
    <t xml:space="preserve">WADFD6FB33534CF1E0536D5C010AD0CE    </t>
  </si>
  <si>
    <t xml:space="preserve">WADFD6FB33544CF1E0536D5C010AD0CE    </t>
  </si>
  <si>
    <t xml:space="preserve">WADFD6FB33554CF1E0536D5C010AD0CE    </t>
  </si>
  <si>
    <t xml:space="preserve">WADFD6FB33564CF1E0536D5C010AD0CE    </t>
  </si>
  <si>
    <t xml:space="preserve">WADFD6FB33574CF1E0536D5C010AD0CE    </t>
  </si>
  <si>
    <t xml:space="preserve">WADFD6FB33594CF1E0536D5C010AD0CE    </t>
  </si>
  <si>
    <t xml:space="preserve">WADFD6FB335B4CF1E0536D5C010AD0CE    </t>
  </si>
  <si>
    <t xml:space="preserve">WADFD6FB335D4CF1E0536D5C010AD0CE    </t>
  </si>
  <si>
    <t xml:space="preserve">WADFD6FB335F4CF1E0536D5C010AD0CE    </t>
  </si>
  <si>
    <t xml:space="preserve">WADFD6FB33614CF1E0536D5C010AD0CE    </t>
  </si>
  <si>
    <t xml:space="preserve">WADFD6FB33634CF1E0536D5C010AD0CE    </t>
  </si>
  <si>
    <t xml:space="preserve">WADFD6FB33654CF1E0536D5C010AD0CE    </t>
  </si>
  <si>
    <t xml:space="preserve">WADFD6FB33674CF1E0536D5C010AD0CE    </t>
  </si>
  <si>
    <t xml:space="preserve">WADFD6FB33694CF1E0536D5C010AD0CE    </t>
  </si>
  <si>
    <t xml:space="preserve">WADFD6FB33724CF1E0536D5C010AD0CE    </t>
  </si>
  <si>
    <t xml:space="preserve">WADFD6FB33734CF1E0536D5C010AD0CE    </t>
  </si>
  <si>
    <t xml:space="preserve">WADFD6FB33754CF1E0536D5C010AD0CE    </t>
  </si>
  <si>
    <t xml:space="preserve">WADFD6FB33774CF1E0536D5C010AD0CE    </t>
  </si>
  <si>
    <t xml:space="preserve">WADFD6FB33794CF1E0536D5C010AD0CE    </t>
  </si>
  <si>
    <t xml:space="preserve">WADFD6FB337B4CF1E0536D5C010AD0CE    </t>
  </si>
  <si>
    <t xml:space="preserve">WADFD6FB337D4CF1E0536D5C010AD0CE    </t>
  </si>
  <si>
    <t xml:space="preserve">WADFD6FB337F4CF1E0536D5C010AD0CE    </t>
  </si>
  <si>
    <t xml:space="preserve">WADFD6FB33814CF1E0536D5C010AD0CE    </t>
  </si>
  <si>
    <t xml:space="preserve">WADFD6FB33834CF1E0536D5C010AD0CE    </t>
  </si>
  <si>
    <t xml:space="preserve">WADFD6FB33844CF1E0536D5C010AD0CE    </t>
  </si>
  <si>
    <t xml:space="preserve">WADFD6FB33854CF1E0536D5C010AD0CE    </t>
  </si>
  <si>
    <t xml:space="preserve">WADFD6FB338D4CF1E0536D5C010AD0CE    </t>
  </si>
  <si>
    <t xml:space="preserve">WADFD6FB33904CF1E0536D5C010AD0CE    </t>
  </si>
  <si>
    <t xml:space="preserve">WADFD6FB33924CF1E0536D5C010AD0CE    </t>
  </si>
  <si>
    <t xml:space="preserve">WADFD6FB33944CF1E0536D5C010AD0CE    </t>
  </si>
  <si>
    <t xml:space="preserve">WADFD6FB33964CF1E0536D5C010AD0CE    </t>
  </si>
  <si>
    <t xml:space="preserve">WADFD6FB33984CF1E0536D5C010AD0CE    </t>
  </si>
  <si>
    <t xml:space="preserve">WADFD6FB339A4CF1E0536D5C010AD0CE    </t>
  </si>
  <si>
    <t xml:space="preserve">WADFD6FB339C4CF1E0536D5C010AD0CE    </t>
  </si>
  <si>
    <t xml:space="preserve">WADFD6FB339D4CF1E0536D5C010AD0CE    </t>
  </si>
  <si>
    <t xml:space="preserve">WADFD6FB33A74CF1E0536D5C010AD0CE    </t>
  </si>
  <si>
    <t xml:space="preserve">WADFD6FB33A94CF1E0536D5C010AD0CE    </t>
  </si>
  <si>
    <t xml:space="preserve">WADFD6FB33AB4CF1E0536D5C010AD0CE    </t>
  </si>
  <si>
    <t xml:space="preserve">WADFD6FB33AD4CF1E0536D5C010AD0CE    </t>
  </si>
  <si>
    <t xml:space="preserve">WADFD6FB33AF4CF1E0536D5C010AD0CE    </t>
  </si>
  <si>
    <t xml:space="preserve">WADFD6FB33B14CF1E0536D5C010AD0CE    </t>
  </si>
  <si>
    <t xml:space="preserve">WADFD6FB33B44CF1E0536D5C010AD0CE    </t>
  </si>
  <si>
    <t xml:space="preserve">WADFD6FB33B54CF1E0536D5C010AD0CE    </t>
  </si>
  <si>
    <t xml:space="preserve">WADFD6FB33B74CF1E0536D5C010AD0CE    </t>
  </si>
  <si>
    <t xml:space="preserve">WADFD6FB33B84CF1E0536D5C010AD0CE    </t>
  </si>
  <si>
    <t xml:space="preserve">WADFD6FB33BA4CF1E0536D5C010AD0CE    </t>
  </si>
  <si>
    <t xml:space="preserve">WADFD6FB33F44CF1E0536D5C010AD0CE    </t>
  </si>
  <si>
    <t xml:space="preserve">WADFD6FB33F34CF1E0536D5C010AD0CE    </t>
  </si>
  <si>
    <t xml:space="preserve">WADFD6FB33F64CF1E0536D5C010AD0CE    </t>
  </si>
  <si>
    <t xml:space="preserve">WADFD6FB33F54CF1E0536D5C010AD0CE    </t>
  </si>
  <si>
    <t xml:space="preserve">WADFD6FB33F94CF1E0536D5C010AD0CE    </t>
  </si>
  <si>
    <t xml:space="preserve">WADFD6FB33FB4CF1E0536D5C010AD0CE    </t>
  </si>
  <si>
    <t xml:space="preserve">WADFD6FB33FF4CF1E0536D5C010AD0CE    </t>
  </si>
  <si>
    <t xml:space="preserve">WADFD6FB33FE4CF1E0536D5C010AD0CE    </t>
  </si>
  <si>
    <t xml:space="preserve">WADFD6FB34014CF1E0536D5C010AD0CE    </t>
  </si>
  <si>
    <t xml:space="preserve">WADFD6FB34004CF1E0536D5C010AD0CE    </t>
  </si>
  <si>
    <t xml:space="preserve">WADFD6FB34044CF1E0536D5C010AD0CE    </t>
  </si>
  <si>
    <t xml:space="preserve">WADFD6FB34024CF1E0536D5C010AD0CE    </t>
  </si>
  <si>
    <t xml:space="preserve">WADFD6FB34064CF1E0536D5C010AD0CE    </t>
  </si>
  <si>
    <t xml:space="preserve">WADFD6FB34054CF1E0536D5C010AD0CE    </t>
  </si>
  <si>
    <t xml:space="preserve">WADFD6FB34084CF1E0536D5C010AD0CE    </t>
  </si>
  <si>
    <t xml:space="preserve">WADFD6FB34074CF1E0536D5C010AD0CE    </t>
  </si>
  <si>
    <t xml:space="preserve">WADFD6FB34094CF1E0536D5C010AD0CE    </t>
  </si>
  <si>
    <t xml:space="preserve">WADFD6FB340A4CF1E0536D5C010AD0CE    </t>
  </si>
  <si>
    <t xml:space="preserve">WADFD6FB340D4CF1E0536D5C010AD0CE    </t>
  </si>
  <si>
    <t xml:space="preserve">WADFD6FB340B4CF1E0536D5C010AD0CE    </t>
  </si>
  <si>
    <t xml:space="preserve">WADFD6FB340F4CF1E0536D5C010AD0CE    </t>
  </si>
  <si>
    <t xml:space="preserve">WADFD6FB340E4CF1E0536D5C010AD0CE    </t>
  </si>
  <si>
    <t xml:space="preserve">WADFD6FB34114CF1E0536D5C010AD0CE    </t>
  </si>
  <si>
    <t xml:space="preserve">WADFD6FB34104CF1E0536D5C010AD0CE    </t>
  </si>
  <si>
    <t xml:space="preserve">WADFD6FB34124CF1E0536D5C010AD0CE    </t>
  </si>
  <si>
    <t xml:space="preserve">WADFD6FB34134CF1E0536D5C010AD0CE    </t>
  </si>
  <si>
    <t xml:space="preserve">WADFD6FB34184CF1E0536D5C010AD0CE    </t>
  </si>
  <si>
    <t xml:space="preserve">WADFD6FB34164CF1E0536D5C010AD0CE    </t>
  </si>
  <si>
    <t xml:space="preserve">WADFD6FB32244CF1E0536D5C010AD0CE    </t>
  </si>
  <si>
    <t xml:space="preserve">WADFD6FB32394CF1E0536D5C010AD0CE    </t>
  </si>
  <si>
    <t xml:space="preserve">WADFD6FB323F4CF1E0536D5C010AD0CE    </t>
  </si>
  <si>
    <t xml:space="preserve">WADFD6FB32414CF1E0536D5C010AD0CE    </t>
  </si>
  <si>
    <t xml:space="preserve">WADFD6FB32434CF1E0536D5C010AD0CE    </t>
  </si>
  <si>
    <t xml:space="preserve">WADFD6FB32534CF1E0536D5C010AD0CE    </t>
  </si>
  <si>
    <t xml:space="preserve">WADFD6FB325E4CF1E0536D5C010AD0CE    </t>
  </si>
  <si>
    <t xml:space="preserve">WADFD6FB326C4CF1E0536D5C010AD0CE    </t>
  </si>
  <si>
    <t xml:space="preserve">WADFD6FB32764CF1E0536D5C010AD0CE    </t>
  </si>
  <si>
    <t xml:space="preserve">WADFD6FB32874CF1E0536D5C010AD0CE    </t>
  </si>
  <si>
    <t xml:space="preserve">WADFD6FB32A84CF1E0536D5C010AD0CE    </t>
  </si>
  <si>
    <t xml:space="preserve">WADFD6FB32BD4CF1E0536D5C010AD0CE    </t>
  </si>
  <si>
    <t xml:space="preserve">WADFD6FB32C04CF1E0536D5C010AD0CE    </t>
  </si>
  <si>
    <t xml:space="preserve">WADFD6FB32C14CF1E0536D5C010AD0CE    </t>
  </si>
  <si>
    <t xml:space="preserve">WADFD6FB32C34CF1E0536D5C010AD0CE    </t>
  </si>
  <si>
    <t xml:space="preserve">WADFD6FB32C54CF1E0536D5C010AD0CE    </t>
  </si>
  <si>
    <t xml:space="preserve">WADFD6FB32C64CF1E0536D5C010AD0CE    </t>
  </si>
  <si>
    <t xml:space="preserve">WADFD6FB32C94CF1E0536D5C010AD0CE    </t>
  </si>
  <si>
    <t xml:space="preserve">WADFD6FB32CB4CF1E0536D5C010AD0CE    </t>
  </si>
  <si>
    <t xml:space="preserve">WADFD6FB32CD4CF1E0536D5C010AD0CE    </t>
  </si>
  <si>
    <t xml:space="preserve">WADFD6FB32CF4CF1E0536D5C010AD0CE    </t>
  </si>
  <si>
    <t xml:space="preserve">WADFD6FB32D14CF1E0536D5C010AD0CE    </t>
  </si>
  <si>
    <t xml:space="preserve">WADFD6FB32D34CF1E0536D5C010AD0CE    </t>
  </si>
  <si>
    <t xml:space="preserve">WADFD6FB32D54CF1E0536D5C010AD0CE    </t>
  </si>
  <si>
    <t xml:space="preserve">WADFD6FB32D74CF1E0536D5C010AD0CE    </t>
  </si>
  <si>
    <t xml:space="preserve">WADFD6FB32E04CF1E0536D5C010AD0CE    </t>
  </si>
  <si>
    <t xml:space="preserve">WADFD6FB32E24CF1E0536D5C010AD0CE    </t>
  </si>
  <si>
    <t xml:space="preserve">WADFD6FB32E34CF1E0536D5C010AD0CE    </t>
  </si>
  <si>
    <t xml:space="preserve">WADFD6FB32E34CF1E0536D5C011AD0CE    </t>
  </si>
  <si>
    <t xml:space="preserve">WADFD6FB32E54CF1E0536D5C010AD0CE    </t>
  </si>
  <si>
    <t xml:space="preserve">WADFD6FB32E44CF1E0536D5C010AD0CE    </t>
  </si>
  <si>
    <t xml:space="preserve">WADFD6FB32E94CF1E0536D5C010AD0CE    </t>
  </si>
  <si>
    <t xml:space="preserve">WADFD6FB32EB4CF1E0536D5C010AD0CE    </t>
  </si>
  <si>
    <t>W84807E5-DF38-D920-E050-007F111177FD</t>
  </si>
  <si>
    <t>W84807E5-DF38-D920-E050-007F112077FD</t>
  </si>
  <si>
    <t>W84807E5-DF38-D920-E050-007F112077FE</t>
  </si>
  <si>
    <t>W84807E5-DF38-D920-E050-007F112077FF</t>
  </si>
  <si>
    <t>W84807E5-DF38-D920-E050-007F112077FG</t>
  </si>
  <si>
    <t>W84807E5-DF38-D920-E050-007F112077FH</t>
  </si>
  <si>
    <t>W84807E5-DF38-D920-E050-007F112077FJ</t>
  </si>
  <si>
    <t>W84807E5-DF38-D920-E050-007F112077FL</t>
  </si>
  <si>
    <t>W84807E5-DF38-D920-E050-007F112077FM</t>
  </si>
  <si>
    <t>W84807E5-DF38-D920-E050-007F112077FO</t>
  </si>
  <si>
    <t>W84807E5-DF38-D920-E050-007F112077FP</t>
  </si>
  <si>
    <t>W84807E5-DF38-D920-E050-007F112077FQ</t>
  </si>
  <si>
    <t>W84807E5-DF38-D920-E050-007F112077FR</t>
  </si>
  <si>
    <t>W84807E5-DF38-D920-E050-007F112077FS</t>
  </si>
  <si>
    <t>W84807E5-DF38-D920-E050-007F112077FT</t>
  </si>
  <si>
    <t>W84807E5-DF38-D920-E050-007F112077FU</t>
  </si>
  <si>
    <t>W84807E5-DF38-D920-E050-007F112077FV</t>
  </si>
  <si>
    <t>W84807E5-DF38-D920-E050-007F112077FW</t>
  </si>
  <si>
    <t>W84807E5-DF38-D920-E050-007F112077FX</t>
  </si>
  <si>
    <t>W84807E5-DF38-D920-E050-007F112077FY</t>
  </si>
  <si>
    <t>W84807E5-DF38-D920-E050-007F112077FZ</t>
  </si>
  <si>
    <t>W84807E5-DF38-D920-E050-007F112077GG</t>
  </si>
  <si>
    <t>W84807E5-DF38-D920-E050-007F112077JA</t>
  </si>
  <si>
    <t>W84807E5-DF38-D920-E050-007F112077JB</t>
  </si>
  <si>
    <t>W84807E5-DF38-D920-E050-007F112077JC</t>
  </si>
  <si>
    <t>W84807E5-DF38-D920-E050-007F112077JD</t>
  </si>
  <si>
    <t>W84807E5-DF38-D920-E050-007F112077JE</t>
  </si>
  <si>
    <t>W84807E5-DF38-D920-E050-007F112077JF</t>
  </si>
  <si>
    <t>W84807E5-DF38-D920-E050-007F112077JG</t>
  </si>
  <si>
    <t>W84807E5-DF38-D920-E050-007F112077JH</t>
  </si>
  <si>
    <t>W84807E5-DF38-D920-E050-007F112077JI</t>
  </si>
  <si>
    <t>W84807E5-DF38-D920-E050-107F112077JI</t>
  </si>
  <si>
    <t>W84807E5-DF38-D920-E050-007F112077JJ</t>
  </si>
  <si>
    <t>W84807E5-DF38-D920-E050-007F112077JK</t>
  </si>
  <si>
    <t>W84807E5-DF38-D920-E050-007F112077JN</t>
  </si>
  <si>
    <t>W84807E5-DF38-D920-E050-107F112077JN</t>
  </si>
  <si>
    <t>W84807E5-DF38-D920-E050-007F112077JO</t>
  </si>
  <si>
    <t>W84807E5-DF38-D920-E050-007F112077JP</t>
  </si>
  <si>
    <t>W84807E5-DF38-D920-E050-007F112077JQ</t>
  </si>
  <si>
    <t>W84807E5-DF38-D920-E050-007F112077JR</t>
  </si>
  <si>
    <t>W84807E5-DF38-D920-E050-007F112077JS</t>
  </si>
  <si>
    <t>W84807E5-DF38-D920-E050-007F112077JU</t>
  </si>
  <si>
    <t>W84807E5-DF38-D920-E050-007F112077JV</t>
  </si>
  <si>
    <t>W84807E5-DF38-D920-E050-007F112077JZ</t>
  </si>
  <si>
    <t>W84807E5-DF38-D920-E050-007F112077KA</t>
  </si>
  <si>
    <t>W84807E5-DF38-D920-E050-007F112077KB</t>
  </si>
  <si>
    <t>W84807E5-DF38-D920-E050-007F112077KC</t>
  </si>
  <si>
    <t>W84807E5-DF38-D920-E050-007F112077KD</t>
  </si>
  <si>
    <t>W84807E5-DF38-D920-E050-007F112077KE</t>
  </si>
  <si>
    <t>W84807E5-DF38-D920-E050-007F112077KF</t>
  </si>
  <si>
    <t>W84807E5-DF38-D920-E050-007F112077KG</t>
  </si>
  <si>
    <t>W84807E5-DF38-D920-E050-007F112077KH</t>
  </si>
  <si>
    <t>W84807E5-DF38-D920-E050-007F112077KJ</t>
  </si>
  <si>
    <t>W84807E5-DF67-D920-E050-007F010077FD</t>
  </si>
  <si>
    <t>W84807E5-DF67-D920-E050-007F010098FD</t>
  </si>
  <si>
    <t>1002,1003,1004,1005</t>
  </si>
  <si>
    <t>当资产/负债类别为本行/他行存款||大额存单时</t>
  </si>
  <si>
    <t>06</t>
  </si>
  <si>
    <t>当“存款类型”要素选择“06 结构性存款”时</t>
  </si>
  <si>
    <t>1002,1003</t>
  </si>
  <si>
    <t>当“存款类型”要素不选择“06 结构性存款”时</t>
  </si>
  <si>
    <t>1003</t>
  </si>
  <si>
    <t>当资产/负债类别为他行存款时</t>
  </si>
  <si>
    <t>1002</t>
  </si>
  <si>
    <t>当资产/负债类别为本行存款时</t>
  </si>
  <si>
    <t>1005</t>
  </si>
  <si>
    <t>当资产/负债类别为他行发行的大额存单时</t>
  </si>
  <si>
    <t>1901,1902,1107,1108</t>
  </si>
  <si>
    <t>当资产/负债类别为拆放同业及买入返售/同业拆入及卖出回购时</t>
  </si>
  <si>
    <t>1108</t>
  </si>
  <si>
    <t>当资产/负债类别为买入返售时</t>
  </si>
  <si>
    <t>1902</t>
  </si>
  <si>
    <t>当资产/负债类别为卖出回购时</t>
  </si>
  <si>
    <t>当资产/负债类别不为买入返售时</t>
  </si>
  <si>
    <t>当资产/负债类别不为卖出回购时</t>
  </si>
  <si>
    <t>1502,1505,1507,1508,1509</t>
  </si>
  <si>
    <t>当资产/负债类别为QDII股票/基金类时</t>
  </si>
  <si>
    <t>当资产/负债类别为QDII股票/基金类资产时</t>
  </si>
  <si>
    <t>1504,1506</t>
  </si>
  <si>
    <t>当资产/负债类别为QDII拆出/逆回购资产时</t>
  </si>
  <si>
    <t>1004</t>
  </si>
  <si>
    <t>当资产/负债类别为本行发行的大额存单时</t>
  </si>
  <si>
    <t>当资产/负债类别不为本行/他行存款||大额存单时</t>
  </si>
  <si>
    <t>当资产/负债类别为本行/他行存款时</t>
  </si>
  <si>
    <t>当资产/负债类别不为本行/他行存款时</t>
  </si>
  <si>
    <t>1101,1110,1109,1102,1111,1112,1113,1114,1115,1116,1117,2101,2501,2502</t>
  </si>
  <si>
    <t>当资产/负债类别为债券类资产/理财直接融资工具/同业存单时</t>
  </si>
  <si>
    <t>1106,1303,2401,2402,2403,2499,2601,2602,2604,2605,2606,2607,2610,2611,2612,2613,2614,2616,2617,2618,2619,2620,2699</t>
  </si>
  <si>
    <t>当资产/负债类别为公募/私募基金时</t>
  </si>
  <si>
    <t>当资产/负债类别为权益类资产时</t>
  </si>
  <si>
    <t>1501</t>
  </si>
  <si>
    <t>当资产/负债类别为QDII债券资产时</t>
  </si>
  <si>
    <t>08</t>
  </si>
  <si>
    <t>10</t>
  </si>
  <si>
    <t>15,19</t>
  </si>
  <si>
    <t>当资产/负债类别为公募基金/私募基金时</t>
  </si>
  <si>
    <t>16</t>
  </si>
  <si>
    <t>当资产/负债类别为委外投资时</t>
  </si>
  <si>
    <t>1202,1203,1204,1205,1206,1207,1208,1209,2201,2202</t>
  </si>
  <si>
    <t>当资产/负债类别为非标准化债权类资产/新增可投资资产时</t>
  </si>
  <si>
    <t>12</t>
  </si>
  <si>
    <t>当资产/负债类别为资产管理产品时</t>
  </si>
  <si>
    <t>1301,1302,1305</t>
  </si>
  <si>
    <t>1503</t>
  </si>
  <si>
    <t>当资产/负债类别为QDII结构性票据类资产时</t>
  </si>
  <si>
    <t>1401,1402,1403,1404,1405,1406,1499</t>
  </si>
  <si>
    <t>当资产/负债类别为金融衍生品时</t>
  </si>
  <si>
    <t>2301,2302,2303,2304,2305,1603</t>
  </si>
  <si>
    <t>当资产/负债类别为另类资产时</t>
  </si>
  <si>
    <t>1601,1602,1699</t>
  </si>
  <si>
    <t>当资产/负债类别为商品类资产时</t>
  </si>
  <si>
    <t>2000</t>
  </si>
  <si>
    <t>当资产/负债类别为其他（负债）类资产时</t>
  </si>
  <si>
    <t>1106,1303,2401,2402,2403,2499</t>
  </si>
  <si>
    <t>当资产/负债类别为公募基金时</t>
  </si>
  <si>
    <t>2607</t>
  </si>
  <si>
    <t>资产/负债类别为：2607 上市公司定向增发基金(证券投资基金)时</t>
  </si>
  <si>
    <t>2610</t>
  </si>
  <si>
    <t>资产/负债类别为：2610 并购基金时</t>
  </si>
  <si>
    <t>2611</t>
  </si>
  <si>
    <t>资产/负债类别为：2611 房地产基金时</t>
  </si>
  <si>
    <t>2612</t>
  </si>
  <si>
    <t>资产/负债类别为：2612 基础设施基金时</t>
  </si>
  <si>
    <t>2613</t>
  </si>
  <si>
    <t>资产/负债类别为：2613 创业投资基金时</t>
  </si>
  <si>
    <t>2801,2802,2803,2804,2805,2806,2899</t>
  </si>
  <si>
    <t>2617</t>
  </si>
  <si>
    <t>当是否属于政府投资基金为是时</t>
  </si>
  <si>
    <t>2601,2602,2604,2605,2606,2607,2610,2611,2612,2613,2614,2616,2617,2618,2619,2620,2699</t>
  </si>
  <si>
    <t>当资产/负债类别为私募基金时</t>
  </si>
  <si>
    <t>ORG_ASSET_TYPE3</t>
  </si>
  <si>
    <t>07,09,10,11,14</t>
  </si>
  <si>
    <t>当资产为债券资产时</t>
  </si>
  <si>
    <t>当资产/负债类别不为非标准化债权类资产/新增可投资资产时</t>
  </si>
  <si>
    <t>[登记备案机构]选择[99 其他]的场合</t>
  </si>
  <si>
    <t>1299,1399,1599,2299</t>
  </si>
  <si>
    <t>当资产/负债类别为各类资产的其他项时</t>
  </si>
  <si>
    <t>当行内资产类别为其他时</t>
  </si>
  <si>
    <t>当是否有预期收益率为是时</t>
  </si>
  <si>
    <t>当是否有预期收益率为否时</t>
  </si>
  <si>
    <t>当项目是否属于重点监控行业和领域为是时</t>
  </si>
  <si>
    <t>当项目是否属于重点监控行业和领域为否时</t>
  </si>
  <si>
    <t>当重点监控行业和领域类别为其他时</t>
  </si>
  <si>
    <t>04</t>
  </si>
  <si>
    <t>当交易相关合计费率不为0时</t>
  </si>
  <si>
    <t>项目是否属于重点监控行业和领域为否</t>
  </si>
  <si>
    <t>07</t>
  </si>
  <si>
    <t>[标的类别]选择“99 其他”时</t>
  </si>
  <si>
    <t>当交易流通场所为其他交易流通场所时</t>
  </si>
  <si>
    <t>当托管费率不为0时</t>
  </si>
  <si>
    <t>担保人与融资人关系为其他时</t>
  </si>
  <si>
    <t>1112</t>
  </si>
  <si>
    <t>当资产/负债类别为[商业性金融债]时</t>
  </si>
  <si>
    <t>1113</t>
  </si>
  <si>
    <t>当资产/负债类别为[企业债券]时</t>
  </si>
  <si>
    <t>1114</t>
  </si>
  <si>
    <t>当资产/负债类别为[公司债券]时</t>
  </si>
  <si>
    <t>1115</t>
  </si>
  <si>
    <t>当资产/负债类别为[企业融资工具]时</t>
  </si>
  <si>
    <t>1116</t>
  </si>
  <si>
    <t>当资产/负债类别为[资产支持证券]时</t>
  </si>
  <si>
    <t>1117</t>
  </si>
  <si>
    <t>当资产/负债类别为[外国债券]时</t>
  </si>
  <si>
    <t>当交易对手方类型为其他时</t>
  </si>
  <si>
    <t>当登记托管机构为其他时</t>
  </si>
  <si>
    <t>当登记托管机构为非其他时</t>
  </si>
  <si>
    <t>1701,1702,1703,1704,1705,1706</t>
  </si>
  <si>
    <t>[回购标的类别] 选择“99 其他”时</t>
  </si>
  <si>
    <t>管理费率不为0</t>
  </si>
  <si>
    <t>1205</t>
  </si>
  <si>
    <t>[资产/负债类别]为“1205 收/受益权”时</t>
  </si>
  <si>
    <t>当资产/负债类别!=1205收/受益权时</t>
  </si>
  <si>
    <t>“是否有预期收益率”选择“01 是”</t>
  </si>
  <si>
    <t>“是否有预期收益率”选择“02 否”</t>
  </si>
  <si>
    <t>项目是否属于重点监控行业和领域等于01是</t>
  </si>
  <si>
    <t>资产/负债类别为非标准化债权类资产/新增可投资资产</t>
  </si>
  <si>
    <t>项目是否属于重点监控行业和领域等于02否</t>
  </si>
  <si>
    <t>重点监控行业和领域类别等于99其他</t>
  </si>
  <si>
    <t>1299</t>
  </si>
  <si>
    <t>当资产/负债类别不为1299其他非标准化债权类投资时</t>
  </si>
  <si>
    <t>14</t>
  </si>
  <si>
    <t>“担保方式”不为空时</t>
  </si>
  <si>
    <t>当资产/负债类别为1299其他非标准化债权类投资时</t>
  </si>
  <si>
    <t>1202,1203,1204,1205,1206,1207,1208,1209</t>
  </si>
  <si>
    <t>当资产/负债类别为非标准化债权类资产时</t>
  </si>
  <si>
    <t>“担保方式”为空时</t>
  </si>
  <si>
    <t>当收/受益权类型为其他时</t>
  </si>
  <si>
    <t>基准利率种类等于99其他</t>
  </si>
  <si>
    <t>融资人类型（按规模划分）为99其他</t>
  </si>
  <si>
    <t>融资人类型（按技术领域划分）为99其他</t>
  </si>
  <si>
    <t>融资人类型（按经济类型划分）为99其他</t>
  </si>
  <si>
    <t>当融资总费率不为0时</t>
  </si>
  <si>
    <t>1305</t>
  </si>
  <si>
    <t>[资产/负债类别]为“1305 股票(一级市场)”时</t>
  </si>
  <si>
    <t>1301</t>
  </si>
  <si>
    <t>[资产/负债类别]为“1301 股权”时</t>
  </si>
  <si>
    <t>1302</t>
  </si>
  <si>
    <t>[资产/负债类别]为“1302 股票(二级市场)”时</t>
  </si>
  <si>
    <t>股票类型为99其他</t>
  </si>
  <si>
    <t>投资阶段为99其他</t>
  </si>
  <si>
    <t>企业类型（按规模划分）为99其他</t>
  </si>
  <si>
    <t>企业类型（按技术领域划分）为99其他</t>
  </si>
  <si>
    <t>当中介服务机构合计费率不为0时</t>
  </si>
  <si>
    <t>企业类型（按经济类型划分）为99其他</t>
  </si>
  <si>
    <t>当其他合计费率不为0时</t>
  </si>
  <si>
    <t>发行机构类型（按规模划分）为99其他</t>
  </si>
  <si>
    <t>发行机构类型（按经济类型划分）为99其他</t>
  </si>
  <si>
    <t>发行机构类型（按技术领域划分）为99其他</t>
  </si>
  <si>
    <t>具体类别为其他债券时</t>
  </si>
  <si>
    <t>抵质押物类型为其他时</t>
  </si>
  <si>
    <t>1201,1210</t>
  </si>
  <si>
    <t>当资产/负债类别为票据类/信用证类资产时</t>
  </si>
  <si>
    <t xml:space="preserve"> </t>
  </si>
  <si>
    <t>2801,2802,2803,2804,2805,2806,2899,1701,1702,1703,1704,1705,1706</t>
  </si>
  <si>
    <t>当资产/负债类别为委外投资或者为资产管理产品时</t>
  </si>
  <si>
    <t>是否有预期收益率为是</t>
  </si>
  <si>
    <t>是否有预期收益率为否</t>
  </si>
  <si>
    <t>持有目的为其他时</t>
  </si>
  <si>
    <t>1210</t>
  </si>
  <si>
    <t>当资产/负债类别为信用证时</t>
  </si>
  <si>
    <t>1201</t>
  </si>
  <si>
    <t>当资产/负债类别为票据类时</t>
  </si>
  <si>
    <t>03,04</t>
  </si>
  <si>
    <t>当“担保方式”选择“抵押”或“质押”时</t>
  </si>
  <si>
    <t>03</t>
  </si>
  <si>
    <t>“担保方式”不是“抵押”或“质押”时</t>
  </si>
  <si>
    <t>当“担保方式”选择“信用担保”或“第三方保证”时</t>
  </si>
  <si>
    <t>01,02</t>
  </si>
  <si>
    <t>“担保方式”不是“信用担保”或“第三方保证”时</t>
  </si>
  <si>
    <t>2201</t>
  </si>
  <si>
    <t>当“含权类型”不为空时</t>
  </si>
  <si>
    <t>当“含权类型”为空时</t>
  </si>
  <si>
    <t>当“行权方式”选择“02 欧式期权”时</t>
  </si>
  <si>
    <t>当“行权方式”不选择“02 欧式期权”或为空时</t>
  </si>
  <si>
    <t>当“行权方式”选择“03 百慕大期权”时</t>
  </si>
  <si>
    <t>当“行权方式”不选择“03 百慕大期权”或为空时</t>
  </si>
  <si>
    <t>当“含权类型”选择“01 发行人赎回选择权”或“04投资人回售选择权”时</t>
  </si>
  <si>
    <t>2201,2202</t>
  </si>
  <si>
    <t>当资产/负债类别为新增可投资资产时</t>
  </si>
  <si>
    <t>1202</t>
  </si>
  <si>
    <t>[资产/负债类别]为“1202 信托贷款”时</t>
  </si>
  <si>
    <t>1203</t>
  </si>
  <si>
    <t>1204</t>
  </si>
  <si>
    <t>1206</t>
  </si>
  <si>
    <t>[资产/负债类别]为“1206 委托债权”时</t>
  </si>
  <si>
    <t>1207</t>
  </si>
  <si>
    <t>[资产/负债类别]为“1207 应收账款”时</t>
  </si>
  <si>
    <t>1208</t>
  </si>
  <si>
    <t>[资产/负债类别]为“1208 带回购条款的股权性融资”时</t>
  </si>
  <si>
    <t>1209</t>
  </si>
  <si>
    <t>[资产/负债类别]为“1209 债权融资类产品”时</t>
  </si>
  <si>
    <t>[资产/负债类别]不为非标资产时</t>
  </si>
  <si>
    <t>当“递延利息条款类型”选择“02 有利息递延条款”或“03 非利息递延条款引起的递延”时</t>
  </si>
  <si>
    <t>当“递延利息条款类型”选择“01 无利息递延条款”或为空时</t>
  </si>
  <si>
    <t>当“永续条款类型”选择“01 可续期条款”或“02 永续条款”时</t>
  </si>
  <si>
    <t>当“永续条款类型”选择“03 无”或为空时</t>
  </si>
  <si>
    <t>1399</t>
  </si>
  <si>
    <t>[资产/负债类别]不为“1399 其他权益类投资”时</t>
  </si>
  <si>
    <t>1705</t>
  </si>
  <si>
    <t>[资产/负债类别]为“1705 其他资产管理计划”时</t>
  </si>
  <si>
    <t>1705,2601,2602,2604,2605,2606,2607,2610,2611,2612,2613,2614,2616,2617,2618,2619,2620,2699</t>
  </si>
  <si>
    <t>资产/负债类别不为1705 其他资产管理计划时</t>
  </si>
  <si>
    <t>当“担保方式”不是“抵押”或“质押”时</t>
  </si>
  <si>
    <t>03,04,05,99</t>
  </si>
  <si>
    <t>[资产/负债类别]为“1399 其他权益类投资”时</t>
  </si>
  <si>
    <t>2202</t>
  </si>
  <si>
    <t>[资产/负债类别]为“2202 小微企业信贷资产流转和收益权转让”时</t>
  </si>
  <si>
    <t>当“是否有浮动因子”选择“是”时</t>
  </si>
  <si>
    <t>当“是否有浮动因子”为“否”或为空时</t>
  </si>
  <si>
    <t>03,06,08,10,15,19,16</t>
  </si>
  <si>
    <t>当资产负债类别不为债券，同业存单，理财直融工具，权益类资产，QDII债券资产，QDII股票/基金类资产，公募基金/私募基金,委外投资时</t>
  </si>
  <si>
    <t>01,04,05,12,16,14</t>
  </si>
  <si>
    <t>当资产负债类别不为现金及银行存款时</t>
  </si>
  <si>
    <t>03,04,07,08,10,12,13,18,15,19,16,17,14,06</t>
  </si>
  <si>
    <t>当资产负债类别不为债券、理财直融工具、同业存单,新增可投资资产以及非标准化债权类资产,金融衍生品,股票/基金,商品类资产,委外资产,资管计划,权益类资产,另类资产,其他负债,其他时</t>
  </si>
  <si>
    <t>1299,1399,1599,2299,1002,1003,1004,1005,1901,1902,1107,1108,1202,1203,1204,1205,1206,1207,1208,1209,2201,2202,1201,1210,1501,1503,2301,2302,2303,2304,2305,1603,1504,1506</t>
  </si>
  <si>
    <t>当资产负债类别不为现金及银行存款/拆放同业及买入返售/同业拆入及卖出回购/新增可投资资产以及非标准化债权类资产/非标准化债权类投资/QDII债券类资产/QDII结构性票据/另类资产/其他/QDII拆出/逆回购时</t>
  </si>
  <si>
    <t>是否有预期收益率为是时</t>
  </si>
  <si>
    <t>01,02,04,05,08,09,11,13,18,17,14</t>
  </si>
  <si>
    <t>当资产/负债类别不为现金及银行存款/拆放同业及买入返售/同业拆入及卖出回购/新增可投资资产以及非标准化债权类资产/非标准化债权类投资/QDII债券类资产/QDII结构性票据/另类资产/其他/QDII拆出/逆回购时</t>
  </si>
  <si>
    <t>1202,1203,1204,1205,1206,1207,1208,1209,2201,2202,1501,1503,1299,1399,1599,2299</t>
  </si>
  <si>
    <t>当资产/负债类别不是新增可投资资产以及非标准化债权类资产或不是QDII债券类资产/QDII结构性票据/其他时</t>
  </si>
  <si>
    <t>1112,1113,1114,1115,1116,1117</t>
  </si>
  <si>
    <t>当资产/负债类别为债券类资产时</t>
  </si>
  <si>
    <t>当资产/负债类别不为债劵时</t>
  </si>
  <si>
    <t>1101,1110,1109,1102,1111,1112,1113,1114,1115,1116,1117,2101,2501,2502,1501</t>
  </si>
  <si>
    <t>当资产负债类别不为债劵或QDII债券资产时</t>
  </si>
  <si>
    <t>1901,1902,1107,1108,1504,1506</t>
  </si>
  <si>
    <t>当资产负债类别不为拆放同业及买入返售/同业拆入及卖出回购/QDII拆出/逆回购时</t>
  </si>
  <si>
    <t>W84807E5-DF38-D920-E050-507F112078FJ</t>
  </si>
  <si>
    <t>W84807E5-DF38-D920-E050-507F112079FJ</t>
  </si>
  <si>
    <t>W84807E5-DF38-D920-E050-507F112080FJ</t>
  </si>
  <si>
    <t>W84807E5-DF38-D920-E050-507F112081FJ</t>
  </si>
  <si>
    <t>W84807E5-DF38-D920-E050-507F112082FJ</t>
  </si>
  <si>
    <t>W84807E5-DF38-D920-E050-507F112083FJ</t>
  </si>
  <si>
    <t>WH3E4A49-6810-5A9E-E050-007F01006A15</t>
  </si>
  <si>
    <t>WH3E4A49-6810-5A9E-E050-007F01006A16</t>
  </si>
  <si>
    <t>WH3E4A49-6810-5A9E-E050-007F01006A17</t>
  </si>
  <si>
    <t>WH3E4A49-6810-5A9E-E050-007F01006A18</t>
  </si>
  <si>
    <t>WH3E4A49-6810-5A9E-E050-007F01006A19</t>
  </si>
  <si>
    <t>WH3E4A49-6810-5A9E-E050-007F01006A21</t>
  </si>
  <si>
    <t>W13E4A49-6810-5A9E-E050-107F01006A59</t>
  </si>
  <si>
    <t>W13E4A49-6810-5A9E-E050-007F01006A21</t>
  </si>
  <si>
    <t>W13E4A49-6810-5A9E-E050-007F01006A56</t>
  </si>
  <si>
    <t>WH3E4A49-6810-5A9E-E050-007F01006A49</t>
  </si>
  <si>
    <t>W23E4A49-6810-5A9E-E050-007F01006A68</t>
  </si>
  <si>
    <t>资产/负债类别为：2617 其他私募股权投资基金时</t>
  </si>
  <si>
    <t>W84807E5-DF38-D920-E050-107F112077FJ</t>
  </si>
  <si>
    <t>WH3E4A49-6810-5A9E-E050-007F01006A14</t>
  </si>
  <si>
    <t>W13E4A49-6810-5A9E-E050-007F01006A15</t>
  </si>
  <si>
    <t>WH3E4A49-6810-5A9E-E050-007F01006A20</t>
  </si>
  <si>
    <t>WH3E4A49-6810-5A9E-E050-007F01006A22</t>
  </si>
  <si>
    <t>WY3E4A49-6810-5A9E-E050-007F01006A49</t>
  </si>
  <si>
    <t>WZ3E4A49-6810-5A9E-E050-007F01006A49</t>
  </si>
  <si>
    <t>W43E4A49-6810-5A9E-E050-007F01006A68</t>
  </si>
  <si>
    <t>WG3E4A49-6810-5A9E-E050-007F01006A49</t>
  </si>
  <si>
    <t>W53E4A49-6810-5A9E-E050-007F01006A68</t>
  </si>
  <si>
    <t>W84807E5-DF38-D920-E050-507F112077FJ</t>
  </si>
  <si>
    <t>W84807E5-DF58-D920-E050-507F010077FD</t>
  </si>
  <si>
    <t>WH4807E5-DF81-D920-E050-007F010077FD</t>
  </si>
  <si>
    <t>WH4807E5-DF80-D920-E050-007F010077FD</t>
  </si>
  <si>
    <t xml:space="preserve">WHDFD6FB33084CF1E0536D5C010AD0CE    </t>
  </si>
  <si>
    <t>[资产/负债类别]为“1203 委托贷款”时</t>
  </si>
  <si>
    <t>[资产/负债类别]为“1204 信贷资产转让”时</t>
  </si>
  <si>
    <t>WH4807E5-EF96-D920-E050-007F010077FD</t>
  </si>
  <si>
    <t>WH3E4A49-6810-5A9E-E050-007F01006A23</t>
  </si>
  <si>
    <t>WH3E4A49-6810-5A9E-E050-007F01006A24</t>
  </si>
  <si>
    <t>WH3E4A49-6810-5A9E-E050-007F01006A25</t>
  </si>
  <si>
    <t>WH3E4A49-6810-5A9E-E050-007F01006A26</t>
  </si>
  <si>
    <t>WH3E4A49-6810-5A9E-E050-007F01006A27</t>
  </si>
  <si>
    <t>WH3E4A49-6810-5A9E-E050-007F01006A28</t>
  </si>
  <si>
    <t>WH3E4A49-6810-5A9E-E050-007F01006A29</t>
  </si>
  <si>
    <t>WH3E4A49-6810-5A9E-E050-007F01006A34</t>
  </si>
  <si>
    <t>WH3E4A49-6810-5A9E-E050-007F01006A42</t>
  </si>
  <si>
    <t>WH3E4A49-6810-5A9E-E050-007F01006A43</t>
  </si>
  <si>
    <t>WH3E4A49-6810-5A9E-E050-007F01006A44</t>
  </si>
  <si>
    <t>WH3E4A49-6810-5A9E-E050-007F01006A45</t>
  </si>
  <si>
    <t>WH3E4A49-6810-5A9E-E050-007F01006A46</t>
  </si>
  <si>
    <t>WH3E4A49-6810-5A9E-E050-007F01006A47</t>
  </si>
  <si>
    <t>WH3E4A49-6810-5A9E-E050-007F01006A50</t>
  </si>
  <si>
    <t>WH3E4A49-6810-5A9E-E050-007F01006A51</t>
  </si>
  <si>
    <t>WH3E4A49-6810-5A9E-E050-007F01006A52</t>
  </si>
  <si>
    <t>WH3E4A49-6810-5A9E-E050-007F01006A54</t>
  </si>
  <si>
    <t>WH3E4A49-6810-5A9E-E050-007F01006A55</t>
  </si>
  <si>
    <t>WH3E4A49-6810-5A9E-E050-007F01006A56</t>
  </si>
  <si>
    <t>WH3E4A49-6810-5A9E-E050-007F01006A57</t>
  </si>
  <si>
    <t>WH3E4A49-6810-5A9E-E050-007F01006A58</t>
  </si>
  <si>
    <t>WH3E4A49-6810-5A9E-E050-007F01006A59</t>
  </si>
  <si>
    <t>WH3E4A49-6810-5A9E-E050-007F01006A69</t>
  </si>
  <si>
    <t>WH3E4A49-6810-5A9E-E050-007F01006A97</t>
  </si>
  <si>
    <t>WH4807E5-DF45-D920-E050-007F010077FD</t>
  </si>
  <si>
    <t>WH4807E5-DF43-D920-E050-007F010077FD</t>
  </si>
  <si>
    <t>201</t>
  </si>
  <si>
    <t>257</t>
  </si>
  <si>
    <t>21</t>
  </si>
  <si>
    <t>W21E4A49-6810-5A9E-E050-007F01006A22</t>
  </si>
  <si>
    <t>11</t>
  </si>
  <si>
    <t>100</t>
  </si>
  <si>
    <t>301</t>
  </si>
  <si>
    <t>41</t>
  </si>
  <si>
    <t>基金公司名称过长。</t>
  </si>
  <si>
    <t>401</t>
  </si>
  <si>
    <t>61</t>
  </si>
  <si>
    <t>33</t>
  </si>
  <si>
    <t>05</t>
  </si>
  <si>
    <t>WH4807E5-DF1C-D920-E050-007F010177FD</t>
  </si>
  <si>
    <t>WH4807E5-DFAE-D920-E050-007F010077FD</t>
  </si>
  <si>
    <t>当资产/负债类别不为非标准化债权类资产时</t>
  </si>
  <si>
    <t>[资产/负债类别]为“2201 信贷资产收益权转让”时</t>
  </si>
  <si>
    <t>W84807E5-DF38-D920-E050-607F112083FJ</t>
  </si>
  <si>
    <t>W23E4A49-6810-5A9E-E050-207F01006A18</t>
  </si>
  <si>
    <t>W84807E5-DF38-D920-E050-607F112082FJ</t>
  </si>
  <si>
    <t>1302,1305</t>
  </si>
  <si>
    <t>[资产/负债类别]不为“1301 股权”时</t>
  </si>
  <si>
    <t>利差（BP）以百分数形式表示时必须为n（8,5）格式</t>
  </si>
  <si>
    <t>委托投资金额要素不可为空</t>
  </si>
  <si>
    <t>CHB_OUTSOURCE_INVEST_PROPERTY</t>
  </si>
  <si>
    <t>委托投资金额必须大于等于0</t>
  </si>
  <si>
    <t>委托投资金额必须为n（15,2）格式。</t>
  </si>
  <si>
    <t>SVR_REGIST_ORG3</t>
  </si>
  <si>
    <t>2610,2611,2612,2613</t>
  </si>
  <si>
    <t>当资产/负债类别为“并购基金[2610]”、“房地产基金[2611]”、“基础设施基金[2612]”和“创业投资基金[2613]”时</t>
  </si>
  <si>
    <t>资管计划属性选择“99 其他”场合</t>
  </si>
  <si>
    <t>1299,1599,2299</t>
  </si>
  <si>
    <t>BLN_AREA</t>
    <phoneticPr fontId="4" type="noConversion"/>
  </si>
  <si>
    <t>PRIVATEPRD_FLAG</t>
    <phoneticPr fontId="4" type="noConversion"/>
  </si>
  <si>
    <t>PRIVATEFUND_FLAG</t>
    <phoneticPr fontId="4" type="noConversion"/>
  </si>
  <si>
    <t>SVR_YES_OR_NO</t>
    <phoneticPr fontId="4" type="noConversion"/>
  </si>
  <si>
    <t>SVR_YES_OR_NO</t>
    <phoneticPr fontId="4" type="noConversion"/>
  </si>
  <si>
    <t>BLN_AREA</t>
    <phoneticPr fontId="4" type="noConversion"/>
  </si>
  <si>
    <t>标的类别不在值域范围内并且标的类别的多选选项不可重复。</t>
    <phoneticPr fontId="4" type="noConversion"/>
  </si>
  <si>
    <t>境内外不在值域范围内</t>
    <phoneticPr fontId="4" type="noConversion"/>
  </si>
  <si>
    <t>是否投向金融资产投资公司发行的私募资产管理产品不在值域范围内</t>
    <phoneticPr fontId="4" type="noConversion"/>
  </si>
  <si>
    <t>是否投向金融资产投资公司或其附属机构发行的私募股权投资基金不在值域范围内</t>
    <phoneticPr fontId="4" type="noConversion"/>
  </si>
  <si>
    <t>We294A49-6813-5A9E-E050-107F01006B25</t>
  </si>
  <si>
    <t>We294A49-6813-5A9E-E050-107F01006B26</t>
  </si>
  <si>
    <t>We294A49-6813-5A9E-E050-107F01006B24</t>
    <phoneticPr fontId="4" type="noConversion"/>
  </si>
  <si>
    <t>CHB_ASSET_INFO</t>
    <phoneticPr fontId="4" type="noConversion"/>
  </si>
  <si>
    <t>D</t>
    <phoneticPr fontId="4" type="noConversion"/>
  </si>
  <si>
    <t>W84827E5-DF35-D920-E050-007F010077JC</t>
    <phoneticPr fontId="4" type="noConversion"/>
  </si>
  <si>
    <t>D</t>
    <phoneticPr fontId="4" type="noConversion"/>
  </si>
  <si>
    <t>D</t>
    <phoneticPr fontId="4" type="noConversion"/>
  </si>
  <si>
    <t>W84827E5-DF35-D920-E050-007F010077JD</t>
    <phoneticPr fontId="4" type="noConversion"/>
  </si>
  <si>
    <t>D</t>
    <phoneticPr fontId="4" type="noConversion"/>
  </si>
  <si>
    <t>W84807E5-EF00-D033-E050-007F010077FD</t>
    <phoneticPr fontId="4" type="noConversion"/>
  </si>
  <si>
    <t>W84807E5-EF00-D032-E050-007F010077FD</t>
    <phoneticPr fontId="4" type="noConversion"/>
  </si>
  <si>
    <t>W84807E5-EF00-D033-E050-007F010077FD</t>
    <phoneticPr fontId="4" type="noConversion"/>
  </si>
  <si>
    <t>W84807E5-EF00-D072-E050-007F010077FD</t>
    <phoneticPr fontId="4" type="noConversion"/>
  </si>
  <si>
    <t>D</t>
    <phoneticPr fontId="4" type="noConversion"/>
  </si>
  <si>
    <t>D</t>
    <phoneticPr fontId="4" type="noConversion"/>
  </si>
  <si>
    <t>W84807E5-EF00-D025-E050-007F010077FD</t>
    <phoneticPr fontId="4" type="noConversion"/>
  </si>
  <si>
    <t>D</t>
    <phoneticPr fontId="4" type="noConversion"/>
  </si>
  <si>
    <t>W84807E5-EF00-D029-E050-007F010077FD</t>
    <phoneticPr fontId="4" type="noConversion"/>
  </si>
  <si>
    <t>D</t>
    <phoneticPr fontId="4" type="noConversion"/>
  </si>
  <si>
    <t>W23E4A49-6810-5A9E-E050-107F01006A49</t>
    <phoneticPr fontId="4" type="noConversion"/>
  </si>
  <si>
    <t>W23E4A49-6810-5A9E-E050-107F01006A55</t>
    <phoneticPr fontId="4" type="noConversion"/>
  </si>
  <si>
    <t>W23E4A49-6810-5A9E-E050-107F01006A64</t>
    <phoneticPr fontId="4" type="noConversion"/>
  </si>
  <si>
    <t>W23E4A49-6810-5A9E-E050-107F01006A72</t>
    <phoneticPr fontId="4" type="noConversion"/>
  </si>
  <si>
    <t>W43E4A49-6810-5A9E-E050-107F01006A27</t>
    <phoneticPr fontId="4" type="noConversion"/>
  </si>
  <si>
    <t>W84807E5-DF34-D920-E050-107F010077FD</t>
    <phoneticPr fontId="4" type="noConversion"/>
  </si>
  <si>
    <t>W23E4A49-6810-5A9E-E050-007F01006A22</t>
    <phoneticPr fontId="4" type="noConversion"/>
  </si>
  <si>
    <t>03</t>
    <phoneticPr fontId="4" type="noConversion"/>
  </si>
  <si>
    <t>当资产/负债类别为债券类资产时</t>
    <phoneticPr fontId="4" type="noConversion"/>
  </si>
  <si>
    <t>GUA_TYPE</t>
    <phoneticPr fontId="4" type="noConversion"/>
  </si>
  <si>
    <t>W84807E5-EF00-D004-E050-007F010077FD</t>
    <phoneticPr fontId="4" type="noConversion"/>
  </si>
  <si>
    <t>W84807E5-EF00-D153-E050-007F010077FD</t>
    <phoneticPr fontId="4" type="noConversion"/>
  </si>
  <si>
    <t>W84807E5-EF98-D920-E050-007F010077FD</t>
    <phoneticPr fontId="4" type="noConversion"/>
  </si>
  <si>
    <t>inArray</t>
    <phoneticPr fontId="4" type="noConversion"/>
  </si>
  <si>
    <t>W84807E5-EF00-D009-E050-007F010077FD</t>
    <phoneticPr fontId="4" type="noConversion"/>
  </si>
  <si>
    <t>W84807E5-EF00-D163-E050-007F010077FD</t>
    <phoneticPr fontId="4" type="noConversion"/>
  </si>
  <si>
    <t>W84807E5-EF00-D015-E050-007F010077FD</t>
    <phoneticPr fontId="4" type="noConversion"/>
  </si>
  <si>
    <t>W84807E5-EF00-D168-E050-007F010077FD</t>
    <phoneticPr fontId="4" type="noConversion"/>
  </si>
  <si>
    <t>W84817E5-DF81-D920-E050-007F010077FD</t>
    <phoneticPr fontId="4" type="noConversion"/>
  </si>
  <si>
    <t>W84827E5-DF35-D920-E050-007F010077FD</t>
    <phoneticPr fontId="4" type="noConversion"/>
  </si>
  <si>
    <t>W84807E5-DF82-D920-E050-007FD10077FD</t>
    <phoneticPr fontId="4" type="noConversion"/>
  </si>
  <si>
    <t>W84807E5-DF82-D920-E050-007F010077FD</t>
    <phoneticPr fontId="4" type="noConversion"/>
  </si>
  <si>
    <t>W84807E5-DF83-D920-E050-A17F010077FD</t>
    <phoneticPr fontId="4" type="noConversion"/>
  </si>
  <si>
    <t>W84807E5-DF87-D920-EE51-107F010077FD</t>
    <phoneticPr fontId="4" type="noConversion"/>
  </si>
  <si>
    <t>2801,2802,2803,2804,2805,2806,2899</t>
    <phoneticPr fontId="4" type="noConversion"/>
  </si>
  <si>
    <t>W84807E5-DFB5-D920-E050-007F010077FD</t>
    <phoneticPr fontId="4" type="noConversion"/>
  </si>
  <si>
    <t>1201,1210</t>
    <phoneticPr fontId="4" type="noConversion"/>
  </si>
  <si>
    <t>当资产/负债类别为票据类/信用证资产时</t>
    <phoneticPr fontId="4" type="noConversion"/>
  </si>
  <si>
    <t>W84827E5-DF35-D920-E050-007F010077KE</t>
    <phoneticPr fontId="4" type="noConversion"/>
  </si>
  <si>
    <t>W84807E5-DF2C-D920-E050-007F010077FD</t>
    <phoneticPr fontId="4" type="noConversion"/>
  </si>
  <si>
    <t>INDUSTRY</t>
    <phoneticPr fontId="4" type="noConversion"/>
  </si>
  <si>
    <t>INSTITUTION_INDUSTRY_FIRST_LEVEL</t>
    <phoneticPr fontId="4" type="noConversion"/>
  </si>
  <si>
    <t>发行机构所属行业一级分类要素不可为空，且必须在值域范围内。</t>
    <phoneticPr fontId="4" type="noConversion"/>
  </si>
  <si>
    <t>We294A49-6813-5A9E-E050-107F01006B27</t>
  </si>
  <si>
    <t>We294A49-6813-5A9E-E050-107F01006B28</t>
  </si>
  <si>
    <t>W33E4A49-6810-5A9E-E050-007F01006A76</t>
    <phoneticPr fontId="4" type="noConversion"/>
  </si>
  <si>
    <t>We294A49-6813-5A9E-E050-107F01006B27</t>
    <phoneticPr fontId="4" type="noConversion"/>
  </si>
  <si>
    <t>INDUSTRY_SHARES</t>
    <phoneticPr fontId="4" type="noConversion"/>
  </si>
  <si>
    <t>We294A49-6813-5A9E-E050-107F01006B29</t>
  </si>
  <si>
    <t>We294A49-6813-5A9E-E050-107F01006B30</t>
  </si>
  <si>
    <t>We294A49-6813-5A9E-E050-107F01006B31</t>
  </si>
  <si>
    <t>We294A49-6813-5A9E-E050-107F01006B32</t>
  </si>
  <si>
    <t>We294A49-6813-5A9E-E050-107F01006B33</t>
  </si>
  <si>
    <t>We294A49-6813-5A9E-E050-107F01006B34</t>
  </si>
  <si>
    <t>We294A49-6813-5A9E-E050-107F01006B35</t>
  </si>
  <si>
    <t>We294A49-6813-5A9E-E050-107F01006B36</t>
  </si>
  <si>
    <t>We294A49-6813-5A9E-E050-107F01006B37</t>
  </si>
  <si>
    <t>We294A49-6813-5A9E-E050-107F01006B38</t>
  </si>
  <si>
    <t>We294A49-6813-5A9E-E050-107F01006B39</t>
  </si>
  <si>
    <t>We294A49-6813-5A9E-E050-107F01006B40</t>
  </si>
  <si>
    <t>PRO_INDUSTRY</t>
    <phoneticPr fontId="4" type="noConversion"/>
  </si>
  <si>
    <t>PRO_INDUSTRY</t>
    <phoneticPr fontId="4" type="noConversion"/>
  </si>
  <si>
    <t>行业一级分类不在值域范围内。</t>
    <phoneticPr fontId="4" type="noConversion"/>
  </si>
  <si>
    <t>行业一级分类要素不可为空。</t>
    <phoneticPr fontId="4" type="noConversion"/>
  </si>
  <si>
    <t>融资项目所属行业一级分类要素不可为空。</t>
    <phoneticPr fontId="4" type="noConversion"/>
  </si>
  <si>
    <t>融资项目所属行业一级分类不在值域范围内。</t>
    <phoneticPr fontId="4" type="noConversion"/>
  </si>
  <si>
    <t>INDUSTRY1</t>
    <phoneticPr fontId="4" type="noConversion"/>
  </si>
  <si>
    <t>融资人所属行业一级分类不在值域范围内。</t>
    <phoneticPr fontId="4" type="noConversion"/>
  </si>
  <si>
    <t>融资人所属行业一级分类要素不可为空。</t>
    <phoneticPr fontId="4" type="noConversion"/>
  </si>
  <si>
    <t>We294A49-6813-5A9E-E050-107F01006B41</t>
  </si>
  <si>
    <t>We294A49-6813-5A9E-E050-107F01006B42</t>
  </si>
  <si>
    <t>We294A49-6813-5A9E-E050-107F01006B43</t>
  </si>
  <si>
    <t>We294A49-6813-5A9E-E050-107F01006B44</t>
  </si>
  <si>
    <t>We294A49-6813-5A9E-E050-107F01006B29</t>
    <phoneticPr fontId="4" type="noConversion"/>
  </si>
  <si>
    <t>CAP_USE_INDU</t>
    <phoneticPr fontId="4" type="noConversion"/>
  </si>
  <si>
    <t>CAP_USE_INDU_LEVEL2</t>
    <phoneticPr fontId="4" type="noConversion"/>
  </si>
  <si>
    <t>We294A49-6813-5A9E-E050-107F01006B45</t>
  </si>
  <si>
    <t>We294A49-6813-5A9E-E050-107F01006B46</t>
  </si>
  <si>
    <t>We294A49-6813-5A9E-E050-107F01006B47</t>
  </si>
  <si>
    <t>资金运用行业一级分类要素不可为空。</t>
    <phoneticPr fontId="4" type="noConversion"/>
  </si>
  <si>
    <t>资金运用行业一级分类不在值域范围内。</t>
    <phoneticPr fontId="4" type="noConversion"/>
  </si>
  <si>
    <t>W84807E5-EF00-D169-E050-007F010077FD</t>
    <phoneticPr fontId="4" type="noConversion"/>
  </si>
  <si>
    <t>W84807E5-EF00-D169-E050-007F010077FD</t>
    <phoneticPr fontId="4" type="noConversion"/>
  </si>
  <si>
    <t>W84807E5-EF00-D169-E050-007F010077FD</t>
    <phoneticPr fontId="4" type="noConversion"/>
  </si>
  <si>
    <t>We294A49-6813-5A9E-E050-107F01006B48</t>
  </si>
  <si>
    <t>We294A49-6813-5A9E-E050-107F01006B49</t>
    <phoneticPr fontId="4" type="noConversion"/>
  </si>
  <si>
    <t>1399,1599,2299</t>
    <phoneticPr fontId="4" type="noConversion"/>
  </si>
  <si>
    <t>当资产/负债类别为1299其他非标准化债权类投资时</t>
    <phoneticPr fontId="4" type="noConversion"/>
  </si>
  <si>
    <t>W84807E5-EF00-D170-E050-007F010077FD</t>
    <phoneticPr fontId="4" type="noConversion"/>
  </si>
  <si>
    <t>当资产/负债类别为“其他权益类投资”或“其他新增可投资资产”或“其他代客境外理财投资QDII”时</t>
    <phoneticPr fontId="4" type="noConversion"/>
  </si>
  <si>
    <t>IN_ASSET_TYPE_CMM</t>
    <phoneticPr fontId="4" type="noConversion"/>
  </si>
  <si>
    <t>行内资产类别说明要素必须为空。</t>
    <phoneticPr fontId="4" type="noConversion"/>
  </si>
  <si>
    <t>99</t>
    <phoneticPr fontId="4" type="noConversion"/>
  </si>
  <si>
    <t>1299,1399,1599,2299</t>
    <phoneticPr fontId="4" type="noConversion"/>
  </si>
  <si>
    <t>当资产/负债类别为各类资产的其他项时</t>
    <phoneticPr fontId="4" type="noConversion"/>
  </si>
  <si>
    <t>We294A49-6813-5A9E-E050-107F01006B48</t>
    <phoneticPr fontId="4" type="noConversion"/>
  </si>
  <si>
    <t>We294A49-6813-5A9E-E050-107F01006B50</t>
  </si>
  <si>
    <t>We294A49-6813-5A9E-E050-107F01006B51</t>
  </si>
  <si>
    <t>!=</t>
    <phoneticPr fontId="4" type="noConversion"/>
  </si>
  <si>
    <t>当行内资产类别不为其他时</t>
    <phoneticPr fontId="4" type="noConversion"/>
  </si>
  <si>
    <t>0</t>
    <phoneticPr fontId="4" type="noConversion"/>
  </si>
  <si>
    <t>“担保方式”不为空时</t>
    <phoneticPr fontId="4" type="noConversion"/>
  </si>
  <si>
    <t>1299</t>
    <phoneticPr fontId="4" type="noConversion"/>
  </si>
  <si>
    <t>当资产/负债类别为1299其他非标准化债权类投资时</t>
    <phoneticPr fontId="4" type="noConversion"/>
  </si>
  <si>
    <t>We294A49-6813-5A9E-E050-107F01006B52</t>
  </si>
  <si>
    <t>We294A49-6813-5A9E-E050-107F01006B53</t>
  </si>
  <si>
    <t>IN_ASSET_TYPE_CMM</t>
    <phoneticPr fontId="4" type="noConversion"/>
  </si>
  <si>
    <t>isNumber2</t>
    <phoneticPr fontId="4" type="noConversion"/>
  </si>
  <si>
    <t>isNumber2</t>
    <phoneticPr fontId="4" type="noConversion"/>
  </si>
  <si>
    <t>W84807E5-EF00-D170-E050-007F010077FD</t>
    <phoneticPr fontId="4" type="noConversion"/>
  </si>
  <si>
    <t>首次行权日期必须为日期格式（YYYY-MM-DD）。</t>
  </si>
  <si>
    <t>We294A49-6813-5A9E-E050-107F01006B50</t>
    <phoneticPr fontId="4" type="noConversion"/>
  </si>
  <si>
    <t>IS_FBZB</t>
    <phoneticPr fontId="4" type="noConversion"/>
  </si>
  <si>
    <t>SVR_YES_OR_NO</t>
    <phoneticPr fontId="4" type="noConversion"/>
  </si>
  <si>
    <t>Y</t>
    <phoneticPr fontId="4" type="noConversion"/>
  </si>
  <si>
    <t>融资人所属行业一级分类不在值域范围内。</t>
    <phoneticPr fontId="4" type="noConversion"/>
  </si>
  <si>
    <t>是否非标转标资产不在值域范围内。</t>
    <phoneticPr fontId="4" type="noConversion"/>
  </si>
  <si>
    <t>We294A49-6813-5A9E-E050-107F01006B52</t>
    <phoneticPr fontId="4" type="noConversion"/>
  </si>
  <si>
    <t>We294A49-6813-5A9E-E050-107F01006B54</t>
  </si>
  <si>
    <t>!=</t>
    <phoneticPr fontId="4" type="noConversion"/>
  </si>
  <si>
    <t>当不是非标准化债权类资产时</t>
    <phoneticPr fontId="4" type="noConversion"/>
  </si>
  <si>
    <t>BANK_SEC_ZXZQ</t>
    <phoneticPr fontId="4" type="noConversion"/>
  </si>
  <si>
    <t>BANK_SEC_ZXZQ</t>
    <phoneticPr fontId="4" type="noConversion"/>
  </si>
  <si>
    <t>是否专项债券不在值域范围内。</t>
    <phoneticPr fontId="4" type="noConversion"/>
  </si>
  <si>
    <t>是否非标转标资产必须为空。</t>
    <phoneticPr fontId="4" type="noConversion"/>
  </si>
  <si>
    <t>是否专项债券不可为空。</t>
    <phoneticPr fontId="4" type="noConversion"/>
  </si>
  <si>
    <t>N</t>
    <phoneticPr fontId="4" type="noConversion"/>
  </si>
  <si>
    <t>We294A49-6813-5A9E-E050-107F01006B55</t>
  </si>
  <si>
    <t>1110</t>
    <phoneticPr fontId="4" type="noConversion"/>
  </si>
  <si>
    <t>当资产/负债类别为地方政府债时</t>
    <phoneticPr fontId="4" type="noConversion"/>
  </si>
  <si>
    <t>IS_BZHPJ</t>
    <phoneticPr fontId="4" type="noConversion"/>
  </si>
  <si>
    <t>IS_BZHPJ</t>
    <phoneticPr fontId="4" type="noConversion"/>
  </si>
  <si>
    <t>是否标准化票据不在值域范围内。</t>
    <phoneticPr fontId="4" type="noConversion"/>
  </si>
  <si>
    <t>是否标准化票据不可为空。</t>
    <phoneticPr fontId="4" type="noConversion"/>
  </si>
  <si>
    <t>We294A49-6813-5A9E-E050-107F01006B56</t>
  </si>
  <si>
    <t>1201</t>
    <phoneticPr fontId="4" type="noConversion"/>
  </si>
  <si>
    <t>当资产/负债类别为1201 票据类时</t>
    <phoneticPr fontId="4" type="noConversion"/>
  </si>
  <si>
    <t>We294A49-6813-5A9E-E050-107F01006B51</t>
    <phoneticPr fontId="4" type="noConversion"/>
  </si>
  <si>
    <t>2101,1202,1203,1204,1205,1206,1207,1208,1209,2201,2202,1201,1210,2299,1299</t>
    <phoneticPr fontId="4" type="noConversion"/>
  </si>
  <si>
    <t>付息频率（个月/次）必须为n..2格式。</t>
    <phoneticPr fontId="4" type="noConversion"/>
  </si>
  <si>
    <t>W84827E5-DF35-D920-E050-007F010077JR</t>
    <phoneticPr fontId="4" type="noConversion"/>
  </si>
  <si>
    <t>W84827E5-DF35-D920-E050-007F010077JS</t>
    <phoneticPr fontId="4" type="noConversion"/>
  </si>
  <si>
    <t>W84827E5-DF35-D920-E050-007F010077JU</t>
    <phoneticPr fontId="4" type="noConversion"/>
  </si>
  <si>
    <t>W84827E5-DF35-D920-E050-007F010077JK</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</si>
</sst>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4"/>
      <color theme="1"/>
      <name val="黑体"/>
      <charset val="134"/>
    </font>
    <font>
      <sz val="10"/>
      <color theme="1"/>
      <name val="宋体"/>
      <family val="3"/>
      <charset val="134"/>
      <scheme val="minor"/>
    </font>
    <font>
      <sz val="14"/>
      <color theme="1"/>
      <name val="宋体"/>
      <family val="3"/>
      <charset val="134"/>
      <scheme val="minor"/>
    </font>
    <font>
      <b/>
      <sz val="10"/>
      <color theme="1"/>
      <name val="宋体"/>
      <family val="3"/>
      <charset val="134"/>
      <scheme val="minor"/>
    </font>
    <font>
      <sz val="9"/>
      <name val="黑体"/>
      <family val="3"/>
      <charset val="134"/>
    </font>
  </fonts>
  <fills count="7">
    <fill>
      <patternFill patternType="none"/>
    </fill>
    <fill>
      <patternFill patternType="gray125"/>
    </fill>
    <fill>
      <patternFill patternType="solid">
        <fgColor theme="9" tint="0.39994506668294322"/>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rgb="FF7030A0"/>
        <bgColor indexed="64"/>
      </patternFill>
    </fill>
  </fills>
  <borders count="1">
    <border>
      <left/>
      <right/>
      <top/>
      <bottom/>
      <diagonal/>
    </border>
  </borders>
  <cellStyleXfs count="1">
    <xf numFmtId="0" fontId="0" fillId="0" borderId="0">
      <alignment vertical="center"/>
    </xf>
  </cellStyleXfs>
  <cellXfs count="40">
    <xf numFmtId="0" fontId="0" fillId="0" borderId="0" xfId="0">
      <alignment vertical="center"/>
    </xf>
    <xf numFmtId="49" fontId="0" fillId="0" borderId="0" xfId="0" applyNumberFormat="1">
      <alignment vertical="center"/>
    </xf>
    <xf numFmtId="0" fontId="1" fillId="0" borderId="0" xfId="0" applyFont="1" applyFill="1" applyBorder="1" applyAlignment="1">
      <alignment vertical="center"/>
    </xf>
    <xf numFmtId="0" fontId="2" fillId="0" borderId="0" xfId="0" applyFont="1" applyAlignment="1"/>
    <xf numFmtId="49" fontId="2" fillId="0" borderId="0" xfId="0" applyNumberFormat="1" applyFont="1" applyAlignment="1"/>
    <xf numFmtId="0" fontId="1" fillId="2" borderId="0" xfId="0" applyFont="1" applyFill="1" applyBorder="1" applyAlignment="1">
      <alignment vertical="center" wrapText="1"/>
    </xf>
    <xf numFmtId="0" fontId="1" fillId="2" borderId="0" xfId="0" applyFont="1" applyFill="1" applyBorder="1" applyAlignment="1">
      <alignment vertical="center"/>
    </xf>
    <xf numFmtId="49" fontId="1" fillId="2" borderId="0" xfId="0" applyNumberFormat="1" applyFont="1" applyFill="1" applyBorder="1" applyAlignment="1">
      <alignment vertical="center"/>
    </xf>
    <xf numFmtId="0" fontId="1" fillId="2"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0" applyFont="1" applyAlignment="1"/>
    <xf numFmtId="0" fontId="1" fillId="0" borderId="0" xfId="0" applyFont="1" applyAlignment="1">
      <alignment vertical="center"/>
    </xf>
    <xf numFmtId="49" fontId="1" fillId="0" borderId="0" xfId="0" applyNumberFormat="1" applyFont="1" applyAlignment="1">
      <alignment vertical="center"/>
    </xf>
    <xf numFmtId="0" fontId="1" fillId="4" borderId="0" xfId="0" applyFont="1" applyFill="1" applyBorder="1" applyAlignment="1">
      <alignment vertical="center"/>
    </xf>
    <xf numFmtId="0" fontId="1" fillId="6" borderId="0" xfId="0" applyFont="1" applyFill="1" applyBorder="1" applyAlignment="1">
      <alignment vertical="center"/>
    </xf>
    <xf numFmtId="0" fontId="1" fillId="6" borderId="0" xfId="0" applyFont="1" applyFill="1" applyAlignment="1"/>
    <xf numFmtId="0" fontId="2" fillId="6" borderId="0" xfId="0" applyFont="1" applyFill="1" applyAlignment="1"/>
    <xf numFmtId="0" fontId="1" fillId="0" borderId="0" xfId="0" applyFont="1" applyBorder="1" applyAlignment="1">
      <alignment horizontal="center"/>
    </xf>
    <xf numFmtId="0" fontId="1" fillId="5" borderId="0" xfId="0" applyFont="1" applyFill="1" applyBorder="1" applyAlignment="1">
      <alignment horizontal="center"/>
    </xf>
    <xf numFmtId="0" fontId="1" fillId="5" borderId="0" xfId="0" applyFont="1" applyFill="1" applyBorder="1" applyAlignment="1">
      <alignment vertical="center"/>
    </xf>
    <xf numFmtId="0" fontId="2" fillId="5" borderId="0" xfId="0" applyFont="1" applyFill="1" applyAlignment="1"/>
    <xf numFmtId="49" fontId="1" fillId="0" borderId="0" xfId="0" applyNumberFormat="1" applyFont="1" applyFill="1">
      <alignment vertical="center"/>
    </xf>
    <xf numFmtId="0" fontId="1" fillId="0" borderId="0" xfId="0" applyFont="1" applyFill="1">
      <alignment vertical="center"/>
    </xf>
    <xf numFmtId="0" fontId="1" fillId="0" borderId="0" xfId="0" applyFont="1" applyFill="1" applyAlignment="1">
      <alignment vertical="center"/>
    </xf>
    <xf numFmtId="49" fontId="1" fillId="5" borderId="0" xfId="0" applyNumberFormat="1" applyFont="1" applyFill="1">
      <alignment vertical="center"/>
    </xf>
    <xf numFmtId="0" fontId="1" fillId="5" borderId="0" xfId="0" applyFont="1" applyFill="1" applyAlignment="1">
      <alignment vertical="center"/>
    </xf>
    <xf numFmtId="0" fontId="1" fillId="5" borderId="0" xfId="0" applyFont="1" applyFill="1">
      <alignment vertical="center"/>
    </xf>
    <xf numFmtId="0" fontId="1" fillId="5" borderId="0" xfId="0" applyFont="1" applyFill="1" applyAlignment="1"/>
    <xf numFmtId="0" fontId="1" fillId="0" borderId="0" xfId="0" applyFont="1" applyFill="1" applyAlignment="1"/>
    <xf numFmtId="0" fontId="1" fillId="0" borderId="0" xfId="0" applyFont="1" applyFill="1" applyBorder="1" applyAlignment="1">
      <alignment horizontal="center"/>
    </xf>
    <xf numFmtId="0" fontId="2" fillId="0" borderId="0" xfId="0" applyFont="1" applyFill="1" applyAlignment="1"/>
    <xf numFmtId="49" fontId="1" fillId="3" borderId="0" xfId="0" applyNumberFormat="1" applyFont="1" applyFill="1">
      <alignment vertical="center"/>
    </xf>
    <xf numFmtId="0" fontId="1" fillId="3" borderId="0" xfId="0" applyFont="1" applyFill="1" applyAlignment="1">
      <alignment vertical="center"/>
    </xf>
    <xf numFmtId="0" fontId="1" fillId="3" borderId="0" xfId="0" applyFont="1" applyFill="1">
      <alignment vertical="center"/>
    </xf>
    <xf numFmtId="0" fontId="1" fillId="3" borderId="0" xfId="0" applyFont="1" applyFill="1" applyBorder="1" applyAlignment="1">
      <alignment vertical="center"/>
    </xf>
    <xf numFmtId="0" fontId="1" fillId="3" borderId="0" xfId="0" applyFont="1" applyFill="1" applyAlignment="1"/>
    <xf numFmtId="0" fontId="2" fillId="3" borderId="0" xfId="0" applyFont="1" applyFill="1" applyAlignment="1"/>
    <xf numFmtId="49" fontId="1" fillId="0" borderId="0" xfId="0" applyNumberFormat="1" applyFont="1" applyFill="1" applyAlignment="1">
      <alignment vertical="center"/>
    </xf>
    <xf numFmtId="49" fontId="1" fillId="5" borderId="0" xfId="0" applyNumberFormat="1" applyFont="1" applyFill="1" applyAlignment="1">
      <alignment vertical="center"/>
    </xf>
    <xf numFmtId="0" fontId="3" fillId="3" borderId="0"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86"/>
  <sheetViews>
    <sheetView tabSelected="1" workbookViewId="0">
      <selection activeCell="B695" sqref="B695"/>
    </sheetView>
  </sheetViews>
  <sheetFormatPr defaultColWidth="7.19921875" defaultRowHeight="12" x14ac:dyDescent="0.15"/>
  <cols>
    <col min="1" max="1" width="7.19921875" style="10"/>
    <col min="2" max="2" width="27.8984375" style="11" bestFit="1" customWidth="1"/>
    <col min="3" max="3" width="17.5" style="11" customWidth="1"/>
    <col min="4" max="4" width="16.5" style="11" customWidth="1"/>
    <col min="5" max="5" width="18.59765625" style="11" customWidth="1"/>
    <col min="6" max="6" width="16.5" style="11" customWidth="1"/>
    <col min="7" max="7" width="7.19921875" style="11"/>
    <col min="8" max="8" width="31.3984375" style="12" customWidth="1"/>
    <col min="9" max="9" width="7.19921875" style="10"/>
    <col min="10" max="10" width="21.796875" style="10" customWidth="1"/>
    <col min="11" max="11" width="5.296875" style="10" customWidth="1"/>
    <col min="12" max="252" width="7.19921875" style="10"/>
    <col min="253" max="253" width="17.796875" style="10" customWidth="1"/>
    <col min="254" max="254" width="7.19921875" style="10"/>
    <col min="255" max="255" width="12.3984375" style="10" customWidth="1"/>
    <col min="256" max="256" width="9.5" style="10" customWidth="1"/>
    <col min="257" max="257" width="11.19921875" style="10" customWidth="1"/>
    <col min="258" max="508" width="7.19921875" style="10"/>
    <col min="509" max="509" width="17.796875" style="10" customWidth="1"/>
    <col min="510" max="510" width="7.19921875" style="10"/>
    <col min="511" max="511" width="12.3984375" style="10" customWidth="1"/>
    <col min="512" max="512" width="9.5" style="10" customWidth="1"/>
    <col min="513" max="513" width="11.19921875" style="10" customWidth="1"/>
    <col min="514" max="764" width="7.19921875" style="10"/>
    <col min="765" max="765" width="17.796875" style="10" customWidth="1"/>
    <col min="766" max="766" width="7.19921875" style="10"/>
    <col min="767" max="767" width="12.3984375" style="10" customWidth="1"/>
    <col min="768" max="768" width="9.5" style="10" customWidth="1"/>
    <col min="769" max="769" width="11.19921875" style="10" customWidth="1"/>
    <col min="770" max="1020" width="7.19921875" style="10"/>
    <col min="1021" max="1021" width="17.796875" style="10" customWidth="1"/>
    <col min="1022" max="1022" width="7.19921875" style="10"/>
    <col min="1023" max="1023" width="12.3984375" style="10" customWidth="1"/>
    <col min="1024" max="1024" width="9.5" style="10" customWidth="1"/>
    <col min="1025" max="1025" width="11.19921875" style="10" customWidth="1"/>
    <col min="1026" max="1276" width="7.19921875" style="10"/>
    <col min="1277" max="1277" width="17.796875" style="10" customWidth="1"/>
    <col min="1278" max="1278" width="7.19921875" style="10"/>
    <col min="1279" max="1279" width="12.3984375" style="10" customWidth="1"/>
    <col min="1280" max="1280" width="9.5" style="10" customWidth="1"/>
    <col min="1281" max="1281" width="11.19921875" style="10" customWidth="1"/>
    <col min="1282" max="1532" width="7.19921875" style="10"/>
    <col min="1533" max="1533" width="17.796875" style="10" customWidth="1"/>
    <col min="1534" max="1534" width="7.19921875" style="10"/>
    <col min="1535" max="1535" width="12.3984375" style="10" customWidth="1"/>
    <col min="1536" max="1536" width="9.5" style="10" customWidth="1"/>
    <col min="1537" max="1537" width="11.19921875" style="10" customWidth="1"/>
    <col min="1538" max="1788" width="7.19921875" style="10"/>
    <col min="1789" max="1789" width="17.796875" style="10" customWidth="1"/>
    <col min="1790" max="1790" width="7.19921875" style="10"/>
    <col min="1791" max="1791" width="12.3984375" style="10" customWidth="1"/>
    <col min="1792" max="1792" width="9.5" style="10" customWidth="1"/>
    <col min="1793" max="1793" width="11.19921875" style="10" customWidth="1"/>
    <col min="1794" max="2044" width="7.19921875" style="10"/>
    <col min="2045" max="2045" width="17.796875" style="10" customWidth="1"/>
    <col min="2046" max="2046" width="7.19921875" style="10"/>
    <col min="2047" max="2047" width="12.3984375" style="10" customWidth="1"/>
    <col min="2048" max="2048" width="9.5" style="10" customWidth="1"/>
    <col min="2049" max="2049" width="11.19921875" style="10" customWidth="1"/>
    <col min="2050" max="2300" width="7.19921875" style="10"/>
    <col min="2301" max="2301" width="17.796875" style="10" customWidth="1"/>
    <col min="2302" max="2302" width="7.19921875" style="10"/>
    <col min="2303" max="2303" width="12.3984375" style="10" customWidth="1"/>
    <col min="2304" max="2304" width="9.5" style="10" customWidth="1"/>
    <col min="2305" max="2305" width="11.19921875" style="10" customWidth="1"/>
    <col min="2306" max="2556" width="7.19921875" style="10"/>
    <col min="2557" max="2557" width="17.796875" style="10" customWidth="1"/>
    <col min="2558" max="2558" width="7.19921875" style="10"/>
    <col min="2559" max="2559" width="12.3984375" style="10" customWidth="1"/>
    <col min="2560" max="2560" width="9.5" style="10" customWidth="1"/>
    <col min="2561" max="2561" width="11.19921875" style="10" customWidth="1"/>
    <col min="2562" max="2812" width="7.19921875" style="10"/>
    <col min="2813" max="2813" width="17.796875" style="10" customWidth="1"/>
    <col min="2814" max="2814" width="7.19921875" style="10"/>
    <col min="2815" max="2815" width="12.3984375" style="10" customWidth="1"/>
    <col min="2816" max="2816" width="9.5" style="10" customWidth="1"/>
    <col min="2817" max="2817" width="11.19921875" style="10" customWidth="1"/>
    <col min="2818" max="3068" width="7.19921875" style="10"/>
    <col min="3069" max="3069" width="17.796875" style="10" customWidth="1"/>
    <col min="3070" max="3070" width="7.19921875" style="10"/>
    <col min="3071" max="3071" width="12.3984375" style="10" customWidth="1"/>
    <col min="3072" max="3072" width="9.5" style="10" customWidth="1"/>
    <col min="3073" max="3073" width="11.19921875" style="10" customWidth="1"/>
    <col min="3074" max="3324" width="7.19921875" style="10"/>
    <col min="3325" max="3325" width="17.796875" style="10" customWidth="1"/>
    <col min="3326" max="3326" width="7.19921875" style="10"/>
    <col min="3327" max="3327" width="12.3984375" style="10" customWidth="1"/>
    <col min="3328" max="3328" width="9.5" style="10" customWidth="1"/>
    <col min="3329" max="3329" width="11.19921875" style="10" customWidth="1"/>
    <col min="3330" max="3580" width="7.19921875" style="10"/>
    <col min="3581" max="3581" width="17.796875" style="10" customWidth="1"/>
    <col min="3582" max="3582" width="7.19921875" style="10"/>
    <col min="3583" max="3583" width="12.3984375" style="10" customWidth="1"/>
    <col min="3584" max="3584" width="9.5" style="10" customWidth="1"/>
    <col min="3585" max="3585" width="11.19921875" style="10" customWidth="1"/>
    <col min="3586" max="3836" width="7.19921875" style="10"/>
    <col min="3837" max="3837" width="17.796875" style="10" customWidth="1"/>
    <col min="3838" max="3838" width="7.19921875" style="10"/>
    <col min="3839" max="3839" width="12.3984375" style="10" customWidth="1"/>
    <col min="3840" max="3840" width="9.5" style="10" customWidth="1"/>
    <col min="3841" max="3841" width="11.19921875" style="10" customWidth="1"/>
    <col min="3842" max="4092" width="7.19921875" style="10"/>
    <col min="4093" max="4093" width="17.796875" style="10" customWidth="1"/>
    <col min="4094" max="4094" width="7.19921875" style="10"/>
    <col min="4095" max="4095" width="12.3984375" style="10" customWidth="1"/>
    <col min="4096" max="4096" width="9.5" style="10" customWidth="1"/>
    <col min="4097" max="4097" width="11.19921875" style="10" customWidth="1"/>
    <col min="4098" max="4348" width="7.19921875" style="10"/>
    <col min="4349" max="4349" width="17.796875" style="10" customWidth="1"/>
    <col min="4350" max="4350" width="7.19921875" style="10"/>
    <col min="4351" max="4351" width="12.3984375" style="10" customWidth="1"/>
    <col min="4352" max="4352" width="9.5" style="10" customWidth="1"/>
    <col min="4353" max="4353" width="11.19921875" style="10" customWidth="1"/>
    <col min="4354" max="4604" width="7.19921875" style="10"/>
    <col min="4605" max="4605" width="17.796875" style="10" customWidth="1"/>
    <col min="4606" max="4606" width="7.19921875" style="10"/>
    <col min="4607" max="4607" width="12.3984375" style="10" customWidth="1"/>
    <col min="4608" max="4608" width="9.5" style="10" customWidth="1"/>
    <col min="4609" max="4609" width="11.19921875" style="10" customWidth="1"/>
    <col min="4610" max="4860" width="7.19921875" style="10"/>
    <col min="4861" max="4861" width="17.796875" style="10" customWidth="1"/>
    <col min="4862" max="4862" width="7.19921875" style="10"/>
    <col min="4863" max="4863" width="12.3984375" style="10" customWidth="1"/>
    <col min="4864" max="4864" width="9.5" style="10" customWidth="1"/>
    <col min="4865" max="4865" width="11.19921875" style="10" customWidth="1"/>
    <col min="4866" max="5116" width="7.19921875" style="10"/>
    <col min="5117" max="5117" width="17.796875" style="10" customWidth="1"/>
    <col min="5118" max="5118" width="7.19921875" style="10"/>
    <col min="5119" max="5119" width="12.3984375" style="10" customWidth="1"/>
    <col min="5120" max="5120" width="9.5" style="10" customWidth="1"/>
    <col min="5121" max="5121" width="11.19921875" style="10" customWidth="1"/>
    <col min="5122" max="5372" width="7.19921875" style="10"/>
    <col min="5373" max="5373" width="17.796875" style="10" customWidth="1"/>
    <col min="5374" max="5374" width="7.19921875" style="10"/>
    <col min="5375" max="5375" width="12.3984375" style="10" customWidth="1"/>
    <col min="5376" max="5376" width="9.5" style="10" customWidth="1"/>
    <col min="5377" max="5377" width="11.19921875" style="10" customWidth="1"/>
    <col min="5378" max="5628" width="7.19921875" style="10"/>
    <col min="5629" max="5629" width="17.796875" style="10" customWidth="1"/>
    <col min="5630" max="5630" width="7.19921875" style="10"/>
    <col min="5631" max="5631" width="12.3984375" style="10" customWidth="1"/>
    <col min="5632" max="5632" width="9.5" style="10" customWidth="1"/>
    <col min="5633" max="5633" width="11.19921875" style="10" customWidth="1"/>
    <col min="5634" max="5884" width="7.19921875" style="10"/>
    <col min="5885" max="5885" width="17.796875" style="10" customWidth="1"/>
    <col min="5886" max="5886" width="7.19921875" style="10"/>
    <col min="5887" max="5887" width="12.3984375" style="10" customWidth="1"/>
    <col min="5888" max="5888" width="9.5" style="10" customWidth="1"/>
    <col min="5889" max="5889" width="11.19921875" style="10" customWidth="1"/>
    <col min="5890" max="6140" width="7.19921875" style="10"/>
    <col min="6141" max="6141" width="17.796875" style="10" customWidth="1"/>
    <col min="6142" max="6142" width="7.19921875" style="10"/>
    <col min="6143" max="6143" width="12.3984375" style="10" customWidth="1"/>
    <col min="6144" max="6144" width="9.5" style="10" customWidth="1"/>
    <col min="6145" max="6145" width="11.19921875" style="10" customWidth="1"/>
    <col min="6146" max="6396" width="7.19921875" style="10"/>
    <col min="6397" max="6397" width="17.796875" style="10" customWidth="1"/>
    <col min="6398" max="6398" width="7.19921875" style="10"/>
    <col min="6399" max="6399" width="12.3984375" style="10" customWidth="1"/>
    <col min="6400" max="6400" width="9.5" style="10" customWidth="1"/>
    <col min="6401" max="6401" width="11.19921875" style="10" customWidth="1"/>
    <col min="6402" max="6652" width="7.19921875" style="10"/>
    <col min="6653" max="6653" width="17.796875" style="10" customWidth="1"/>
    <col min="6654" max="6654" width="7.19921875" style="10"/>
    <col min="6655" max="6655" width="12.3984375" style="10" customWidth="1"/>
    <col min="6656" max="6656" width="9.5" style="10" customWidth="1"/>
    <col min="6657" max="6657" width="11.19921875" style="10" customWidth="1"/>
    <col min="6658" max="6908" width="7.19921875" style="10"/>
    <col min="6909" max="6909" width="17.796875" style="10" customWidth="1"/>
    <col min="6910" max="6910" width="7.19921875" style="10"/>
    <col min="6911" max="6911" width="12.3984375" style="10" customWidth="1"/>
    <col min="6912" max="6912" width="9.5" style="10" customWidth="1"/>
    <col min="6913" max="6913" width="11.19921875" style="10" customWidth="1"/>
    <col min="6914" max="7164" width="7.19921875" style="10"/>
    <col min="7165" max="7165" width="17.796875" style="10" customWidth="1"/>
    <col min="7166" max="7166" width="7.19921875" style="10"/>
    <col min="7167" max="7167" width="12.3984375" style="10" customWidth="1"/>
    <col min="7168" max="7168" width="9.5" style="10" customWidth="1"/>
    <col min="7169" max="7169" width="11.19921875" style="10" customWidth="1"/>
    <col min="7170" max="7420" width="7.19921875" style="10"/>
    <col min="7421" max="7421" width="17.796875" style="10" customWidth="1"/>
    <col min="7422" max="7422" width="7.19921875" style="10"/>
    <col min="7423" max="7423" width="12.3984375" style="10" customWidth="1"/>
    <col min="7424" max="7424" width="9.5" style="10" customWidth="1"/>
    <col min="7425" max="7425" width="11.19921875" style="10" customWidth="1"/>
    <col min="7426" max="7676" width="7.19921875" style="10"/>
    <col min="7677" max="7677" width="17.796875" style="10" customWidth="1"/>
    <col min="7678" max="7678" width="7.19921875" style="10"/>
    <col min="7679" max="7679" width="12.3984375" style="10" customWidth="1"/>
    <col min="7680" max="7680" width="9.5" style="10" customWidth="1"/>
    <col min="7681" max="7681" width="11.19921875" style="10" customWidth="1"/>
    <col min="7682" max="7932" width="7.19921875" style="10"/>
    <col min="7933" max="7933" width="17.796875" style="10" customWidth="1"/>
    <col min="7934" max="7934" width="7.19921875" style="10"/>
    <col min="7935" max="7935" width="12.3984375" style="10" customWidth="1"/>
    <col min="7936" max="7936" width="9.5" style="10" customWidth="1"/>
    <col min="7937" max="7937" width="11.19921875" style="10" customWidth="1"/>
    <col min="7938" max="8188" width="7.19921875" style="10"/>
    <col min="8189" max="8189" width="17.796875" style="10" customWidth="1"/>
    <col min="8190" max="8190" width="7.19921875" style="10"/>
    <col min="8191" max="8191" width="12.3984375" style="10" customWidth="1"/>
    <col min="8192" max="8192" width="9.5" style="10" customWidth="1"/>
    <col min="8193" max="8193" width="11.19921875" style="10" customWidth="1"/>
    <col min="8194" max="8444" width="7.19921875" style="10"/>
    <col min="8445" max="8445" width="17.796875" style="10" customWidth="1"/>
    <col min="8446" max="8446" width="7.19921875" style="10"/>
    <col min="8447" max="8447" width="12.3984375" style="10" customWidth="1"/>
    <col min="8448" max="8448" width="9.5" style="10" customWidth="1"/>
    <col min="8449" max="8449" width="11.19921875" style="10" customWidth="1"/>
    <col min="8450" max="8700" width="7.19921875" style="10"/>
    <col min="8701" max="8701" width="17.796875" style="10" customWidth="1"/>
    <col min="8702" max="8702" width="7.19921875" style="10"/>
    <col min="8703" max="8703" width="12.3984375" style="10" customWidth="1"/>
    <col min="8704" max="8704" width="9.5" style="10" customWidth="1"/>
    <col min="8705" max="8705" width="11.19921875" style="10" customWidth="1"/>
    <col min="8706" max="8956" width="7.19921875" style="10"/>
    <col min="8957" max="8957" width="17.796875" style="10" customWidth="1"/>
    <col min="8958" max="8958" width="7.19921875" style="10"/>
    <col min="8959" max="8959" width="12.3984375" style="10" customWidth="1"/>
    <col min="8960" max="8960" width="9.5" style="10" customWidth="1"/>
    <col min="8961" max="8961" width="11.19921875" style="10" customWidth="1"/>
    <col min="8962" max="9212" width="7.19921875" style="10"/>
    <col min="9213" max="9213" width="17.796875" style="10" customWidth="1"/>
    <col min="9214" max="9214" width="7.19921875" style="10"/>
    <col min="9215" max="9215" width="12.3984375" style="10" customWidth="1"/>
    <col min="9216" max="9216" width="9.5" style="10" customWidth="1"/>
    <col min="9217" max="9217" width="11.19921875" style="10" customWidth="1"/>
    <col min="9218" max="9468" width="7.19921875" style="10"/>
    <col min="9469" max="9469" width="17.796875" style="10" customWidth="1"/>
    <col min="9470" max="9470" width="7.19921875" style="10"/>
    <col min="9471" max="9471" width="12.3984375" style="10" customWidth="1"/>
    <col min="9472" max="9472" width="9.5" style="10" customWidth="1"/>
    <col min="9473" max="9473" width="11.19921875" style="10" customWidth="1"/>
    <col min="9474" max="9724" width="7.19921875" style="10"/>
    <col min="9725" max="9725" width="17.796875" style="10" customWidth="1"/>
    <col min="9726" max="9726" width="7.19921875" style="10"/>
    <col min="9727" max="9727" width="12.3984375" style="10" customWidth="1"/>
    <col min="9728" max="9728" width="9.5" style="10" customWidth="1"/>
    <col min="9729" max="9729" width="11.19921875" style="10" customWidth="1"/>
    <col min="9730" max="9980" width="7.19921875" style="10"/>
    <col min="9981" max="9981" width="17.796875" style="10" customWidth="1"/>
    <col min="9982" max="9982" width="7.19921875" style="10"/>
    <col min="9983" max="9983" width="12.3984375" style="10" customWidth="1"/>
    <col min="9984" max="9984" width="9.5" style="10" customWidth="1"/>
    <col min="9985" max="9985" width="11.19921875" style="10" customWidth="1"/>
    <col min="9986" max="10236" width="7.19921875" style="10"/>
    <col min="10237" max="10237" width="17.796875" style="10" customWidth="1"/>
    <col min="10238" max="10238" width="7.19921875" style="10"/>
    <col min="10239" max="10239" width="12.3984375" style="10" customWidth="1"/>
    <col min="10240" max="10240" width="9.5" style="10" customWidth="1"/>
    <col min="10241" max="10241" width="11.19921875" style="10" customWidth="1"/>
    <col min="10242" max="10492" width="7.19921875" style="10"/>
    <col min="10493" max="10493" width="17.796875" style="10" customWidth="1"/>
    <col min="10494" max="10494" width="7.19921875" style="10"/>
    <col min="10495" max="10495" width="12.3984375" style="10" customWidth="1"/>
    <col min="10496" max="10496" width="9.5" style="10" customWidth="1"/>
    <col min="10497" max="10497" width="11.19921875" style="10" customWidth="1"/>
    <col min="10498" max="10748" width="7.19921875" style="10"/>
    <col min="10749" max="10749" width="17.796875" style="10" customWidth="1"/>
    <col min="10750" max="10750" width="7.19921875" style="10"/>
    <col min="10751" max="10751" width="12.3984375" style="10" customWidth="1"/>
    <col min="10752" max="10752" width="9.5" style="10" customWidth="1"/>
    <col min="10753" max="10753" width="11.19921875" style="10" customWidth="1"/>
    <col min="10754" max="11004" width="7.19921875" style="10"/>
    <col min="11005" max="11005" width="17.796875" style="10" customWidth="1"/>
    <col min="11006" max="11006" width="7.19921875" style="10"/>
    <col min="11007" max="11007" width="12.3984375" style="10" customWidth="1"/>
    <col min="11008" max="11008" width="9.5" style="10" customWidth="1"/>
    <col min="11009" max="11009" width="11.19921875" style="10" customWidth="1"/>
    <col min="11010" max="11260" width="7.19921875" style="10"/>
    <col min="11261" max="11261" width="17.796875" style="10" customWidth="1"/>
    <col min="11262" max="11262" width="7.19921875" style="10"/>
    <col min="11263" max="11263" width="12.3984375" style="10" customWidth="1"/>
    <col min="11264" max="11264" width="9.5" style="10" customWidth="1"/>
    <col min="11265" max="11265" width="11.19921875" style="10" customWidth="1"/>
    <col min="11266" max="11516" width="7.19921875" style="10"/>
    <col min="11517" max="11517" width="17.796875" style="10" customWidth="1"/>
    <col min="11518" max="11518" width="7.19921875" style="10"/>
    <col min="11519" max="11519" width="12.3984375" style="10" customWidth="1"/>
    <col min="11520" max="11520" width="9.5" style="10" customWidth="1"/>
    <col min="11521" max="11521" width="11.19921875" style="10" customWidth="1"/>
    <col min="11522" max="11772" width="7.19921875" style="10"/>
    <col min="11773" max="11773" width="17.796875" style="10" customWidth="1"/>
    <col min="11774" max="11774" width="7.19921875" style="10"/>
    <col min="11775" max="11775" width="12.3984375" style="10" customWidth="1"/>
    <col min="11776" max="11776" width="9.5" style="10" customWidth="1"/>
    <col min="11777" max="11777" width="11.19921875" style="10" customWidth="1"/>
    <col min="11778" max="12028" width="7.19921875" style="10"/>
    <col min="12029" max="12029" width="17.796875" style="10" customWidth="1"/>
    <col min="12030" max="12030" width="7.19921875" style="10"/>
    <col min="12031" max="12031" width="12.3984375" style="10" customWidth="1"/>
    <col min="12032" max="12032" width="9.5" style="10" customWidth="1"/>
    <col min="12033" max="12033" width="11.19921875" style="10" customWidth="1"/>
    <col min="12034" max="12284" width="7.19921875" style="10"/>
    <col min="12285" max="12285" width="17.796875" style="10" customWidth="1"/>
    <col min="12286" max="12286" width="7.19921875" style="10"/>
    <col min="12287" max="12287" width="12.3984375" style="10" customWidth="1"/>
    <col min="12288" max="12288" width="9.5" style="10" customWidth="1"/>
    <col min="12289" max="12289" width="11.19921875" style="10" customWidth="1"/>
    <col min="12290" max="12540" width="7.19921875" style="10"/>
    <col min="12541" max="12541" width="17.796875" style="10" customWidth="1"/>
    <col min="12542" max="12542" width="7.19921875" style="10"/>
    <col min="12543" max="12543" width="12.3984375" style="10" customWidth="1"/>
    <col min="12544" max="12544" width="9.5" style="10" customWidth="1"/>
    <col min="12545" max="12545" width="11.19921875" style="10" customWidth="1"/>
    <col min="12546" max="12796" width="7.19921875" style="10"/>
    <col min="12797" max="12797" width="17.796875" style="10" customWidth="1"/>
    <col min="12798" max="12798" width="7.19921875" style="10"/>
    <col min="12799" max="12799" width="12.3984375" style="10" customWidth="1"/>
    <col min="12800" max="12800" width="9.5" style="10" customWidth="1"/>
    <col min="12801" max="12801" width="11.19921875" style="10" customWidth="1"/>
    <col min="12802" max="13052" width="7.19921875" style="10"/>
    <col min="13053" max="13053" width="17.796875" style="10" customWidth="1"/>
    <col min="13054" max="13054" width="7.19921875" style="10"/>
    <col min="13055" max="13055" width="12.3984375" style="10" customWidth="1"/>
    <col min="13056" max="13056" width="9.5" style="10" customWidth="1"/>
    <col min="13057" max="13057" width="11.19921875" style="10" customWidth="1"/>
    <col min="13058" max="13308" width="7.19921875" style="10"/>
    <col min="13309" max="13309" width="17.796875" style="10" customWidth="1"/>
    <col min="13310" max="13310" width="7.19921875" style="10"/>
    <col min="13311" max="13311" width="12.3984375" style="10" customWidth="1"/>
    <col min="13312" max="13312" width="9.5" style="10" customWidth="1"/>
    <col min="13313" max="13313" width="11.19921875" style="10" customWidth="1"/>
    <col min="13314" max="13564" width="7.19921875" style="10"/>
    <col min="13565" max="13565" width="17.796875" style="10" customWidth="1"/>
    <col min="13566" max="13566" width="7.19921875" style="10"/>
    <col min="13567" max="13567" width="12.3984375" style="10" customWidth="1"/>
    <col min="13568" max="13568" width="9.5" style="10" customWidth="1"/>
    <col min="13569" max="13569" width="11.19921875" style="10" customWidth="1"/>
    <col min="13570" max="13820" width="7.19921875" style="10"/>
    <col min="13821" max="13821" width="17.796875" style="10" customWidth="1"/>
    <col min="13822" max="13822" width="7.19921875" style="10"/>
    <col min="13823" max="13823" width="12.3984375" style="10" customWidth="1"/>
    <col min="13824" max="13824" width="9.5" style="10" customWidth="1"/>
    <col min="13825" max="13825" width="11.19921875" style="10" customWidth="1"/>
    <col min="13826" max="14076" width="7.19921875" style="10"/>
    <col min="14077" max="14077" width="17.796875" style="10" customWidth="1"/>
    <col min="14078" max="14078" width="7.19921875" style="10"/>
    <col min="14079" max="14079" width="12.3984375" style="10" customWidth="1"/>
    <col min="14080" max="14080" width="9.5" style="10" customWidth="1"/>
    <col min="14081" max="14081" width="11.19921875" style="10" customWidth="1"/>
    <col min="14082" max="14332" width="7.19921875" style="10"/>
    <col min="14333" max="14333" width="17.796875" style="10" customWidth="1"/>
    <col min="14334" max="14334" width="7.19921875" style="10"/>
    <col min="14335" max="14335" width="12.3984375" style="10" customWidth="1"/>
    <col min="14336" max="14336" width="9.5" style="10" customWidth="1"/>
    <col min="14337" max="14337" width="11.19921875" style="10" customWidth="1"/>
    <col min="14338" max="14588" width="7.19921875" style="10"/>
    <col min="14589" max="14589" width="17.796875" style="10" customWidth="1"/>
    <col min="14590" max="14590" width="7.19921875" style="10"/>
    <col min="14591" max="14591" width="12.3984375" style="10" customWidth="1"/>
    <col min="14592" max="14592" width="9.5" style="10" customWidth="1"/>
    <col min="14593" max="14593" width="11.19921875" style="10" customWidth="1"/>
    <col min="14594" max="14844" width="7.19921875" style="10"/>
    <col min="14845" max="14845" width="17.796875" style="10" customWidth="1"/>
    <col min="14846" max="14846" width="7.19921875" style="10"/>
    <col min="14847" max="14847" width="12.3984375" style="10" customWidth="1"/>
    <col min="14848" max="14848" width="9.5" style="10" customWidth="1"/>
    <col min="14849" max="14849" width="11.19921875" style="10" customWidth="1"/>
    <col min="14850" max="15100" width="7.19921875" style="10"/>
    <col min="15101" max="15101" width="17.796875" style="10" customWidth="1"/>
    <col min="15102" max="15102" width="7.19921875" style="10"/>
    <col min="15103" max="15103" width="12.3984375" style="10" customWidth="1"/>
    <col min="15104" max="15104" width="9.5" style="10" customWidth="1"/>
    <col min="15105" max="15105" width="11.19921875" style="10" customWidth="1"/>
    <col min="15106" max="15356" width="7.19921875" style="10"/>
    <col min="15357" max="15357" width="17.796875" style="10" customWidth="1"/>
    <col min="15358" max="15358" width="7.19921875" style="10"/>
    <col min="15359" max="15359" width="12.3984375" style="10" customWidth="1"/>
    <col min="15360" max="15360" width="9.5" style="10" customWidth="1"/>
    <col min="15361" max="15361" width="11.19921875" style="10" customWidth="1"/>
    <col min="15362" max="15612" width="7.19921875" style="10"/>
    <col min="15613" max="15613" width="17.796875" style="10" customWidth="1"/>
    <col min="15614" max="15614" width="7.19921875" style="10"/>
    <col min="15615" max="15615" width="12.3984375" style="10" customWidth="1"/>
    <col min="15616" max="15616" width="9.5" style="10" customWidth="1"/>
    <col min="15617" max="15617" width="11.19921875" style="10" customWidth="1"/>
    <col min="15618" max="15868" width="7.19921875" style="10"/>
    <col min="15869" max="15869" width="17.796875" style="10" customWidth="1"/>
    <col min="15870" max="15870" width="7.19921875" style="10"/>
    <col min="15871" max="15871" width="12.3984375" style="10" customWidth="1"/>
    <col min="15872" max="15872" width="9.5" style="10" customWidth="1"/>
    <col min="15873" max="15873" width="11.19921875" style="10" customWidth="1"/>
    <col min="15874" max="16124" width="7.19921875" style="10"/>
    <col min="16125" max="16125" width="17.796875" style="10" customWidth="1"/>
    <col min="16126" max="16126" width="7.19921875" style="10"/>
    <col min="16127" max="16127" width="12.3984375" style="10" customWidth="1"/>
    <col min="16128" max="16128" width="9.5" style="10" customWidth="1"/>
    <col min="16129" max="16129" width="11.19921875" style="10" customWidth="1"/>
    <col min="16130" max="16384" width="7.19921875" style="10"/>
  </cols>
  <sheetData>
    <row r="1" spans="1:12" s="2" customFormat="1" x14ac:dyDescent="0.25">
      <c r="B1" s="5" t="s">
        <v>0</v>
      </c>
      <c r="C1" s="5" t="s">
        <v>1</v>
      </c>
      <c r="D1" s="6" t="s">
        <v>2</v>
      </c>
      <c r="E1" s="6" t="s">
        <v>3</v>
      </c>
      <c r="F1" s="6" t="s">
        <v>4</v>
      </c>
      <c r="G1" s="6" t="s">
        <v>5</v>
      </c>
      <c r="H1" s="7" t="s">
        <v>6</v>
      </c>
      <c r="I1" s="5" t="s">
        <v>7</v>
      </c>
      <c r="J1" s="6" t="s">
        <v>8</v>
      </c>
      <c r="K1" s="6" t="s">
        <v>9</v>
      </c>
    </row>
    <row r="2" spans="1:12" s="2" customFormat="1" x14ac:dyDescent="0.25">
      <c r="A2" s="9" t="s">
        <v>10</v>
      </c>
      <c r="B2" s="5" t="s">
        <v>11</v>
      </c>
      <c r="C2" s="5" t="s">
        <v>12</v>
      </c>
      <c r="D2" s="6" t="s">
        <v>13</v>
      </c>
      <c r="E2" s="6" t="s">
        <v>14</v>
      </c>
      <c r="F2" s="6" t="s">
        <v>15</v>
      </c>
      <c r="G2" s="6" t="s">
        <v>16</v>
      </c>
      <c r="H2" s="7" t="s">
        <v>17</v>
      </c>
      <c r="I2" s="6" t="s">
        <v>18</v>
      </c>
      <c r="J2" s="6" t="s">
        <v>19</v>
      </c>
      <c r="K2" s="6" t="s">
        <v>20</v>
      </c>
    </row>
    <row r="3" spans="1:12" s="2" customFormat="1" x14ac:dyDescent="0.25">
      <c r="B3" s="39" t="s">
        <v>2375</v>
      </c>
      <c r="C3" s="39"/>
      <c r="D3" s="39"/>
      <c r="E3" s="39"/>
      <c r="F3" s="39"/>
      <c r="G3" s="39"/>
      <c r="H3" s="39"/>
      <c r="I3" s="39"/>
      <c r="J3" s="39"/>
      <c r="K3" s="39"/>
      <c r="L3" s="2" t="s">
        <v>1485</v>
      </c>
    </row>
    <row r="4" spans="1:12" x14ac:dyDescent="0.15">
      <c r="A4" s="9">
        <v>1</v>
      </c>
      <c r="B4" s="21" t="s">
        <v>64</v>
      </c>
      <c r="C4" s="22" t="s">
        <v>2375</v>
      </c>
      <c r="D4" s="22" t="s">
        <v>21</v>
      </c>
      <c r="E4" s="22" t="s">
        <v>32</v>
      </c>
      <c r="F4" s="22" t="s">
        <v>763</v>
      </c>
      <c r="G4" s="22"/>
      <c r="H4" s="21" t="s">
        <v>36</v>
      </c>
      <c r="I4" s="22" t="s">
        <v>27</v>
      </c>
      <c r="J4" s="22" t="s">
        <v>764</v>
      </c>
      <c r="K4" s="22" t="s">
        <v>24</v>
      </c>
      <c r="L4" s="2" t="str">
        <f>CONCATENATE("insert into CHB_DATACHECK_RULE (CHECKRULEID,DATATYPE,CHECKCLASS,CHECKMETHOD,SRCPROPERTY,COMPARETO,OBJVALUE,REMARK,STATUS,NULLABLE) values ('",B4,"','",C4,"','",D4,"','",E4,"','",F4,"','",G4,"','",H4,"','",J4,"','",K4,"','",I4,"');")</f>
        <v>insert into CHB_DATACHECK_RULE (CHECKRULEID,DATATYPE,CHECKCLASS,CHECKMETHOD,SRCPROPERTY,COMPARETO,OBJVALUE,REMARK,STATUS,NULLABLE) values ('W03E4A49-6810-5A9E-E050-007F01006A48','CHB_ASSET_INFO','com.joyintech.tams.common.svreport.datacheck.service.BaseCheckLib','isNumber2','AMT','','15,2','存款金额必须为n(15,2)格式。','E','Y');</v>
      </c>
    </row>
    <row r="5" spans="1:12" x14ac:dyDescent="0.15">
      <c r="A5" s="17">
        <v>2</v>
      </c>
      <c r="B5" s="21" t="s">
        <v>65</v>
      </c>
      <c r="C5" s="23" t="s">
        <v>1484</v>
      </c>
      <c r="D5" s="22" t="s">
        <v>21</v>
      </c>
      <c r="E5" s="22" t="s">
        <v>34</v>
      </c>
      <c r="F5" s="22" t="s">
        <v>763</v>
      </c>
      <c r="G5" s="22" t="s">
        <v>35</v>
      </c>
      <c r="H5" s="21" t="s">
        <v>26</v>
      </c>
      <c r="I5" s="22" t="s">
        <v>27</v>
      </c>
      <c r="J5" s="22" t="s">
        <v>765</v>
      </c>
      <c r="K5" s="22" t="s">
        <v>24</v>
      </c>
      <c r="L5" s="2" t="str">
        <f t="shared" ref="L5:L68" si="0">CONCATENATE("insert into CHB_DATACHECK_RULE (CHECKRULEID,DATATYPE,CHECKCLASS,CHECKMETHOD,SRCPROPERTY,COMPARETO,OBJVALUE,REMARK,STATUS,NULLABLE) values ('",B5,"','",C5,"','",D5,"','",E5,"','",F5,"','",G5,"','",H5,"','",J5,"','",K5,"','",I5,"');")</f>
        <v>insert into CHB_DATACHECK_RULE (CHECKRULEID,DATATYPE,CHECKCLASS,CHECKMETHOD,SRCPROPERTY,COMPARETO,OBJVALUE,REMARK,STATUS,NULLABLE) values ('W03E4A49-6810-5A9E-E050-007F01006A49','CHB_ASSET_INFO','com.joyintech.tams.common.svreport.datacheck.service.BaseCheckLib','compareValueAsNumber','AMT','&gt;=','0','存款金额必须大于等于0','E','Y');</v>
      </c>
    </row>
    <row r="6" spans="1:12" x14ac:dyDescent="0.15">
      <c r="A6" s="9">
        <v>3</v>
      </c>
      <c r="B6" s="21" t="s">
        <v>66</v>
      </c>
      <c r="C6" s="23" t="s">
        <v>1484</v>
      </c>
      <c r="D6" s="22" t="s">
        <v>21</v>
      </c>
      <c r="E6" s="22" t="s">
        <v>38</v>
      </c>
      <c r="F6" s="22" t="s">
        <v>766</v>
      </c>
      <c r="G6" s="22" t="s">
        <v>25</v>
      </c>
      <c r="H6" s="21" t="s">
        <v>767</v>
      </c>
      <c r="I6" s="22" t="s">
        <v>27</v>
      </c>
      <c r="J6" s="22" t="s">
        <v>768</v>
      </c>
      <c r="K6" s="22" t="s">
        <v>24</v>
      </c>
      <c r="L6" s="2" t="str">
        <f t="shared" si="0"/>
        <v>insert into CHB_DATACHECK_RULE (CHECKRULEID,DATATYPE,CHECKCLASS,CHECKMETHOD,SRCPROPERTY,COMPARETO,OBJVALUE,REMARK,STATUS,NULLABLE) values ('W03E4A49-6810-5A9E-E050-007F01006A50','CHB_ASSET_INFO','com.joyintech.tams.common.svreport.datacheck.service.BaseCheckLib','isValidDate','VDATE','==','yyyy-MM-dd','起息日必须为日期格式（YYYY-MM-DD）','E','Y');</v>
      </c>
    </row>
    <row r="7" spans="1:12" x14ac:dyDescent="0.15">
      <c r="A7" s="17">
        <v>4</v>
      </c>
      <c r="B7" s="21" t="s">
        <v>67</v>
      </c>
      <c r="C7" s="23" t="s">
        <v>1484</v>
      </c>
      <c r="D7" s="22" t="s">
        <v>21</v>
      </c>
      <c r="E7" s="22" t="s">
        <v>38</v>
      </c>
      <c r="F7" s="22" t="s">
        <v>769</v>
      </c>
      <c r="G7" s="22" t="s">
        <v>25</v>
      </c>
      <c r="H7" s="21" t="s">
        <v>767</v>
      </c>
      <c r="I7" s="22" t="s">
        <v>27</v>
      </c>
      <c r="J7" s="22" t="s">
        <v>770</v>
      </c>
      <c r="K7" s="22" t="s">
        <v>24</v>
      </c>
      <c r="L7" s="2" t="str">
        <f t="shared" si="0"/>
        <v>insert into CHB_DATACHECK_RULE (CHECKRULEID,DATATYPE,CHECKCLASS,CHECKMETHOD,SRCPROPERTY,COMPARETO,OBJVALUE,REMARK,STATUS,NULLABLE) values ('W03E4A49-6810-5A9E-E050-007F01006A51','CHB_ASSET_INFO','com.joyintech.tams.common.svreport.datacheck.service.BaseCheckLib','isValidDate','MDATE','==','yyyy-MM-dd','到期日要素必填且必须为日期格式（YYYY-MM-DD）。','E','Y');</v>
      </c>
    </row>
    <row r="8" spans="1:12" x14ac:dyDescent="0.15">
      <c r="A8" s="9">
        <v>5</v>
      </c>
      <c r="B8" s="21" t="s">
        <v>68</v>
      </c>
      <c r="C8" s="23" t="s">
        <v>1484</v>
      </c>
      <c r="D8" s="22" t="s">
        <v>21</v>
      </c>
      <c r="E8" s="22" t="s">
        <v>39</v>
      </c>
      <c r="F8" s="22" t="s">
        <v>769</v>
      </c>
      <c r="G8" s="22" t="s">
        <v>35</v>
      </c>
      <c r="H8" s="21" t="s">
        <v>766</v>
      </c>
      <c r="I8" s="22" t="s">
        <v>27</v>
      </c>
      <c r="J8" s="22" t="s">
        <v>771</v>
      </c>
      <c r="K8" s="22" t="s">
        <v>24</v>
      </c>
      <c r="L8" s="2" t="str">
        <f t="shared" si="0"/>
        <v>insert into CHB_DATACHECK_RULE (CHECKRULEID,DATATYPE,CHECKCLASS,CHECKMETHOD,SRCPROPERTY,COMPARETO,OBJVALUE,REMARK,STATUS,NULLABLE) values ('W03E4A49-6810-5A9E-E050-007F01006A52','CHB_ASSET_INFO','com.joyintech.tams.common.svreport.datacheck.service.BaseCheckLib','compareProperty','MDATE','&gt;=','VDATE','到期日必须大于等于起息日。','E','Y');</v>
      </c>
    </row>
    <row r="9" spans="1:12" x14ac:dyDescent="0.15">
      <c r="A9" s="17">
        <v>6</v>
      </c>
      <c r="B9" s="21" t="s">
        <v>69</v>
      </c>
      <c r="C9" s="23" t="s">
        <v>1484</v>
      </c>
      <c r="D9" s="22" t="s">
        <v>21</v>
      </c>
      <c r="E9" s="22" t="s">
        <v>32</v>
      </c>
      <c r="F9" s="22" t="s">
        <v>772</v>
      </c>
      <c r="G9" s="22"/>
      <c r="H9" s="21" t="s">
        <v>33</v>
      </c>
      <c r="I9" s="22" t="s">
        <v>27</v>
      </c>
      <c r="J9" s="22" t="s">
        <v>773</v>
      </c>
      <c r="K9" s="22" t="s">
        <v>24</v>
      </c>
      <c r="L9" s="2" t="str">
        <f t="shared" si="0"/>
        <v>insert into CHB_DATACHECK_RULE (CHECKRULEID,DATATYPE,CHECKCLASS,CHECKMETHOD,SRCPROPERTY,COMPARETO,OBJVALUE,REMARK,STATUS,NULLABLE) values ('W03E4A49-6810-5A9E-E050-007F01006A53','CHB_ASSET_INFO','com.joyintech.tams.common.svreport.datacheck.service.BaseCheckLib','isNumber2','ASSET_YIELD','','8,5','年利率%以百分数形式表示时必须为n(8,5)格式。','E','Y');</v>
      </c>
    </row>
    <row r="10" spans="1:12" x14ac:dyDescent="0.15">
      <c r="A10" s="9">
        <v>7</v>
      </c>
      <c r="B10" s="21" t="s">
        <v>70</v>
      </c>
      <c r="C10" s="23" t="s">
        <v>1484</v>
      </c>
      <c r="D10" s="22" t="s">
        <v>21</v>
      </c>
      <c r="E10" s="22" t="s">
        <v>34</v>
      </c>
      <c r="F10" s="22" t="s">
        <v>772</v>
      </c>
      <c r="G10" s="22" t="s">
        <v>35</v>
      </c>
      <c r="H10" s="21" t="s">
        <v>26</v>
      </c>
      <c r="I10" s="22" t="s">
        <v>27</v>
      </c>
      <c r="J10" s="22" t="s">
        <v>774</v>
      </c>
      <c r="K10" s="22" t="s">
        <v>24</v>
      </c>
      <c r="L10" s="2" t="str">
        <f t="shared" si="0"/>
        <v>insert into CHB_DATACHECK_RULE (CHECKRULEID,DATATYPE,CHECKCLASS,CHECKMETHOD,SRCPROPERTY,COMPARETO,OBJVALUE,REMARK,STATUS,NULLABLE) values ('W03E4A49-6810-5A9E-E050-007F01006A54','CHB_ASSET_INFO','com.joyintech.tams.common.svreport.datacheck.service.BaseCheckLib','compareValueAsNumber','ASSET_YIELD','&gt;=','0','年利率%必须大于等于0。','E','Y');</v>
      </c>
    </row>
    <row r="11" spans="1:12" x14ac:dyDescent="0.15">
      <c r="A11" s="17">
        <v>8</v>
      </c>
      <c r="B11" s="21" t="s">
        <v>71</v>
      </c>
      <c r="C11" s="23" t="s">
        <v>1484</v>
      </c>
      <c r="D11" s="22" t="s">
        <v>21</v>
      </c>
      <c r="E11" s="22" t="s">
        <v>22</v>
      </c>
      <c r="F11" s="22" t="s">
        <v>775</v>
      </c>
      <c r="G11" s="22"/>
      <c r="H11" s="21"/>
      <c r="I11" s="22" t="s">
        <v>23</v>
      </c>
      <c r="J11" s="22" t="s">
        <v>776</v>
      </c>
      <c r="K11" s="22" t="s">
        <v>24</v>
      </c>
      <c r="L11" s="2" t="str">
        <f t="shared" si="0"/>
        <v>insert into CHB_DATACHECK_RULE (CHECKRULEID,DATATYPE,CHECKCLASS,CHECKMETHOD,SRCPROPERTY,COMPARETO,OBJVALUE,REMARK,STATUS,NULLABLE) values ('W03E4A49-6810-5A9E-E050-007F01006A55','CHB_ASSET_INFO','com.joyintech.tams.common.svreport.datacheck.service.BaseCheckLib','isNotEmpty','BASIS','','','计息基础要素不可为空。','E','N');</v>
      </c>
    </row>
    <row r="12" spans="1:12" x14ac:dyDescent="0.15">
      <c r="A12" s="9">
        <v>9</v>
      </c>
      <c r="B12" s="21" t="s">
        <v>72</v>
      </c>
      <c r="C12" s="23" t="s">
        <v>1484</v>
      </c>
      <c r="D12" s="22" t="s">
        <v>21</v>
      </c>
      <c r="E12" s="22" t="s">
        <v>30</v>
      </c>
      <c r="F12" s="22" t="s">
        <v>775</v>
      </c>
      <c r="G12" s="22" t="s">
        <v>25</v>
      </c>
      <c r="H12" s="21" t="s">
        <v>777</v>
      </c>
      <c r="I12" s="22" t="s">
        <v>27</v>
      </c>
      <c r="J12" s="22" t="s">
        <v>778</v>
      </c>
      <c r="K12" s="22" t="s">
        <v>24</v>
      </c>
      <c r="L12" s="2" t="str">
        <f t="shared" si="0"/>
        <v>insert into CHB_DATACHECK_RULE (CHECKRULEID,DATATYPE,CHECKCLASS,CHECKMETHOD,SRCPROPERTY,COMPARETO,OBJVALUE,REMARK,STATUS,NULLABLE) values ('W03E4A49-6810-5A9E-E050-007F01006A56','CHB_ASSET_INFO','com.joyintech.tams.common.svreport.datacheck.service.BaseCheckLib','inDatadict','BASIS','==','SVR_BASIS','计息基础要素必须在值域范围内','E','Y');</v>
      </c>
    </row>
    <row r="13" spans="1:12" x14ac:dyDescent="0.15">
      <c r="A13" s="17">
        <v>10</v>
      </c>
      <c r="B13" s="21" t="s">
        <v>116</v>
      </c>
      <c r="C13" s="23" t="s">
        <v>1484</v>
      </c>
      <c r="D13" s="22" t="s">
        <v>21</v>
      </c>
      <c r="E13" s="22" t="s">
        <v>30</v>
      </c>
      <c r="F13" s="22" t="s">
        <v>822</v>
      </c>
      <c r="G13" s="22" t="s">
        <v>25</v>
      </c>
      <c r="H13" s="21" t="s">
        <v>825</v>
      </c>
      <c r="I13" s="22" t="s">
        <v>27</v>
      </c>
      <c r="J13" s="22" t="s">
        <v>826</v>
      </c>
      <c r="K13" s="22" t="s">
        <v>24</v>
      </c>
      <c r="L13" s="2" t="str">
        <f t="shared" si="0"/>
        <v>insert into CHB_DATACHECK_RULE (CHECKRULEID,DATATYPE,CHECKCLASS,CHECKMETHOD,SRCPROPERTY,COMPARETO,OBJVALUE,REMARK,STATUS,NULLABLE) values ('W03E4A49-6810-5A9E-E050-007F01006A57','CHB_ASSET_INFO','com.joyintech.tams.common.svreport.datacheck.service.BaseCheckLib','inDatadict','DEPO_TYPE','==','SVR_DEPO_TYPE','存款类型要素必须在值域范围内。','E','Y');</v>
      </c>
    </row>
    <row r="14" spans="1:12" x14ac:dyDescent="0.15">
      <c r="A14" s="9">
        <v>11</v>
      </c>
      <c r="B14" s="21" t="s">
        <v>73</v>
      </c>
      <c r="C14" s="23" t="s">
        <v>1484</v>
      </c>
      <c r="D14" s="22" t="s">
        <v>21</v>
      </c>
      <c r="E14" s="22" t="s">
        <v>22</v>
      </c>
      <c r="F14" s="22" t="s">
        <v>779</v>
      </c>
      <c r="G14" s="22"/>
      <c r="H14" s="21"/>
      <c r="I14" s="22" t="s">
        <v>23</v>
      </c>
      <c r="J14" s="22" t="s">
        <v>780</v>
      </c>
      <c r="K14" s="22" t="s">
        <v>24</v>
      </c>
      <c r="L14" s="2" t="str">
        <f t="shared" si="0"/>
        <v>insert into CHB_DATACHECK_RULE (CHECKRULEID,DATATYPE,CHECKCLASS,CHECKMETHOD,SRCPROPERTY,COMPARETO,OBJVALUE,REMARK,STATUS,NULLABLE) values ('W03E4A49-6810-5A9E-E050-007F01006A59','CHB_ASSET_INFO','com.joyintech.tams.common.svreport.datacheck.service.BaseCheckLib','isNotEmpty','TARGET_TYPE','','','结构性存款挂钩标的类别要素不可为空。','E','N');</v>
      </c>
    </row>
    <row r="15" spans="1:12" x14ac:dyDescent="0.15">
      <c r="A15" s="17">
        <v>12</v>
      </c>
      <c r="B15" s="21" t="s">
        <v>74</v>
      </c>
      <c r="C15" s="23" t="s">
        <v>1484</v>
      </c>
      <c r="D15" s="22" t="s">
        <v>21</v>
      </c>
      <c r="E15" s="22" t="s">
        <v>62</v>
      </c>
      <c r="F15" s="22" t="s">
        <v>779</v>
      </c>
      <c r="G15" s="22" t="s">
        <v>25</v>
      </c>
      <c r="H15" s="21" t="s">
        <v>26</v>
      </c>
      <c r="I15" s="22" t="s">
        <v>27</v>
      </c>
      <c r="J15" s="22" t="s">
        <v>781</v>
      </c>
      <c r="K15" s="22" t="s">
        <v>24</v>
      </c>
      <c r="L15" s="2" t="str">
        <f t="shared" si="0"/>
        <v>insert into CHB_DATACHECK_RULE (CHECKRULEID,DATATYPE,CHECKCLASS,CHECKMETHOD,SRCPROPERTY,COMPARETO,OBJVALUE,REMARK,STATUS,NULLABLE) values ('W03E4A49-6810-5A9E-E050-007F01006A60','CHB_ASSET_INFO','com.joyintech.tams.common.svreport.datacheck.service.BaseCheckLib','lessThanCharLength','TARGET_TYPE','==','0','结构性存款挂钩标的类别要素必须为空。','E','Y');</v>
      </c>
    </row>
    <row r="16" spans="1:12" x14ac:dyDescent="0.15">
      <c r="A16" s="9">
        <v>13</v>
      </c>
      <c r="B16" s="21" t="s">
        <v>75</v>
      </c>
      <c r="C16" s="23" t="s">
        <v>1484</v>
      </c>
      <c r="D16" s="22" t="s">
        <v>21</v>
      </c>
      <c r="E16" s="22" t="s">
        <v>22</v>
      </c>
      <c r="F16" s="22" t="s">
        <v>782</v>
      </c>
      <c r="G16" s="22"/>
      <c r="H16" s="21"/>
      <c r="I16" s="22" t="s">
        <v>23</v>
      </c>
      <c r="J16" s="22" t="s">
        <v>783</v>
      </c>
      <c r="K16" s="22" t="s">
        <v>24</v>
      </c>
      <c r="L16" s="2" t="str">
        <f t="shared" si="0"/>
        <v>insert into CHB_DATACHECK_RULE (CHECKRULEID,DATATYPE,CHECKCLASS,CHECKMETHOD,SRCPROPERTY,COMPARETO,OBJVALUE,REMARK,STATUS,NULLABLE) values ('W03E4A49-6810-5A9E-E050-007F01006A61','CHB_ASSET_INFO','com.joyintech.tams.common.svreport.datacheck.service.BaseCheckLib','isNotEmpty','TARGET','','','结构性存款挂钩标的要素不可为空。','E','N');</v>
      </c>
    </row>
    <row r="17" spans="1:12" x14ac:dyDescent="0.15">
      <c r="A17" s="17">
        <v>14</v>
      </c>
      <c r="B17" s="21" t="s">
        <v>76</v>
      </c>
      <c r="C17" s="23" t="s">
        <v>1484</v>
      </c>
      <c r="D17" s="22" t="s">
        <v>21</v>
      </c>
      <c r="E17" s="22" t="s">
        <v>62</v>
      </c>
      <c r="F17" s="22" t="s">
        <v>782</v>
      </c>
      <c r="G17" s="22" t="s">
        <v>25</v>
      </c>
      <c r="H17" s="21" t="s">
        <v>26</v>
      </c>
      <c r="I17" s="22" t="s">
        <v>27</v>
      </c>
      <c r="J17" s="22" t="s">
        <v>784</v>
      </c>
      <c r="K17" s="22" t="s">
        <v>24</v>
      </c>
      <c r="L17" s="2" t="str">
        <f>CONCATENATE("insert into CHB_DATACHECK_RULE (CHECKRULEID,DATATYPE,CHECKCLASS,CHECKMETHOD,SRCPROPERTY,COMPARETO,OBJVALUE,REMARK,STATUS,NULLABLE) values ('",B17,"','",C17,"','",D17,"','",E17,"','",F17,"','",G17,"','",H17,"','",J17,"','",K17,"','",I17,"');")</f>
        <v>insert into CHB_DATACHECK_RULE (CHECKRULEID,DATATYPE,CHECKCLASS,CHECKMETHOD,SRCPROPERTY,COMPARETO,OBJVALUE,REMARK,STATUS,NULLABLE) values ('W03E4A49-6810-5A9E-E050-007F01006A62','CHB_ASSET_INFO','com.joyintech.tams.common.svreport.datacheck.service.BaseCheckLib','lessThanCharLength','TARGET','==','0','结构性存款挂钩标的要素必须为空。','E','Y');</v>
      </c>
    </row>
    <row r="18" spans="1:12" x14ac:dyDescent="0.15">
      <c r="A18" s="9">
        <v>15</v>
      </c>
      <c r="B18" s="21" t="s">
        <v>77</v>
      </c>
      <c r="C18" s="23" t="s">
        <v>1484</v>
      </c>
      <c r="D18" s="22" t="s">
        <v>21</v>
      </c>
      <c r="E18" s="22" t="s">
        <v>22</v>
      </c>
      <c r="F18" s="22" t="s">
        <v>785</v>
      </c>
      <c r="G18" s="22"/>
      <c r="H18" s="21"/>
      <c r="I18" s="22" t="s">
        <v>23</v>
      </c>
      <c r="J18" s="22" t="s">
        <v>786</v>
      </c>
      <c r="K18" s="22" t="s">
        <v>24</v>
      </c>
      <c r="L18" s="2" t="str">
        <f t="shared" si="0"/>
        <v>insert into CHB_DATACHECK_RULE (CHECKRULEID,DATATYPE,CHECKCLASS,CHECKMETHOD,SRCPROPERTY,COMPARETO,OBJVALUE,REMARK,STATUS,NULLABLE) values ('W03E4A49-6810-5A9E-E050-007F01006A63','CHB_ASSET_INFO','com.joyintech.tams.common.svreport.datacheck.service.BaseCheckLib','isNotEmpty','BANK_NAME','','','资金存入银行要素不可为空。','E','N');</v>
      </c>
    </row>
    <row r="19" spans="1:12" x14ac:dyDescent="0.15">
      <c r="A19" s="17">
        <v>16</v>
      </c>
      <c r="B19" s="21" t="s">
        <v>78</v>
      </c>
      <c r="C19" s="23" t="s">
        <v>1484</v>
      </c>
      <c r="D19" s="22" t="s">
        <v>21</v>
      </c>
      <c r="E19" s="22" t="s">
        <v>62</v>
      </c>
      <c r="F19" s="22" t="s">
        <v>785</v>
      </c>
      <c r="G19" s="22" t="s">
        <v>25</v>
      </c>
      <c r="H19" s="21" t="s">
        <v>26</v>
      </c>
      <c r="I19" s="22" t="s">
        <v>27</v>
      </c>
      <c r="J19" s="22" t="s">
        <v>787</v>
      </c>
      <c r="K19" s="22" t="s">
        <v>24</v>
      </c>
      <c r="L19" s="2" t="str">
        <f t="shared" si="0"/>
        <v>insert into CHB_DATACHECK_RULE (CHECKRULEID,DATATYPE,CHECKCLASS,CHECKMETHOD,SRCPROPERTY,COMPARETO,OBJVALUE,REMARK,STATUS,NULLABLE) values ('W03E4A49-6810-5A9E-E050-007F01006A64','CHB_ASSET_INFO','com.joyintech.tams.common.svreport.datacheck.service.BaseCheckLib','lessThanCharLength','BANK_NAME','==','0','资金存入银行要素必须为空。','E','Y');</v>
      </c>
    </row>
    <row r="20" spans="1:12" x14ac:dyDescent="0.15">
      <c r="A20" s="9">
        <v>17</v>
      </c>
      <c r="B20" s="21" t="s">
        <v>79</v>
      </c>
      <c r="C20" s="23" t="s">
        <v>1484</v>
      </c>
      <c r="D20" s="22" t="s">
        <v>21</v>
      </c>
      <c r="E20" s="22" t="s">
        <v>22</v>
      </c>
      <c r="F20" s="22" t="s">
        <v>785</v>
      </c>
      <c r="G20" s="22"/>
      <c r="H20" s="21"/>
      <c r="I20" s="22" t="s">
        <v>23</v>
      </c>
      <c r="J20" s="22" t="s">
        <v>786</v>
      </c>
      <c r="K20" s="22" t="s">
        <v>24</v>
      </c>
      <c r="L20" s="2" t="str">
        <f t="shared" si="0"/>
        <v>insert into CHB_DATACHECK_RULE (CHECKRULEID,DATATYPE,CHECKCLASS,CHECKMETHOD,SRCPROPERTY,COMPARETO,OBJVALUE,REMARK,STATUS,NULLABLE) values ('W03E4A49-6810-5A9E-E050-007F01006A65','CHB_ASSET_INFO','com.joyintech.tams.common.svreport.datacheck.service.BaseCheckLib','isNotEmpty','BANK_NAME','','','资金存入银行要素不可为空。','E','N');</v>
      </c>
    </row>
    <row r="21" spans="1:12" x14ac:dyDescent="0.15">
      <c r="A21" s="17">
        <v>18</v>
      </c>
      <c r="B21" s="21" t="s">
        <v>80</v>
      </c>
      <c r="C21" s="23" t="s">
        <v>1484</v>
      </c>
      <c r="D21" s="22" t="s">
        <v>21</v>
      </c>
      <c r="E21" s="22" t="s">
        <v>38</v>
      </c>
      <c r="F21" s="22" t="s">
        <v>766</v>
      </c>
      <c r="G21" s="22" t="s">
        <v>25</v>
      </c>
      <c r="H21" s="21" t="s">
        <v>767</v>
      </c>
      <c r="I21" s="22" t="s">
        <v>27</v>
      </c>
      <c r="J21" s="22" t="s">
        <v>788</v>
      </c>
      <c r="K21" s="22" t="s">
        <v>24</v>
      </c>
      <c r="L21" s="2" t="str">
        <f t="shared" si="0"/>
        <v>insert into CHB_DATACHECK_RULE (CHECKRULEID,DATATYPE,CHECKCLASS,CHECKMETHOD,SRCPROPERTY,COMPARETO,OBJVALUE,REMARK,STATUS,NULLABLE) values ('W03E4A49-6810-5A9E-E050-007F01006A67','CHB_ASSET_INFO','com.joyintech.tams.common.svreport.datacheck.service.BaseCheckLib','isValidDate','VDATE','==','yyyy-MM-dd','起息日必须为日期格式（YYYY-MM-DD）。','E','Y');</v>
      </c>
    </row>
    <row r="22" spans="1:12" x14ac:dyDescent="0.15">
      <c r="A22" s="9">
        <v>19</v>
      </c>
      <c r="B22" s="21" t="s">
        <v>81</v>
      </c>
      <c r="C22" s="23" t="s">
        <v>1484</v>
      </c>
      <c r="D22" s="22" t="s">
        <v>21</v>
      </c>
      <c r="E22" s="22" t="s">
        <v>38</v>
      </c>
      <c r="F22" s="22" t="s">
        <v>769</v>
      </c>
      <c r="G22" s="22" t="s">
        <v>25</v>
      </c>
      <c r="H22" s="21" t="s">
        <v>767</v>
      </c>
      <c r="I22" s="22" t="s">
        <v>27</v>
      </c>
      <c r="J22" s="22" t="s">
        <v>770</v>
      </c>
      <c r="K22" s="22" t="s">
        <v>24</v>
      </c>
      <c r="L22" s="2" t="str">
        <f t="shared" si="0"/>
        <v>insert into CHB_DATACHECK_RULE (CHECKRULEID,DATATYPE,CHECKCLASS,CHECKMETHOD,SRCPROPERTY,COMPARETO,OBJVALUE,REMARK,STATUS,NULLABLE) values ('W03E4A49-6810-5A9E-E050-007F01006A68','CHB_ASSET_INFO','com.joyintech.tams.common.svreport.datacheck.service.BaseCheckLib','isValidDate','MDATE','==','yyyy-MM-dd','到期日要素必填且必须为日期格式（YYYY-MM-DD）。','E','Y');</v>
      </c>
    </row>
    <row r="23" spans="1:12" x14ac:dyDescent="0.15">
      <c r="A23" s="17">
        <v>20</v>
      </c>
      <c r="B23" s="21" t="s">
        <v>82</v>
      </c>
      <c r="C23" s="23" t="s">
        <v>1484</v>
      </c>
      <c r="D23" s="22" t="s">
        <v>21</v>
      </c>
      <c r="E23" s="22" t="s">
        <v>39</v>
      </c>
      <c r="F23" s="22" t="s">
        <v>769</v>
      </c>
      <c r="G23" s="22" t="s">
        <v>35</v>
      </c>
      <c r="H23" s="21" t="s">
        <v>766</v>
      </c>
      <c r="I23" s="22" t="s">
        <v>27</v>
      </c>
      <c r="J23" s="22" t="s">
        <v>771</v>
      </c>
      <c r="K23" s="22" t="s">
        <v>24</v>
      </c>
      <c r="L23" s="2" t="str">
        <f t="shared" si="0"/>
        <v>insert into CHB_DATACHECK_RULE (CHECKRULEID,DATATYPE,CHECKCLASS,CHECKMETHOD,SRCPROPERTY,COMPARETO,OBJVALUE,REMARK,STATUS,NULLABLE) values ('W03E4A49-6810-5A9E-E050-007F01006A69','CHB_ASSET_INFO','com.joyintech.tams.common.svreport.datacheck.service.BaseCheckLib','compareProperty','MDATE','&gt;=','VDATE','到期日必须大于等于起息日。','E','Y');</v>
      </c>
    </row>
    <row r="24" spans="1:12" x14ac:dyDescent="0.15">
      <c r="A24" s="9">
        <v>21</v>
      </c>
      <c r="B24" s="21" t="s">
        <v>83</v>
      </c>
      <c r="C24" s="23" t="s">
        <v>1484</v>
      </c>
      <c r="D24" s="22" t="s">
        <v>21</v>
      </c>
      <c r="E24" s="22" t="s">
        <v>32</v>
      </c>
      <c r="F24" s="22" t="s">
        <v>772</v>
      </c>
      <c r="G24" s="22"/>
      <c r="H24" s="21" t="s">
        <v>33</v>
      </c>
      <c r="I24" s="22" t="s">
        <v>27</v>
      </c>
      <c r="J24" s="22" t="s">
        <v>773</v>
      </c>
      <c r="K24" s="22" t="s">
        <v>24</v>
      </c>
      <c r="L24" s="2" t="str">
        <f t="shared" si="0"/>
        <v>insert into CHB_DATACHECK_RULE (CHECKRULEID,DATATYPE,CHECKCLASS,CHECKMETHOD,SRCPROPERTY,COMPARETO,OBJVALUE,REMARK,STATUS,NULLABLE) values ('W03E4A49-6810-5A9E-E050-007F01006A70','CHB_ASSET_INFO','com.joyintech.tams.common.svreport.datacheck.service.BaseCheckLib','isNumber2','ASSET_YIELD','','8,5','年利率%以百分数形式表示时必须为n(8,5)格式。','E','Y');</v>
      </c>
    </row>
    <row r="25" spans="1:12" x14ac:dyDescent="0.15">
      <c r="A25" s="17">
        <v>22</v>
      </c>
      <c r="B25" s="21" t="s">
        <v>84</v>
      </c>
      <c r="C25" s="23" t="s">
        <v>1484</v>
      </c>
      <c r="D25" s="22" t="s">
        <v>21</v>
      </c>
      <c r="E25" s="22" t="s">
        <v>34</v>
      </c>
      <c r="F25" s="22" t="s">
        <v>772</v>
      </c>
      <c r="G25" s="22" t="s">
        <v>35</v>
      </c>
      <c r="H25" s="21" t="s">
        <v>26</v>
      </c>
      <c r="I25" s="22" t="s">
        <v>27</v>
      </c>
      <c r="J25" s="22" t="s">
        <v>774</v>
      </c>
      <c r="K25" s="22" t="s">
        <v>24</v>
      </c>
      <c r="L25" s="2" t="str">
        <f t="shared" si="0"/>
        <v>insert into CHB_DATACHECK_RULE (CHECKRULEID,DATATYPE,CHECKCLASS,CHECKMETHOD,SRCPROPERTY,COMPARETO,OBJVALUE,REMARK,STATUS,NULLABLE) values ('W03E4A49-6810-5A9E-E050-007F01006A71','CHB_ASSET_INFO','com.joyintech.tams.common.svreport.datacheck.service.BaseCheckLib','compareValueAsNumber','ASSET_YIELD','&gt;=','0','年利率%必须大于等于0。','E','Y');</v>
      </c>
    </row>
    <row r="26" spans="1:12" x14ac:dyDescent="0.15">
      <c r="A26" s="9">
        <v>23</v>
      </c>
      <c r="B26" s="21" t="s">
        <v>85</v>
      </c>
      <c r="C26" s="23" t="s">
        <v>1484</v>
      </c>
      <c r="D26" s="22" t="s">
        <v>21</v>
      </c>
      <c r="E26" s="22" t="s">
        <v>30</v>
      </c>
      <c r="F26" s="22" t="s">
        <v>775</v>
      </c>
      <c r="G26" s="22" t="s">
        <v>25</v>
      </c>
      <c r="H26" s="21" t="s">
        <v>777</v>
      </c>
      <c r="I26" s="22" t="s">
        <v>23</v>
      </c>
      <c r="J26" s="22" t="s">
        <v>789</v>
      </c>
      <c r="K26" s="22" t="s">
        <v>24</v>
      </c>
      <c r="L26" s="2" t="str">
        <f t="shared" si="0"/>
        <v>insert into CHB_DATACHECK_RULE (CHECKRULEID,DATATYPE,CHECKCLASS,CHECKMETHOD,SRCPROPERTY,COMPARETO,OBJVALUE,REMARK,STATUS,NULLABLE) values ('W03E4A49-6810-5A9E-E050-007F01006A72','CHB_ASSET_INFO','com.joyintech.tams.common.svreport.datacheck.service.BaseCheckLib','inDatadict','BASIS','==','SVR_BASIS','计息基础要素不可为空，且必须在值域范围内','E','N');</v>
      </c>
    </row>
    <row r="27" spans="1:12" x14ac:dyDescent="0.15">
      <c r="A27" s="17">
        <v>24</v>
      </c>
      <c r="B27" s="21" t="s">
        <v>86</v>
      </c>
      <c r="C27" s="23" t="s">
        <v>1484</v>
      </c>
      <c r="D27" s="22" t="s">
        <v>21</v>
      </c>
      <c r="E27" s="22" t="s">
        <v>62</v>
      </c>
      <c r="F27" s="22" t="s">
        <v>790</v>
      </c>
      <c r="G27" s="22"/>
      <c r="H27" s="21" t="s">
        <v>2330</v>
      </c>
      <c r="I27" s="22" t="s">
        <v>23</v>
      </c>
      <c r="J27" s="22" t="s">
        <v>791</v>
      </c>
      <c r="K27" s="22" t="s">
        <v>24</v>
      </c>
      <c r="L27" s="2" t="str">
        <f t="shared" si="0"/>
        <v>insert into CHB_DATACHECK_RULE (CHECKRULEID,DATATYPE,CHECKCLASS,CHECKMETHOD,SRCPROPERTY,COMPARETO,OBJVALUE,REMARK,STATUS,NULLABLE) values ('W03E4A49-6810-5A9E-E050-007F01006A73','CHB_ASSET_INFO','com.joyintech.tams.common.svreport.datacheck.service.BaseCheckLib','lessThanCharLength','RIVAL_PARTY','','201','对手方不可为空或超长（最大长200字节）','E','N');</v>
      </c>
    </row>
    <row r="28" spans="1:12" x14ac:dyDescent="0.15">
      <c r="A28" s="9">
        <v>25</v>
      </c>
      <c r="B28" s="21" t="s">
        <v>87</v>
      </c>
      <c r="C28" s="23" t="s">
        <v>1484</v>
      </c>
      <c r="D28" s="22" t="s">
        <v>21</v>
      </c>
      <c r="E28" s="22" t="s">
        <v>22</v>
      </c>
      <c r="F28" s="22" t="s">
        <v>792</v>
      </c>
      <c r="G28" s="22"/>
      <c r="H28" s="21"/>
      <c r="I28" s="22" t="s">
        <v>23</v>
      </c>
      <c r="J28" s="22" t="s">
        <v>793</v>
      </c>
      <c r="K28" s="22" t="s">
        <v>24</v>
      </c>
      <c r="L28" s="2" t="str">
        <f t="shared" si="0"/>
        <v>insert into CHB_DATACHECK_RULE (CHECKRULEID,DATATYPE,CHECKCLASS,CHECKMETHOD,SRCPROPERTY,COMPARETO,OBJVALUE,REMARK,STATUS,NULLABLE) values ('W03E4A49-6810-5A9E-E050-007F01006A74','CHB_ASSET_INFO','com.joyintech.tams.common.svreport.datacheck.service.BaseCheckLib','isNotEmpty','TARGET_TYPE1','','','回购标的类别要素必填。','E','N');</v>
      </c>
    </row>
    <row r="29" spans="1:12" x14ac:dyDescent="0.15">
      <c r="A29" s="17">
        <v>26</v>
      </c>
      <c r="B29" s="21" t="s">
        <v>88</v>
      </c>
      <c r="C29" s="23" t="s">
        <v>1484</v>
      </c>
      <c r="D29" s="22" t="s">
        <v>21</v>
      </c>
      <c r="E29" s="22" t="s">
        <v>22</v>
      </c>
      <c r="F29" s="22" t="s">
        <v>792</v>
      </c>
      <c r="G29" s="22"/>
      <c r="H29" s="21"/>
      <c r="I29" s="22" t="s">
        <v>23</v>
      </c>
      <c r="J29" s="22" t="s">
        <v>793</v>
      </c>
      <c r="K29" s="22" t="s">
        <v>24</v>
      </c>
      <c r="L29" s="2" t="str">
        <f t="shared" si="0"/>
        <v>insert into CHB_DATACHECK_RULE (CHECKRULEID,DATATYPE,CHECKCLASS,CHECKMETHOD,SRCPROPERTY,COMPARETO,OBJVALUE,REMARK,STATUS,NULLABLE) values ('W03E4A49-6810-5A9E-E050-007F01006A75','CHB_ASSET_INFO','com.joyintech.tams.common.svreport.datacheck.service.BaseCheckLib','isNotEmpty','TARGET_TYPE1','','','回购标的类别要素必填。','E','N');</v>
      </c>
    </row>
    <row r="30" spans="1:12" x14ac:dyDescent="0.15">
      <c r="A30" s="9">
        <v>27</v>
      </c>
      <c r="B30" s="21" t="s">
        <v>89</v>
      </c>
      <c r="C30" s="23" t="s">
        <v>1484</v>
      </c>
      <c r="D30" s="22" t="s">
        <v>21</v>
      </c>
      <c r="E30" s="22" t="s">
        <v>62</v>
      </c>
      <c r="F30" s="22" t="s">
        <v>792</v>
      </c>
      <c r="G30" s="22" t="s">
        <v>25</v>
      </c>
      <c r="H30" s="21" t="s">
        <v>26</v>
      </c>
      <c r="I30" s="22" t="s">
        <v>27</v>
      </c>
      <c r="J30" s="22" t="s">
        <v>794</v>
      </c>
      <c r="K30" s="22" t="s">
        <v>24</v>
      </c>
      <c r="L30" s="2" t="str">
        <f t="shared" si="0"/>
        <v>insert into CHB_DATACHECK_RULE (CHECKRULEID,DATATYPE,CHECKCLASS,CHECKMETHOD,SRCPROPERTY,COMPARETO,OBJVALUE,REMARK,STATUS,NULLABLE) values ('W03E4A49-6810-5A9E-E050-007F01006A76','CHB_ASSET_INFO','com.joyintech.tams.common.svreport.datacheck.service.BaseCheckLib','lessThanCharLength','TARGET_TYPE1','==','0','回购标的类别要素必须为空。','E','Y');</v>
      </c>
    </row>
    <row r="31" spans="1:12" x14ac:dyDescent="0.15">
      <c r="A31" s="17">
        <v>28</v>
      </c>
      <c r="B31" s="21" t="s">
        <v>90</v>
      </c>
      <c r="C31" s="23" t="s">
        <v>1484</v>
      </c>
      <c r="D31" s="22" t="s">
        <v>21</v>
      </c>
      <c r="E31" s="22" t="s">
        <v>30</v>
      </c>
      <c r="F31" s="22" t="s">
        <v>792</v>
      </c>
      <c r="G31" s="22" t="s">
        <v>25</v>
      </c>
      <c r="H31" s="21" t="s">
        <v>795</v>
      </c>
      <c r="I31" s="22" t="s">
        <v>27</v>
      </c>
      <c r="J31" s="22" t="s">
        <v>796</v>
      </c>
      <c r="K31" s="22" t="s">
        <v>24</v>
      </c>
      <c r="L31" s="2" t="str">
        <f t="shared" si="0"/>
        <v>insert into CHB_DATACHECK_RULE (CHECKRULEID,DATATYPE,CHECKCLASS,CHECKMETHOD,SRCPROPERTY,COMPARETO,OBJVALUE,REMARK,STATUS,NULLABLE) values ('W03E4A49-6810-5A9E-E050-007F01006A78','CHB_ASSET_INFO','com.joyintech.tams.common.svreport.datacheck.service.BaseCheckLib','inDatadict','TARGET_TYPE1','==','SVR_TARGET_TYPE2','回购标的类别不在值域范围内','E','Y');</v>
      </c>
    </row>
    <row r="32" spans="1:12" x14ac:dyDescent="0.15">
      <c r="A32" s="9">
        <v>29</v>
      </c>
      <c r="B32" s="21" t="s">
        <v>91</v>
      </c>
      <c r="C32" s="23" t="s">
        <v>1484</v>
      </c>
      <c r="D32" s="22" t="s">
        <v>21</v>
      </c>
      <c r="E32" s="22" t="s">
        <v>22</v>
      </c>
      <c r="F32" s="22" t="s">
        <v>797</v>
      </c>
      <c r="G32" s="22"/>
      <c r="H32" s="21"/>
      <c r="I32" s="22" t="s">
        <v>23</v>
      </c>
      <c r="J32" s="22" t="s">
        <v>798</v>
      </c>
      <c r="K32" s="22" t="s">
        <v>24</v>
      </c>
      <c r="L32" s="2" t="str">
        <f t="shared" si="0"/>
        <v>insert into CHB_DATACHECK_RULE (CHECKRULEID,DATATYPE,CHECKCLASS,CHECKMETHOD,SRCPROPERTY,COMPARETO,OBJVALUE,REMARK,STATUS,NULLABLE) values ('W03E4A49-6810-5A9E-E050-007F01006A79','CHB_ASSET_INFO','com.joyintech.tams.common.svreport.datacheck.service.BaseCheckLib','isNotEmpty','TARGET_AMT','','','回购标的金额要素不可为空。','E','N');</v>
      </c>
    </row>
    <row r="33" spans="1:12" x14ac:dyDescent="0.15">
      <c r="A33" s="17">
        <v>30</v>
      </c>
      <c r="B33" s="21" t="s">
        <v>92</v>
      </c>
      <c r="C33" s="23" t="s">
        <v>1484</v>
      </c>
      <c r="D33" s="22" t="s">
        <v>21</v>
      </c>
      <c r="E33" s="22" t="s">
        <v>22</v>
      </c>
      <c r="F33" s="22" t="s">
        <v>797</v>
      </c>
      <c r="G33" s="22"/>
      <c r="H33" s="21"/>
      <c r="I33" s="22" t="s">
        <v>23</v>
      </c>
      <c r="J33" s="22" t="s">
        <v>798</v>
      </c>
      <c r="K33" s="22" t="s">
        <v>24</v>
      </c>
      <c r="L33" s="2" t="str">
        <f t="shared" si="0"/>
        <v>insert into CHB_DATACHECK_RULE (CHECKRULEID,DATATYPE,CHECKCLASS,CHECKMETHOD,SRCPROPERTY,COMPARETO,OBJVALUE,REMARK,STATUS,NULLABLE) values ('W03E4A49-6810-5A9E-E050-007F01006A80','CHB_ASSET_INFO','com.joyintech.tams.common.svreport.datacheck.service.BaseCheckLib','isNotEmpty','TARGET_AMT','','','回购标的金额要素不可为空。','E','N');</v>
      </c>
    </row>
    <row r="34" spans="1:12" x14ac:dyDescent="0.15">
      <c r="A34" s="9">
        <v>31</v>
      </c>
      <c r="B34" s="21" t="s">
        <v>93</v>
      </c>
      <c r="C34" s="23" t="s">
        <v>1484</v>
      </c>
      <c r="D34" s="22" t="s">
        <v>21</v>
      </c>
      <c r="E34" s="22" t="s">
        <v>62</v>
      </c>
      <c r="F34" s="22" t="s">
        <v>797</v>
      </c>
      <c r="G34" s="22" t="s">
        <v>25</v>
      </c>
      <c r="H34" s="21" t="s">
        <v>26</v>
      </c>
      <c r="I34" s="22" t="s">
        <v>27</v>
      </c>
      <c r="J34" s="22" t="s">
        <v>799</v>
      </c>
      <c r="K34" s="22" t="s">
        <v>24</v>
      </c>
      <c r="L34" s="2" t="str">
        <f t="shared" si="0"/>
        <v>insert into CHB_DATACHECK_RULE (CHECKRULEID,DATATYPE,CHECKCLASS,CHECKMETHOD,SRCPROPERTY,COMPARETO,OBJVALUE,REMARK,STATUS,NULLABLE) values ('W03E4A49-6810-5A9E-E050-007F01006A81','CHB_ASSET_INFO','com.joyintech.tams.common.svreport.datacheck.service.BaseCheckLib','lessThanCharLength','TARGET_AMT','==','0','回购标的金额要素必须为空。','E','Y');</v>
      </c>
    </row>
    <row r="35" spans="1:12" x14ac:dyDescent="0.15">
      <c r="A35" s="17">
        <v>32</v>
      </c>
      <c r="B35" s="21" t="s">
        <v>94</v>
      </c>
      <c r="C35" s="23" t="s">
        <v>1484</v>
      </c>
      <c r="D35" s="22" t="s">
        <v>21</v>
      </c>
      <c r="E35" s="22" t="s">
        <v>32</v>
      </c>
      <c r="F35" s="22" t="s">
        <v>797</v>
      </c>
      <c r="G35" s="22"/>
      <c r="H35" s="21" t="s">
        <v>36</v>
      </c>
      <c r="I35" s="22" t="s">
        <v>27</v>
      </c>
      <c r="J35" s="22" t="s">
        <v>800</v>
      </c>
      <c r="K35" s="22" t="s">
        <v>24</v>
      </c>
      <c r="L35" s="2" t="str">
        <f t="shared" si="0"/>
        <v>insert into CHB_DATACHECK_RULE (CHECKRULEID,DATATYPE,CHECKCLASS,CHECKMETHOD,SRCPROPERTY,COMPARETO,OBJVALUE,REMARK,STATUS,NULLABLE) values ('W03E4A49-6810-5A9E-E050-007F01006A83','CHB_ASSET_INFO','com.joyintech.tams.common.svreport.datacheck.service.BaseCheckLib','isNumber2','TARGET_AMT','','15,2','回购标的金额必须为n(15,2)格式。','E','Y');</v>
      </c>
    </row>
    <row r="36" spans="1:12" x14ac:dyDescent="0.15">
      <c r="A36" s="9">
        <v>33</v>
      </c>
      <c r="B36" s="21" t="s">
        <v>95</v>
      </c>
      <c r="C36" s="23" t="s">
        <v>1484</v>
      </c>
      <c r="D36" s="22" t="s">
        <v>21</v>
      </c>
      <c r="E36" s="22" t="s">
        <v>34</v>
      </c>
      <c r="F36" s="22" t="s">
        <v>797</v>
      </c>
      <c r="G36" s="22" t="s">
        <v>35</v>
      </c>
      <c r="H36" s="21" t="s">
        <v>26</v>
      </c>
      <c r="I36" s="22" t="s">
        <v>27</v>
      </c>
      <c r="J36" s="22" t="s">
        <v>801</v>
      </c>
      <c r="K36" s="22" t="s">
        <v>24</v>
      </c>
      <c r="L36" s="2" t="str">
        <f t="shared" si="0"/>
        <v>insert into CHB_DATACHECK_RULE (CHECKRULEID,DATATYPE,CHECKCLASS,CHECKMETHOD,SRCPROPERTY,COMPARETO,OBJVALUE,REMARK,STATUS,NULLABLE) values ('W03E4A49-6810-5A9E-E050-007F01006A84','CHB_ASSET_INFO','com.joyintech.tams.common.svreport.datacheck.service.BaseCheckLib','compareValueAsNumber','TARGET_AMT','&gt;=','0','回购标的金额必须大于等于0。','E','Y');</v>
      </c>
    </row>
    <row r="37" spans="1:12" x14ac:dyDescent="0.15">
      <c r="A37" s="17">
        <v>34</v>
      </c>
      <c r="B37" s="21" t="s">
        <v>96</v>
      </c>
      <c r="C37" s="23" t="s">
        <v>1484</v>
      </c>
      <c r="D37" s="22" t="s">
        <v>21</v>
      </c>
      <c r="E37" s="22" t="s">
        <v>62</v>
      </c>
      <c r="F37" s="22" t="s">
        <v>8</v>
      </c>
      <c r="G37" s="22"/>
      <c r="H37" s="21" t="s">
        <v>2331</v>
      </c>
      <c r="I37" s="22" t="s">
        <v>27</v>
      </c>
      <c r="J37" s="22" t="s">
        <v>802</v>
      </c>
      <c r="K37" s="22" t="s">
        <v>24</v>
      </c>
      <c r="L37" s="2" t="str">
        <f t="shared" si="0"/>
        <v>insert into CHB_DATACHECK_RULE (CHECKRULEID,DATATYPE,CHECKCLASS,CHECKMETHOD,SRCPROPERTY,COMPARETO,OBJVALUE,REMARK,STATUS,NULLABLE) values ('W03E4A49-6810-5A9E-E050-007F01006A85','CHB_ASSET_INFO','com.joyintech.tams.common.svreport.datacheck.service.BaseCheckLib','lessThanCharLength','REMARK','','257','备注不能超过256字符','E','Y');</v>
      </c>
    </row>
    <row r="38" spans="1:12" x14ac:dyDescent="0.15">
      <c r="A38" s="9">
        <v>35</v>
      </c>
      <c r="B38" s="21" t="s">
        <v>97</v>
      </c>
      <c r="C38" s="23" t="s">
        <v>1484</v>
      </c>
      <c r="D38" s="22" t="s">
        <v>21</v>
      </c>
      <c r="E38" s="22" t="s">
        <v>30</v>
      </c>
      <c r="F38" s="22" t="s">
        <v>803</v>
      </c>
      <c r="G38" s="22" t="s">
        <v>25</v>
      </c>
      <c r="H38" s="21" t="s">
        <v>58</v>
      </c>
      <c r="I38" s="22" t="s">
        <v>23</v>
      </c>
      <c r="J38" s="22" t="s">
        <v>804</v>
      </c>
      <c r="K38" s="22" t="s">
        <v>24</v>
      </c>
      <c r="L38" s="2" t="str">
        <f t="shared" si="0"/>
        <v>insert into CHB_DATACHECK_RULE (CHECKRULEID,DATATYPE,CHECKCLASS,CHECKMETHOD,SRCPROPERTY,COMPARETO,OBJVALUE,REMARK,STATUS,NULLABLE) values ('W03E4A49-6810-5A9E-E050-007F01006A86','CHB_ASSET_INFO','com.joyintech.tams.common.svreport.datacheck.service.BaseCheckLib','inDatadict','COUNTRY_AREA','==','SVR_COUNTRY_AREA','所属国家或地区必填或不在值域范围内。','E','N');</v>
      </c>
    </row>
    <row r="39" spans="1:12" x14ac:dyDescent="0.15">
      <c r="A39" s="17">
        <v>36</v>
      </c>
      <c r="B39" s="21" t="s">
        <v>98</v>
      </c>
      <c r="C39" s="23" t="s">
        <v>1484</v>
      </c>
      <c r="D39" s="22" t="s">
        <v>21</v>
      </c>
      <c r="E39" s="22" t="s">
        <v>22</v>
      </c>
      <c r="F39" s="22" t="s">
        <v>805</v>
      </c>
      <c r="G39" s="22"/>
      <c r="H39" s="21"/>
      <c r="I39" s="22" t="s">
        <v>23</v>
      </c>
      <c r="J39" s="22" t="s">
        <v>806</v>
      </c>
      <c r="K39" s="22" t="s">
        <v>24</v>
      </c>
      <c r="L39" s="2" t="str">
        <f t="shared" si="0"/>
        <v>insert into CHB_DATACHECK_RULE (CHECKRULEID,DATATYPE,CHECKCLASS,CHECKMETHOD,SRCPROPERTY,COMPARETO,OBJVALUE,REMARK,STATUS,NULLABLE) values ('W03E4A49-6810-5A9E-E050-007F01006A87','CHB_ASSET_INFO','com.joyintech.tams.common.svreport.datacheck.service.BaseCheckLib','isNotEmpty','ASSET_ID','','','股票/基金代码要素不可为空。','E','N');</v>
      </c>
    </row>
    <row r="40" spans="1:12" x14ac:dyDescent="0.15">
      <c r="A40" s="9">
        <v>37</v>
      </c>
      <c r="B40" s="21" t="s">
        <v>99</v>
      </c>
      <c r="C40" s="23" t="s">
        <v>1484</v>
      </c>
      <c r="D40" s="22" t="s">
        <v>21</v>
      </c>
      <c r="E40" s="22" t="s">
        <v>62</v>
      </c>
      <c r="F40" s="22" t="s">
        <v>807</v>
      </c>
      <c r="G40" s="22"/>
      <c r="H40" s="21" t="s">
        <v>2330</v>
      </c>
      <c r="I40" s="22" t="s">
        <v>23</v>
      </c>
      <c r="J40" s="22" t="s">
        <v>808</v>
      </c>
      <c r="K40" s="22" t="s">
        <v>24</v>
      </c>
      <c r="L40" s="2" t="str">
        <f t="shared" si="0"/>
        <v>insert into CHB_DATACHECK_RULE (CHECKRULEID,DATATYPE,CHECKCLASS,CHECKMETHOD,SRCPROPERTY,COMPARETO,OBJVALUE,REMARK,STATUS,NULLABLE) values ('W03E4A49-6810-5A9E-E050-007F01006A88','CHB_ASSET_INFO','com.joyintech.tams.common.svreport.datacheck.service.BaseCheckLib','lessThanCharLength','ASSET_NAME','','201','股票/基金名称不可为空且不能过长。','E','N');</v>
      </c>
    </row>
    <row r="41" spans="1:12" x14ac:dyDescent="0.15">
      <c r="A41" s="17">
        <v>38</v>
      </c>
      <c r="B41" s="21" t="s">
        <v>100</v>
      </c>
      <c r="C41" s="23" t="s">
        <v>1484</v>
      </c>
      <c r="D41" s="22" t="s">
        <v>21</v>
      </c>
      <c r="E41" s="22" t="s">
        <v>22</v>
      </c>
      <c r="F41" s="22" t="s">
        <v>809</v>
      </c>
      <c r="G41" s="22"/>
      <c r="H41" s="21"/>
      <c r="I41" s="22" t="s">
        <v>23</v>
      </c>
      <c r="J41" s="22" t="s">
        <v>810</v>
      </c>
      <c r="K41" s="22" t="s">
        <v>24</v>
      </c>
      <c r="L41" s="2" t="str">
        <f t="shared" si="0"/>
        <v>insert into CHB_DATACHECK_RULE (CHECKRULEID,DATATYPE,CHECKCLASS,CHECKMETHOD,SRCPROPERTY,COMPARETO,OBJVALUE,REMARK,STATUS,NULLABLE) values ('W03E4A49-6810-5A9E-E050-007F01006A90','CHB_ASSET_INFO','com.joyintech.tams.common.svreport.datacheck.service.BaseCheckLib','isNotEmpty','ISSUE_PARTY_NAME','','','发行机构不可为空','E','N');</v>
      </c>
    </row>
    <row r="42" spans="1:12" x14ac:dyDescent="0.15">
      <c r="A42" s="9">
        <v>39</v>
      </c>
      <c r="B42" s="21" t="s">
        <v>101</v>
      </c>
      <c r="C42" s="23" t="s">
        <v>1484</v>
      </c>
      <c r="D42" s="22" t="s">
        <v>21</v>
      </c>
      <c r="E42" s="22" t="s">
        <v>22</v>
      </c>
      <c r="F42" s="22" t="s">
        <v>811</v>
      </c>
      <c r="G42" s="22"/>
      <c r="H42" s="21"/>
      <c r="I42" s="22" t="s">
        <v>23</v>
      </c>
      <c r="J42" s="22" t="s">
        <v>812</v>
      </c>
      <c r="K42" s="22" t="s">
        <v>24</v>
      </c>
      <c r="L42" s="2" t="str">
        <f t="shared" si="0"/>
        <v>insert into CHB_DATACHECK_RULE (CHECKRULEID,DATATYPE,CHECKCLASS,CHECKMETHOD,SRCPROPERTY,COMPARETO,OBJVALUE,REMARK,STATUS,NULLABLE) values ('W03E4A49-6810-5A9E-E050-007F01006A91','CHB_ASSET_INFO','com.joyintech.tams.common.svreport.datacheck.service.BaseCheckLib','isNotEmpty','INDUSTRY_SHARES2','','','行业二级分类不可为空','E','N');</v>
      </c>
    </row>
    <row r="43" spans="1:12" x14ac:dyDescent="0.15">
      <c r="A43" s="17">
        <v>40</v>
      </c>
      <c r="B43" s="21" t="s">
        <v>102</v>
      </c>
      <c r="C43" s="23" t="s">
        <v>1484</v>
      </c>
      <c r="D43" s="22" t="s">
        <v>21</v>
      </c>
      <c r="E43" s="22" t="s">
        <v>30</v>
      </c>
      <c r="F43" s="22" t="s">
        <v>803</v>
      </c>
      <c r="G43" s="22" t="s">
        <v>25</v>
      </c>
      <c r="H43" s="21" t="s">
        <v>58</v>
      </c>
      <c r="I43" s="22" t="s">
        <v>23</v>
      </c>
      <c r="J43" s="22" t="s">
        <v>804</v>
      </c>
      <c r="K43" s="22" t="s">
        <v>24</v>
      </c>
      <c r="L43" s="2" t="str">
        <f t="shared" si="0"/>
        <v>insert into CHB_DATACHECK_RULE (CHECKRULEID,DATATYPE,CHECKCLASS,CHECKMETHOD,SRCPROPERTY,COMPARETO,OBJVALUE,REMARK,STATUS,NULLABLE) values ('W03E4A49-6810-5A9E-E050-007F01006A92','CHB_ASSET_INFO','com.joyintech.tams.common.svreport.datacheck.service.BaseCheckLib','inDatadict','COUNTRY_AREA','==','SVR_COUNTRY_AREA','所属国家或地区必填或不在值域范围内。','E','N');</v>
      </c>
    </row>
    <row r="44" spans="1:12" x14ac:dyDescent="0.15">
      <c r="A44" s="9">
        <v>41</v>
      </c>
      <c r="B44" s="21" t="s">
        <v>103</v>
      </c>
      <c r="C44" s="23" t="s">
        <v>1484</v>
      </c>
      <c r="D44" s="22" t="s">
        <v>21</v>
      </c>
      <c r="E44" s="22" t="s">
        <v>38</v>
      </c>
      <c r="F44" s="22" t="s">
        <v>766</v>
      </c>
      <c r="G44" s="22" t="s">
        <v>25</v>
      </c>
      <c r="H44" s="21" t="s">
        <v>767</v>
      </c>
      <c r="I44" s="22" t="s">
        <v>27</v>
      </c>
      <c r="J44" s="22" t="s">
        <v>788</v>
      </c>
      <c r="K44" s="22" t="s">
        <v>24</v>
      </c>
      <c r="L44" s="2" t="str">
        <f t="shared" si="0"/>
        <v>insert into CHB_DATACHECK_RULE (CHECKRULEID,DATATYPE,CHECKCLASS,CHECKMETHOD,SRCPROPERTY,COMPARETO,OBJVALUE,REMARK,STATUS,NULLABLE) values ('W03E4A49-6810-5A9E-E050-007F01006A94','CHB_ASSET_INFO','com.joyintech.tams.common.svreport.datacheck.service.BaseCheckLib','isValidDate','VDATE','==','yyyy-MM-dd','起息日必须为日期格式（YYYY-MM-DD）。','E','Y');</v>
      </c>
    </row>
    <row r="45" spans="1:12" x14ac:dyDescent="0.15">
      <c r="A45" s="17">
        <v>42</v>
      </c>
      <c r="B45" s="21" t="s">
        <v>104</v>
      </c>
      <c r="C45" s="23" t="s">
        <v>1484</v>
      </c>
      <c r="D45" s="22" t="s">
        <v>21</v>
      </c>
      <c r="E45" s="22" t="s">
        <v>38</v>
      </c>
      <c r="F45" s="22" t="s">
        <v>769</v>
      </c>
      <c r="G45" s="22" t="s">
        <v>25</v>
      </c>
      <c r="H45" s="21" t="s">
        <v>767</v>
      </c>
      <c r="I45" s="22" t="s">
        <v>27</v>
      </c>
      <c r="J45" s="22" t="s">
        <v>770</v>
      </c>
      <c r="K45" s="22" t="s">
        <v>24</v>
      </c>
      <c r="L45" s="2" t="str">
        <f t="shared" si="0"/>
        <v>insert into CHB_DATACHECK_RULE (CHECKRULEID,DATATYPE,CHECKCLASS,CHECKMETHOD,SRCPROPERTY,COMPARETO,OBJVALUE,REMARK,STATUS,NULLABLE) values ('W03E4A49-6810-5A9E-E050-007F01006A95','CHB_ASSET_INFO','com.joyintech.tams.common.svreport.datacheck.service.BaseCheckLib','isValidDate','MDATE','==','yyyy-MM-dd','到期日要素必填且必须为日期格式（YYYY-MM-DD）。','E','Y');</v>
      </c>
    </row>
    <row r="46" spans="1:12" x14ac:dyDescent="0.15">
      <c r="A46" s="9">
        <v>43</v>
      </c>
      <c r="B46" s="21" t="s">
        <v>105</v>
      </c>
      <c r="C46" s="23" t="s">
        <v>1484</v>
      </c>
      <c r="D46" s="22" t="s">
        <v>21</v>
      </c>
      <c r="E46" s="22" t="s">
        <v>39</v>
      </c>
      <c r="F46" s="22" t="s">
        <v>769</v>
      </c>
      <c r="G46" s="22" t="s">
        <v>35</v>
      </c>
      <c r="H46" s="21" t="s">
        <v>766</v>
      </c>
      <c r="I46" s="22" t="s">
        <v>27</v>
      </c>
      <c r="J46" s="22" t="s">
        <v>771</v>
      </c>
      <c r="K46" s="22" t="s">
        <v>24</v>
      </c>
      <c r="L46" s="2" t="str">
        <f t="shared" si="0"/>
        <v>insert into CHB_DATACHECK_RULE (CHECKRULEID,DATATYPE,CHECKCLASS,CHECKMETHOD,SRCPROPERTY,COMPARETO,OBJVALUE,REMARK,STATUS,NULLABLE) values ('W03E4A49-6810-5A9E-E050-007F01006A96','CHB_ASSET_INFO','com.joyintech.tams.common.svreport.datacheck.service.BaseCheckLib','compareProperty','MDATE','&gt;=','VDATE','到期日必须大于等于起息日。','E','Y');</v>
      </c>
    </row>
    <row r="47" spans="1:12" x14ac:dyDescent="0.15">
      <c r="A47" s="17">
        <v>44</v>
      </c>
      <c r="B47" s="21" t="s">
        <v>106</v>
      </c>
      <c r="C47" s="23" t="s">
        <v>1484</v>
      </c>
      <c r="D47" s="22" t="s">
        <v>21</v>
      </c>
      <c r="E47" s="22" t="s">
        <v>32</v>
      </c>
      <c r="F47" s="22" t="s">
        <v>772</v>
      </c>
      <c r="G47" s="22"/>
      <c r="H47" s="21" t="s">
        <v>33</v>
      </c>
      <c r="I47" s="22" t="s">
        <v>27</v>
      </c>
      <c r="J47" s="22" t="s">
        <v>773</v>
      </c>
      <c r="K47" s="22" t="s">
        <v>24</v>
      </c>
      <c r="L47" s="2" t="str">
        <f t="shared" si="0"/>
        <v>insert into CHB_DATACHECK_RULE (CHECKRULEID,DATATYPE,CHECKCLASS,CHECKMETHOD,SRCPROPERTY,COMPARETO,OBJVALUE,REMARK,STATUS,NULLABLE) values ('W03E4A49-6810-5A9E-E050-007F01006A97','CHB_ASSET_INFO','com.joyintech.tams.common.svreport.datacheck.service.BaseCheckLib','isNumber2','ASSET_YIELD','','8,5','年利率%以百分数形式表示时必须为n(8,5)格式。','E','Y');</v>
      </c>
    </row>
    <row r="48" spans="1:12" x14ac:dyDescent="0.15">
      <c r="A48" s="9">
        <v>45</v>
      </c>
      <c r="B48" s="21" t="s">
        <v>107</v>
      </c>
      <c r="C48" s="23" t="s">
        <v>1484</v>
      </c>
      <c r="D48" s="22" t="s">
        <v>21</v>
      </c>
      <c r="E48" s="22" t="s">
        <v>34</v>
      </c>
      <c r="F48" s="22" t="s">
        <v>772</v>
      </c>
      <c r="G48" s="22" t="s">
        <v>35</v>
      </c>
      <c r="H48" s="21" t="s">
        <v>26</v>
      </c>
      <c r="I48" s="22" t="s">
        <v>27</v>
      </c>
      <c r="J48" s="22" t="s">
        <v>774</v>
      </c>
      <c r="K48" s="22" t="s">
        <v>24</v>
      </c>
      <c r="L48" s="2" t="str">
        <f t="shared" si="0"/>
        <v>insert into CHB_DATACHECK_RULE (CHECKRULEID,DATATYPE,CHECKCLASS,CHECKMETHOD,SRCPROPERTY,COMPARETO,OBJVALUE,REMARK,STATUS,NULLABLE) values ('W03E4A49-6810-5A9E-E050-007F01006A98','CHB_ASSET_INFO','com.joyintech.tams.common.svreport.datacheck.service.BaseCheckLib','compareValueAsNumber','ASSET_YIELD','&gt;=','0','年利率%必须大于等于0。','E','Y');</v>
      </c>
    </row>
    <row r="49" spans="1:12" x14ac:dyDescent="0.15">
      <c r="A49" s="17">
        <v>46</v>
      </c>
      <c r="B49" s="21" t="s">
        <v>108</v>
      </c>
      <c r="C49" s="23" t="s">
        <v>1484</v>
      </c>
      <c r="D49" s="22" t="s">
        <v>21</v>
      </c>
      <c r="E49" s="22" t="s">
        <v>30</v>
      </c>
      <c r="F49" s="22" t="s">
        <v>775</v>
      </c>
      <c r="G49" s="22" t="s">
        <v>25</v>
      </c>
      <c r="H49" s="21" t="s">
        <v>777</v>
      </c>
      <c r="I49" s="22" t="s">
        <v>23</v>
      </c>
      <c r="J49" s="22" t="s">
        <v>789</v>
      </c>
      <c r="K49" s="22" t="s">
        <v>24</v>
      </c>
      <c r="L49" s="2" t="str">
        <f t="shared" si="0"/>
        <v>insert into CHB_DATACHECK_RULE (CHECKRULEID,DATATYPE,CHECKCLASS,CHECKMETHOD,SRCPROPERTY,COMPARETO,OBJVALUE,REMARK,STATUS,NULLABLE) values ('W03E4A49-6810-5A9E-E050-007F01006A99','CHB_ASSET_INFO','com.joyintech.tams.common.svreport.datacheck.service.BaseCheckLib','inDatadict','BASIS','==','SVR_BASIS','计息基础要素不可为空，且必须在值域范围内','E','N');</v>
      </c>
    </row>
    <row r="50" spans="1:12" x14ac:dyDescent="0.15">
      <c r="A50" s="9">
        <v>47</v>
      </c>
      <c r="B50" s="21" t="s">
        <v>109</v>
      </c>
      <c r="C50" s="23" t="s">
        <v>1484</v>
      </c>
      <c r="D50" s="22" t="s">
        <v>21</v>
      </c>
      <c r="E50" s="22" t="s">
        <v>62</v>
      </c>
      <c r="F50" s="22" t="s">
        <v>785</v>
      </c>
      <c r="G50" s="22" t="s">
        <v>25</v>
      </c>
      <c r="H50" s="21" t="s">
        <v>26</v>
      </c>
      <c r="I50" s="22" t="s">
        <v>27</v>
      </c>
      <c r="J50" s="22" t="s">
        <v>787</v>
      </c>
      <c r="K50" s="22" t="s">
        <v>24</v>
      </c>
      <c r="L50" s="2" t="str">
        <f t="shared" si="0"/>
        <v>insert into CHB_DATACHECK_RULE (CHECKRULEID,DATATYPE,CHECKCLASS,CHECKMETHOD,SRCPROPERTY,COMPARETO,OBJVALUE,REMARK,STATUS,NULLABLE) values ('W03E4A49-6810-5A9E-E050-007F01007A64','CHB_ASSET_INFO','com.joyintech.tams.common.svreport.datacheck.service.BaseCheckLib','lessThanCharLength','BANK_NAME','==','0','资金存入银行要素必须为空。','E','Y');</v>
      </c>
    </row>
    <row r="51" spans="1:12" x14ac:dyDescent="0.15">
      <c r="A51" s="17">
        <v>48</v>
      </c>
      <c r="B51" s="21" t="s">
        <v>110</v>
      </c>
      <c r="C51" s="23" t="s">
        <v>1484</v>
      </c>
      <c r="D51" s="22" t="s">
        <v>21</v>
      </c>
      <c r="E51" s="22" t="s">
        <v>30</v>
      </c>
      <c r="F51" s="22" t="s">
        <v>813</v>
      </c>
      <c r="G51" s="22" t="s">
        <v>25</v>
      </c>
      <c r="H51" s="21" t="s">
        <v>814</v>
      </c>
      <c r="I51" s="22" t="s">
        <v>27</v>
      </c>
      <c r="J51" s="22" t="s">
        <v>815</v>
      </c>
      <c r="K51" s="22" t="s">
        <v>24</v>
      </c>
      <c r="L51" s="2" t="str">
        <f t="shared" si="0"/>
        <v>insert into CHB_DATACHECK_RULE (CHECKRULEID,DATATYPE,CHECKCLASS,CHECKMETHOD,SRCPROPERTY,COMPARETO,OBJVALUE,REMARK,STATUS,NULLABLE) values ('W03E4A49-6810-5A9E-E050-007F01016A56','CHB_ASSET_INFO','com.joyintech.tams.common.svreport.datacheck.service.BaseCheckLib','inDatadict','BONDTOSTOCK_FLAG','==','SVR_YES_OR_NO','是否投向“市场化债转股相关产品的部分”不在值域范围内。','E','Y');</v>
      </c>
    </row>
    <row r="52" spans="1:12" x14ac:dyDescent="0.15">
      <c r="A52" s="9">
        <v>49</v>
      </c>
      <c r="B52" s="21" t="s">
        <v>111</v>
      </c>
      <c r="C52" s="23" t="s">
        <v>1484</v>
      </c>
      <c r="D52" s="22" t="s">
        <v>21</v>
      </c>
      <c r="E52" s="22" t="s">
        <v>30</v>
      </c>
      <c r="F52" s="22" t="s">
        <v>816</v>
      </c>
      <c r="G52" s="22" t="s">
        <v>25</v>
      </c>
      <c r="H52" s="21" t="s">
        <v>814</v>
      </c>
      <c r="I52" s="22" t="s">
        <v>27</v>
      </c>
      <c r="J52" s="22" t="s">
        <v>817</v>
      </c>
      <c r="K52" s="22" t="s">
        <v>24</v>
      </c>
      <c r="L52" s="2" t="str">
        <f t="shared" si="0"/>
        <v>insert into CHB_DATACHECK_RULE (CHECKRULEID,DATATYPE,CHECKCLASS,CHECKMETHOD,SRCPROPERTY,COMPARETO,OBJVALUE,REMARK,STATUS,NULLABLE) values ('W03E4A49-6810-5A9E-E050-007F01026A56','CHB_ASSET_INFO','com.joyintech.tams.common.svreport.datacheck.service.BaseCheckLib','inDatadict','PPPFLAG','==','SVR_YES_OR_NO','公共PPP不在值域范围内。','E','Y');</v>
      </c>
    </row>
    <row r="53" spans="1:12" x14ac:dyDescent="0.15">
      <c r="A53" s="17">
        <v>50</v>
      </c>
      <c r="B53" s="21" t="s">
        <v>112</v>
      </c>
      <c r="C53" s="23" t="s">
        <v>1484</v>
      </c>
      <c r="D53" s="22" t="s">
        <v>21</v>
      </c>
      <c r="E53" s="22" t="s">
        <v>62</v>
      </c>
      <c r="F53" s="22" t="s">
        <v>805</v>
      </c>
      <c r="G53" s="22"/>
      <c r="H53" s="21" t="s">
        <v>2332</v>
      </c>
      <c r="I53" s="22" t="s">
        <v>27</v>
      </c>
      <c r="J53" s="22" t="s">
        <v>818</v>
      </c>
      <c r="K53" s="22" t="s">
        <v>24</v>
      </c>
      <c r="L53" s="2" t="str">
        <f t="shared" si="0"/>
        <v>insert into CHB_DATACHECK_RULE (CHECKRULEID,DATATYPE,CHECKCLASS,CHECKMETHOD,SRCPROPERTY,COMPARETO,OBJVALUE,REMARK,STATUS,NULLABLE) values ('W03E4A49-6810-5A9E-E050-107F01006A87','CHB_ASSET_INFO','com.joyintech.tams.common.svreport.datacheck.service.BaseCheckLib','lessThanCharLength','ASSET_ID','','21','股票/基金代码过长','E','Y');</v>
      </c>
    </row>
    <row r="54" spans="1:12" x14ac:dyDescent="0.15">
      <c r="A54" s="9">
        <v>51</v>
      </c>
      <c r="B54" s="21" t="s">
        <v>113</v>
      </c>
      <c r="C54" s="23" t="s">
        <v>1484</v>
      </c>
      <c r="D54" s="22" t="s">
        <v>21</v>
      </c>
      <c r="E54" s="22" t="s">
        <v>62</v>
      </c>
      <c r="F54" s="22" t="s">
        <v>809</v>
      </c>
      <c r="G54" s="22"/>
      <c r="H54" s="21" t="s">
        <v>2330</v>
      </c>
      <c r="I54" s="22" t="s">
        <v>27</v>
      </c>
      <c r="J54" s="22" t="s">
        <v>819</v>
      </c>
      <c r="K54" s="22" t="s">
        <v>24</v>
      </c>
      <c r="L54" s="2" t="str">
        <f t="shared" si="0"/>
        <v>insert into CHB_DATACHECK_RULE (CHECKRULEID,DATATYPE,CHECKCLASS,CHECKMETHOD,SRCPROPERTY,COMPARETO,OBJVALUE,REMARK,STATUS,NULLABLE) values ('W03E4A49-6810-5A9E-E050-107F01006A90','CHB_ASSET_INFO','com.joyintech.tams.common.svreport.datacheck.service.BaseCheckLib','lessThanCharLength','ISSUE_PARTY_NAME','','201','发行机构过长','E','Y');</v>
      </c>
    </row>
    <row r="55" spans="1:12" x14ac:dyDescent="0.15">
      <c r="A55" s="17">
        <v>52</v>
      </c>
      <c r="B55" s="21" t="s">
        <v>114</v>
      </c>
      <c r="C55" s="23" t="s">
        <v>1484</v>
      </c>
      <c r="D55" s="22" t="s">
        <v>21</v>
      </c>
      <c r="E55" s="22" t="s">
        <v>30</v>
      </c>
      <c r="F55" s="22" t="s">
        <v>811</v>
      </c>
      <c r="G55" s="22" t="s">
        <v>25</v>
      </c>
      <c r="H55" s="21" t="s">
        <v>820</v>
      </c>
      <c r="I55" s="22" t="s">
        <v>27</v>
      </c>
      <c r="J55" s="22" t="s">
        <v>821</v>
      </c>
      <c r="K55" s="22" t="s">
        <v>24</v>
      </c>
      <c r="L55" s="2" t="str">
        <f t="shared" si="0"/>
        <v>insert into CHB_DATACHECK_RULE (CHECKRULEID,DATATYPE,CHECKCLASS,CHECKMETHOD,SRCPROPERTY,COMPARETO,OBJVALUE,REMARK,STATUS,NULLABLE) values ('W03E4A49-6810-5A9E-E050-107F01006A91','CHB_ASSET_INFO','com.joyintech.tams.common.svreport.datacheck.service.BaseCheckLib','inDatadict','INDUSTRY_SHARES2','==','INSTITUTION_INDUSTRY_SECOND_LEVEL','行业不在值域范围内。','E','Y');</v>
      </c>
    </row>
    <row r="56" spans="1:12" x14ac:dyDescent="0.15">
      <c r="A56" s="9">
        <v>53</v>
      </c>
      <c r="B56" s="21" t="s">
        <v>115</v>
      </c>
      <c r="C56" s="23" t="s">
        <v>1484</v>
      </c>
      <c r="D56" s="22" t="s">
        <v>21</v>
      </c>
      <c r="E56" s="22" t="s">
        <v>62</v>
      </c>
      <c r="F56" s="22" t="s">
        <v>785</v>
      </c>
      <c r="G56" s="22" t="s">
        <v>25</v>
      </c>
      <c r="H56" s="21" t="s">
        <v>26</v>
      </c>
      <c r="I56" s="22" t="s">
        <v>27</v>
      </c>
      <c r="J56" s="22" t="s">
        <v>787</v>
      </c>
      <c r="K56" s="22" t="s">
        <v>24</v>
      </c>
      <c r="L56" s="2" t="str">
        <f t="shared" si="0"/>
        <v>insert into CHB_DATACHECK_RULE (CHECKRULEID,DATATYPE,CHECKCLASS,CHECKMETHOD,SRCPROPERTY,COMPARETO,OBJVALUE,REMARK,STATUS,NULLABLE) values ('W03E4A49-6810-5A9E-E0WM-007F01006A64','CHB_ASSET_INFO','com.joyintech.tams.common.svreport.datacheck.service.BaseCheckLib','lessThanCharLength','BANK_NAME','==','0','资金存入银行要素必须为空。','E','Y');</v>
      </c>
    </row>
    <row r="57" spans="1:12" x14ac:dyDescent="0.15">
      <c r="A57" s="17">
        <v>54</v>
      </c>
      <c r="B57" s="21" t="s">
        <v>117</v>
      </c>
      <c r="C57" s="23" t="s">
        <v>1484</v>
      </c>
      <c r="D57" s="22" t="s">
        <v>21</v>
      </c>
      <c r="E57" s="22" t="s">
        <v>22</v>
      </c>
      <c r="F57" s="22" t="s">
        <v>831</v>
      </c>
      <c r="G57" s="22"/>
      <c r="H57" s="21"/>
      <c r="I57" s="22" t="s">
        <v>23</v>
      </c>
      <c r="J57" s="22" t="s">
        <v>832</v>
      </c>
      <c r="K57" s="22" t="s">
        <v>24</v>
      </c>
      <c r="L57" s="2" t="str">
        <f t="shared" si="0"/>
        <v>insert into CHB_DATACHECK_RULE (CHECKRULEID,DATATYPE,CHECKCLASS,CHECKMETHOD,SRCPROPERTY,COMPARETO,OBJVALUE,REMARK,STATUS,NULLABLE) values ('W11E4A49-6810-5A9E-E050-007F01006A22','CHB_ASSET_INFO','com.joyintech.tams.common.svreport.datacheck.service.BaseCheckLib','isNotEmpty','TRADE_MARKET','','','交易流通场所要素必填','E','N');</v>
      </c>
    </row>
    <row r="58" spans="1:12" x14ac:dyDescent="0.15">
      <c r="A58" s="9">
        <v>55</v>
      </c>
      <c r="B58" s="21" t="s">
        <v>1519</v>
      </c>
      <c r="C58" s="23" t="s">
        <v>1484</v>
      </c>
      <c r="D58" s="22" t="s">
        <v>21</v>
      </c>
      <c r="E58" s="22" t="s">
        <v>22</v>
      </c>
      <c r="F58" s="22" t="s">
        <v>822</v>
      </c>
      <c r="G58" s="22"/>
      <c r="H58" s="21"/>
      <c r="I58" s="22" t="s">
        <v>23</v>
      </c>
      <c r="J58" s="22" t="s">
        <v>823</v>
      </c>
      <c r="K58" s="22" t="s">
        <v>24</v>
      </c>
      <c r="L58" s="2" t="str">
        <f t="shared" si="0"/>
        <v>insert into CHB_DATACHECK_RULE (CHECKRULEID,DATATYPE,CHECKCLASS,CHECKMETHOD,SRCPROPERTY,COMPARETO,OBJVALUE,REMARK,STATUS,NULLABLE) values ('W13E4A49-6810-5A9E-E050-007F01006A55','CHB_ASSET_INFO','com.joyintech.tams.common.svreport.datacheck.service.BaseCheckLib','isNotEmpty','DEPO_TYPE','','','存款类型要素必填。','E','N');</v>
      </c>
    </row>
    <row r="59" spans="1:12" x14ac:dyDescent="0.15">
      <c r="A59" s="17">
        <v>56</v>
      </c>
      <c r="B59" s="21" t="s">
        <v>2281</v>
      </c>
      <c r="C59" s="23" t="s">
        <v>1484</v>
      </c>
      <c r="D59" s="22" t="s">
        <v>21</v>
      </c>
      <c r="E59" s="22" t="s">
        <v>62</v>
      </c>
      <c r="F59" s="22" t="s">
        <v>822</v>
      </c>
      <c r="G59" s="22" t="s">
        <v>25</v>
      </c>
      <c r="H59" s="21" t="s">
        <v>26</v>
      </c>
      <c r="I59" s="22" t="s">
        <v>27</v>
      </c>
      <c r="J59" s="22" t="s">
        <v>824</v>
      </c>
      <c r="K59" s="22" t="s">
        <v>24</v>
      </c>
      <c r="L59" s="2" t="str">
        <f t="shared" si="0"/>
        <v>insert into CHB_DATACHECK_RULE (CHECKRULEID,DATATYPE,CHECKCLASS,CHECKMETHOD,SRCPROPERTY,COMPARETO,OBJVALUE,REMARK,STATUS,NULLABLE) values ('W13E4A49-6810-5A9E-E050-007F01006A56','CHB_ASSET_INFO','com.joyintech.tams.common.svreport.datacheck.service.BaseCheckLib','lessThanCharLength','DEPO_TYPE','==','0','存款类型要素必须为空。','E','Y');</v>
      </c>
    </row>
    <row r="60" spans="1:12" x14ac:dyDescent="0.15">
      <c r="A60" s="9">
        <v>57</v>
      </c>
      <c r="B60" s="21" t="s">
        <v>1521</v>
      </c>
      <c r="C60" s="23" t="s">
        <v>1484</v>
      </c>
      <c r="D60" s="22" t="s">
        <v>21</v>
      </c>
      <c r="E60" s="22" t="s">
        <v>30</v>
      </c>
      <c r="F60" s="22" t="s">
        <v>779</v>
      </c>
      <c r="G60" s="22" t="s">
        <v>827</v>
      </c>
      <c r="H60" s="21" t="s">
        <v>828</v>
      </c>
      <c r="I60" s="22" t="s">
        <v>27</v>
      </c>
      <c r="J60" s="22" t="s">
        <v>829</v>
      </c>
      <c r="K60" s="22" t="s">
        <v>24</v>
      </c>
      <c r="L60" s="2" t="str">
        <f t="shared" si="0"/>
        <v>insert into CHB_DATACHECK_RULE (CHECKRULEID,DATATYPE,CHECKCLASS,CHECKMETHOD,SRCPROPERTY,COMPARETO,OBJVALUE,REMARK,STATUS,NULLABLE) values ('W13E4A49-6810-5A9E-E050-007F01006A59','CHB_ASSET_INFO','com.joyintech.tams.common.svreport.datacheck.service.BaseCheckLib','inDatadict','TARGET_TYPE','&lt;','SVR_TARGET_TYPE','结构性存款挂钩标的类别不在值域范围内并且结构性存款挂钩标的类别的多选选项不可重复。','E','Y');</v>
      </c>
    </row>
    <row r="61" spans="1:12" x14ac:dyDescent="0.15">
      <c r="A61" s="17">
        <v>58</v>
      </c>
      <c r="B61" s="21" t="s">
        <v>118</v>
      </c>
      <c r="C61" s="23" t="s">
        <v>1484</v>
      </c>
      <c r="D61" s="22" t="s">
        <v>21</v>
      </c>
      <c r="E61" s="22" t="s">
        <v>62</v>
      </c>
      <c r="F61" s="22" t="s">
        <v>782</v>
      </c>
      <c r="G61" s="22" t="s">
        <v>25</v>
      </c>
      <c r="H61" s="21" t="s">
        <v>2331</v>
      </c>
      <c r="I61" s="22" t="s">
        <v>27</v>
      </c>
      <c r="J61" s="22" t="s">
        <v>833</v>
      </c>
      <c r="K61" s="22" t="s">
        <v>24</v>
      </c>
      <c r="L61" s="2" t="str">
        <f t="shared" si="0"/>
        <v>insert into CHB_DATACHECK_RULE (CHECKRULEID,DATATYPE,CHECKCLASS,CHECKMETHOD,SRCPROPERTY,COMPARETO,OBJVALUE,REMARK,STATUS,NULLABLE) values ('W13E4A49-6810-5A9E-E050-007F01006A62','CHB_ASSET_INFO','com.joyintech.tams.common.svreport.datacheck.service.BaseCheckLib','lessThanCharLength','TARGET','==','257','结构性存款挂钩标的要素过长（最大长256字节）。','E','Y');</v>
      </c>
    </row>
    <row r="62" spans="1:12" x14ac:dyDescent="0.15">
      <c r="A62" s="9">
        <v>59</v>
      </c>
      <c r="B62" s="21" t="s">
        <v>1523</v>
      </c>
      <c r="C62" s="23" t="s">
        <v>1484</v>
      </c>
      <c r="D62" s="22" t="s">
        <v>21</v>
      </c>
      <c r="E62" s="22" t="s">
        <v>62</v>
      </c>
      <c r="F62" s="22" t="s">
        <v>785</v>
      </c>
      <c r="G62" s="22" t="s">
        <v>25</v>
      </c>
      <c r="H62" s="21" t="s">
        <v>2330</v>
      </c>
      <c r="I62" s="22" t="s">
        <v>27</v>
      </c>
      <c r="J62" s="22" t="s">
        <v>830</v>
      </c>
      <c r="K62" s="22" t="s">
        <v>24</v>
      </c>
      <c r="L62" s="2" t="str">
        <f t="shared" si="0"/>
        <v>insert into CHB_DATACHECK_RULE (CHECKRULEID,DATATYPE,CHECKCLASS,CHECKMETHOD,SRCPROPERTY,COMPARETO,OBJVALUE,REMARK,STATUS,NULLABLE) values ('W13E4A49-6810-5A9E-E050-007F01006A63','CHB_ASSET_INFO','com.joyintech.tams.common.svreport.datacheck.service.BaseCheckLib','lessThanCharLength','BANK_NAME','==','201','资金存入银行要素过长（最大长200字节）。','E','Y');</v>
      </c>
    </row>
    <row r="63" spans="1:12" x14ac:dyDescent="0.15">
      <c r="A63" s="17">
        <v>60</v>
      </c>
      <c r="B63" s="21" t="s">
        <v>1527</v>
      </c>
      <c r="C63" s="23" t="s">
        <v>1484</v>
      </c>
      <c r="D63" s="22" t="s">
        <v>21</v>
      </c>
      <c r="E63" s="22" t="s">
        <v>38</v>
      </c>
      <c r="F63" s="22" t="s">
        <v>769</v>
      </c>
      <c r="G63" s="22" t="s">
        <v>25</v>
      </c>
      <c r="H63" s="21" t="s">
        <v>767</v>
      </c>
      <c r="I63" s="22" t="s">
        <v>27</v>
      </c>
      <c r="J63" s="22" t="s">
        <v>770</v>
      </c>
      <c r="K63" s="22" t="s">
        <v>24</v>
      </c>
      <c r="L63" s="2" t="str">
        <f t="shared" si="0"/>
        <v>insert into CHB_DATACHECK_RULE (CHECKRULEID,DATATYPE,CHECKCLASS,CHECKMETHOD,SRCPROPERTY,COMPARETO,OBJVALUE,REMARK,STATUS,NULLABLE) values ('W13E4A49-6810-5A9E-E050-007F01006A68','CHB_ASSET_INFO','com.joyintech.tams.common.svreport.datacheck.service.BaseCheckLib','isValidDate','MDATE','==','yyyy-MM-dd','到期日要素必填且必须为日期格式（YYYY-MM-DD）。','E','Y');</v>
      </c>
    </row>
    <row r="64" spans="1:12" x14ac:dyDescent="0.15">
      <c r="A64" s="9">
        <v>61</v>
      </c>
      <c r="B64" s="21" t="s">
        <v>2333</v>
      </c>
      <c r="C64" s="23" t="s">
        <v>1484</v>
      </c>
      <c r="D64" s="22" t="s">
        <v>21</v>
      </c>
      <c r="E64" s="22" t="s">
        <v>30</v>
      </c>
      <c r="F64" s="22" t="s">
        <v>831</v>
      </c>
      <c r="G64" s="22" t="s">
        <v>25</v>
      </c>
      <c r="H64" s="21" t="s">
        <v>913</v>
      </c>
      <c r="I64" s="22" t="s">
        <v>27</v>
      </c>
      <c r="J64" s="22" t="s">
        <v>914</v>
      </c>
      <c r="K64" s="22" t="s">
        <v>24</v>
      </c>
      <c r="L64" s="2" t="str">
        <f t="shared" si="0"/>
        <v>insert into CHB_DATACHECK_RULE (CHECKRULEID,DATATYPE,CHECKCLASS,CHECKMETHOD,SRCPROPERTY,COMPARETO,OBJVALUE,REMARK,STATUS,NULLABLE) values ('W21E4A49-6810-5A9E-E050-007F01006A22','CHB_ASSET_INFO','com.joyintech.tams.common.svreport.datacheck.service.BaseCheckLib','inDatadict','TRADE_MARKET','==','SVR_TRADE_MARKET','交易流通场所不在值域范围内','E','Y');</v>
      </c>
    </row>
    <row r="65" spans="1:12" x14ac:dyDescent="0.15">
      <c r="A65" s="17">
        <v>62</v>
      </c>
      <c r="B65" s="21" t="s">
        <v>166</v>
      </c>
      <c r="C65" s="23" t="s">
        <v>1484</v>
      </c>
      <c r="D65" s="22" t="s">
        <v>21</v>
      </c>
      <c r="E65" s="22" t="s">
        <v>62</v>
      </c>
      <c r="F65" s="22" t="s">
        <v>790</v>
      </c>
      <c r="G65" s="22"/>
      <c r="H65" s="21" t="s">
        <v>2330</v>
      </c>
      <c r="I65" s="22" t="s">
        <v>23</v>
      </c>
      <c r="J65" s="22" t="s">
        <v>791</v>
      </c>
      <c r="K65" s="22" t="s">
        <v>24</v>
      </c>
      <c r="L65" s="2" t="str">
        <f t="shared" si="0"/>
        <v>insert into CHB_DATACHECK_RULE (CHECKRULEID,DATATYPE,CHECKCLASS,CHECKMETHOD,SRCPROPERTY,COMPARETO,OBJVALUE,REMARK,STATUS,NULLABLE) values ('W23E4A49-6810-5A9E-E050-007F01006A00','CHB_ASSET_INFO','com.joyintech.tams.common.svreport.datacheck.service.BaseCheckLib','lessThanCharLength','RIVAL_PARTY','','201','对手方不可为空或超长（最大长200字节）','E','N');</v>
      </c>
    </row>
    <row r="66" spans="1:12" x14ac:dyDescent="0.15">
      <c r="A66" s="9">
        <v>63</v>
      </c>
      <c r="B66" s="21" t="s">
        <v>167</v>
      </c>
      <c r="C66" s="23" t="s">
        <v>1484</v>
      </c>
      <c r="D66" s="22" t="s">
        <v>21</v>
      </c>
      <c r="E66" s="22" t="s">
        <v>30</v>
      </c>
      <c r="F66" s="22" t="s">
        <v>803</v>
      </c>
      <c r="G66" s="22" t="s">
        <v>25</v>
      </c>
      <c r="H66" s="21" t="s">
        <v>58</v>
      </c>
      <c r="I66" s="22" t="s">
        <v>23</v>
      </c>
      <c r="J66" s="22" t="s">
        <v>804</v>
      </c>
      <c r="K66" s="22" t="s">
        <v>24</v>
      </c>
      <c r="L66" s="2" t="str">
        <f t="shared" si="0"/>
        <v>insert into CHB_DATACHECK_RULE (CHECKRULEID,DATATYPE,CHECKCLASS,CHECKMETHOD,SRCPROPERTY,COMPARETO,OBJVALUE,REMARK,STATUS,NULLABLE) values ('W23E4A49-6810-5A9E-E050-007F01006A02','CHB_ASSET_INFO','com.joyintech.tams.common.svreport.datacheck.service.BaseCheckLib','inDatadict','COUNTRY_AREA','==','SVR_COUNTRY_AREA','所属国家或地区必填或不在值域范围内。','E','N');</v>
      </c>
    </row>
    <row r="67" spans="1:12" x14ac:dyDescent="0.15">
      <c r="A67" s="17">
        <v>64</v>
      </c>
      <c r="B67" s="21" t="s">
        <v>168</v>
      </c>
      <c r="C67" s="23" t="s">
        <v>1484</v>
      </c>
      <c r="D67" s="22" t="s">
        <v>21</v>
      </c>
      <c r="E67" s="22" t="s">
        <v>62</v>
      </c>
      <c r="F67" s="22" t="s">
        <v>805</v>
      </c>
      <c r="G67" s="22"/>
      <c r="H67" s="21" t="s">
        <v>2074</v>
      </c>
      <c r="I67" s="22" t="s">
        <v>23</v>
      </c>
      <c r="J67" s="22" t="s">
        <v>915</v>
      </c>
      <c r="K67" s="22" t="s">
        <v>24</v>
      </c>
      <c r="L67" s="2" t="str">
        <f t="shared" si="0"/>
        <v>insert into CHB_DATACHECK_RULE (CHECKRULEID,DATATYPE,CHECKCLASS,CHECKMETHOD,SRCPROPERTY,COMPARETO,OBJVALUE,REMARK,STATUS,NULLABLE) values ('W23E4A49-6810-5A9E-E050-007F01006A03','CHB_ASSET_INFO','com.joyintech.tams.common.svreport.datacheck.service.BaseCheckLib','lessThanCharLength','ASSET_ID','','16','债券代码要素不可为空且不能过长。','E','N');</v>
      </c>
    </row>
    <row r="68" spans="1:12" x14ac:dyDescent="0.15">
      <c r="A68" s="9">
        <v>65</v>
      </c>
      <c r="B68" s="21" t="s">
        <v>169</v>
      </c>
      <c r="C68" s="23" t="s">
        <v>1484</v>
      </c>
      <c r="D68" s="22" t="s">
        <v>21</v>
      </c>
      <c r="E68" s="22" t="s">
        <v>62</v>
      </c>
      <c r="F68" s="22" t="s">
        <v>807</v>
      </c>
      <c r="G68" s="22"/>
      <c r="H68" s="21" t="s">
        <v>2330</v>
      </c>
      <c r="I68" s="22" t="s">
        <v>23</v>
      </c>
      <c r="J68" s="22" t="s">
        <v>916</v>
      </c>
      <c r="K68" s="22" t="s">
        <v>24</v>
      </c>
      <c r="L68" s="2" t="str">
        <f t="shared" si="0"/>
        <v>insert into CHB_DATACHECK_RULE (CHECKRULEID,DATATYPE,CHECKCLASS,CHECKMETHOD,SRCPROPERTY,COMPARETO,OBJVALUE,REMARK,STATUS,NULLABLE) values ('W23E4A49-6810-5A9E-E050-007F01006A04','CHB_ASSET_INFO','com.joyintech.tams.common.svreport.datacheck.service.BaseCheckLib','lessThanCharLength','ASSET_NAME','','201','债券名称不可为空且不能过长。','E','N');</v>
      </c>
    </row>
    <row r="69" spans="1:12" x14ac:dyDescent="0.15">
      <c r="A69" s="17">
        <v>66</v>
      </c>
      <c r="B69" s="21" t="s">
        <v>170</v>
      </c>
      <c r="C69" s="23" t="s">
        <v>1484</v>
      </c>
      <c r="D69" s="22" t="s">
        <v>21</v>
      </c>
      <c r="E69" s="22" t="s">
        <v>22</v>
      </c>
      <c r="F69" s="22" t="s">
        <v>809</v>
      </c>
      <c r="G69" s="22"/>
      <c r="H69" s="21"/>
      <c r="I69" s="22" t="s">
        <v>23</v>
      </c>
      <c r="J69" s="22" t="s">
        <v>810</v>
      </c>
      <c r="K69" s="22" t="s">
        <v>24</v>
      </c>
      <c r="L69" s="2" t="str">
        <f t="shared" ref="L69:L132" si="1">CONCATENATE("insert into CHB_DATACHECK_RULE (CHECKRULEID,DATATYPE,CHECKCLASS,CHECKMETHOD,SRCPROPERTY,COMPARETO,OBJVALUE,REMARK,STATUS,NULLABLE) values ('",B69,"','",C69,"','",D69,"','",E69,"','",F69,"','",G69,"','",H69,"','",J69,"','",K69,"','",I69,"');")</f>
        <v>insert into CHB_DATACHECK_RULE (CHECKRULEID,DATATYPE,CHECKCLASS,CHECKMETHOD,SRCPROPERTY,COMPARETO,OBJVALUE,REMARK,STATUS,NULLABLE) values ('W23E4A49-6810-5A9E-E050-007F01006A05','CHB_ASSET_INFO','com.joyintech.tams.common.svreport.datacheck.service.BaseCheckLib','isNotEmpty','ISSUE_PARTY_NAME','','','发行机构不可为空','E','N');</v>
      </c>
    </row>
    <row r="70" spans="1:12" x14ac:dyDescent="0.15">
      <c r="A70" s="9">
        <v>67</v>
      </c>
      <c r="B70" s="21" t="s">
        <v>171</v>
      </c>
      <c r="C70" s="23" t="s">
        <v>1484</v>
      </c>
      <c r="D70" s="22" t="s">
        <v>21</v>
      </c>
      <c r="E70" s="22" t="s">
        <v>30</v>
      </c>
      <c r="F70" s="22" t="s">
        <v>917</v>
      </c>
      <c r="G70" s="22" t="s">
        <v>25</v>
      </c>
      <c r="H70" s="21" t="s">
        <v>820</v>
      </c>
      <c r="I70" s="22" t="s">
        <v>23</v>
      </c>
      <c r="J70" s="22" t="s">
        <v>918</v>
      </c>
      <c r="K70" s="22" t="s">
        <v>24</v>
      </c>
      <c r="L70" s="2" t="str">
        <f t="shared" si="1"/>
        <v>insert into CHB_DATACHECK_RULE (CHECKRULEID,DATATYPE,CHECKCLASS,CHECKMETHOD,SRCPROPERTY,COMPARETO,OBJVALUE,REMARK,STATUS,NULLABLE) values ('W23E4A49-6810-5A9E-E050-007F01006A06','CHB_ASSET_INFO','com.joyintech.tams.common.svreport.datacheck.service.BaseCheckLib','inDatadict','INDUSTRY_LEVEL2','==','INSTITUTION_INDUSTRY_SECOND_LEVEL','发行机构所属行业要素不可为空，且必须在值域范围内','E','N');</v>
      </c>
    </row>
    <row r="71" spans="1:12" x14ac:dyDescent="0.15">
      <c r="A71" s="17">
        <v>68</v>
      </c>
      <c r="B71" s="21" t="s">
        <v>172</v>
      </c>
      <c r="C71" s="23" t="s">
        <v>1484</v>
      </c>
      <c r="D71" s="22" t="s">
        <v>21</v>
      </c>
      <c r="E71" s="22" t="s">
        <v>28</v>
      </c>
      <c r="F71" s="22" t="s">
        <v>919</v>
      </c>
      <c r="G71" s="22"/>
      <c r="H71" s="21" t="s">
        <v>29</v>
      </c>
      <c r="I71" s="22" t="s">
        <v>23</v>
      </c>
      <c r="J71" s="22" t="s">
        <v>920</v>
      </c>
      <c r="K71" s="22" t="s">
        <v>24</v>
      </c>
      <c r="L71" s="2" t="str">
        <f t="shared" si="1"/>
        <v>insert into CHB_DATACHECK_RULE (CHECKRULEID,DATATYPE,CHECKCLASS,CHECKMETHOD,SRCPROPERTY,COMPARETO,OBJVALUE,REMARK,STATUS,NULLABLE) values ('W23E4A49-6810-5A9E-E050-007F01006A07','CHB_ASSET_INFO','com.joyintech.tams.common.svreport.datacheck.service.BaseCheckLib','isNumber','TERM_MONTH','','5,0','期限（月）不可为空且为n..5格式','E','N');</v>
      </c>
    </row>
    <row r="72" spans="1:12" x14ac:dyDescent="0.15">
      <c r="A72" s="9">
        <v>69</v>
      </c>
      <c r="B72" s="21" t="s">
        <v>173</v>
      </c>
      <c r="C72" s="23" t="s">
        <v>1484</v>
      </c>
      <c r="D72" s="22" t="s">
        <v>21</v>
      </c>
      <c r="E72" s="22" t="s">
        <v>34</v>
      </c>
      <c r="F72" s="22" t="s">
        <v>919</v>
      </c>
      <c r="G72" s="22" t="s">
        <v>35</v>
      </c>
      <c r="H72" s="21" t="s">
        <v>26</v>
      </c>
      <c r="I72" s="22" t="s">
        <v>27</v>
      </c>
      <c r="J72" s="22" t="s">
        <v>921</v>
      </c>
      <c r="K72" s="22" t="s">
        <v>24</v>
      </c>
      <c r="L72" s="2" t="str">
        <f t="shared" si="1"/>
        <v>insert into CHB_DATACHECK_RULE (CHECKRULEID,DATATYPE,CHECKCLASS,CHECKMETHOD,SRCPROPERTY,COMPARETO,OBJVALUE,REMARK,STATUS,NULLABLE) values ('W23E4A49-6810-5A9E-E050-007F01006A08','CHB_ASSET_INFO','com.joyintech.tams.common.svreport.datacheck.service.BaseCheckLib','compareValueAsNumber','TERM_MONTH','&gt;=','0','期限（月）必须大于等于0','E','Y');</v>
      </c>
    </row>
    <row r="73" spans="1:12" x14ac:dyDescent="0.15">
      <c r="A73" s="17">
        <v>70</v>
      </c>
      <c r="B73" s="21" t="s">
        <v>174</v>
      </c>
      <c r="C73" s="23" t="s">
        <v>1484</v>
      </c>
      <c r="D73" s="22" t="s">
        <v>21</v>
      </c>
      <c r="E73" s="22" t="s">
        <v>38</v>
      </c>
      <c r="F73" s="22" t="s">
        <v>766</v>
      </c>
      <c r="G73" s="22" t="s">
        <v>25</v>
      </c>
      <c r="H73" s="21" t="s">
        <v>767</v>
      </c>
      <c r="I73" s="22" t="s">
        <v>27</v>
      </c>
      <c r="J73" s="22" t="s">
        <v>788</v>
      </c>
      <c r="K73" s="22" t="s">
        <v>24</v>
      </c>
      <c r="L73" s="2" t="str">
        <f t="shared" si="1"/>
        <v>insert into CHB_DATACHECK_RULE (CHECKRULEID,DATATYPE,CHECKCLASS,CHECKMETHOD,SRCPROPERTY,COMPARETO,OBJVALUE,REMARK,STATUS,NULLABLE) values ('W23E4A49-6810-5A9E-E050-007F01006A09','CHB_ASSET_INFO','com.joyintech.tams.common.svreport.datacheck.service.BaseCheckLib','isValidDate','VDATE','==','yyyy-MM-dd','起息日必须为日期格式（YYYY-MM-DD）。','E','Y');</v>
      </c>
    </row>
    <row r="74" spans="1:12" x14ac:dyDescent="0.15">
      <c r="A74" s="9">
        <v>71</v>
      </c>
      <c r="B74" s="21" t="s">
        <v>175</v>
      </c>
      <c r="C74" s="23" t="s">
        <v>1484</v>
      </c>
      <c r="D74" s="22" t="s">
        <v>21</v>
      </c>
      <c r="E74" s="22" t="s">
        <v>38</v>
      </c>
      <c r="F74" s="22" t="s">
        <v>769</v>
      </c>
      <c r="G74" s="22" t="s">
        <v>25</v>
      </c>
      <c r="H74" s="21" t="s">
        <v>767</v>
      </c>
      <c r="I74" s="22" t="s">
        <v>27</v>
      </c>
      <c r="J74" s="22" t="s">
        <v>770</v>
      </c>
      <c r="K74" s="22" t="s">
        <v>24</v>
      </c>
      <c r="L74" s="2" t="str">
        <f t="shared" si="1"/>
        <v>insert into CHB_DATACHECK_RULE (CHECKRULEID,DATATYPE,CHECKCLASS,CHECKMETHOD,SRCPROPERTY,COMPARETO,OBJVALUE,REMARK,STATUS,NULLABLE) values ('W23E4A49-6810-5A9E-E050-007F01006A10','CHB_ASSET_INFO','com.joyintech.tams.common.svreport.datacheck.service.BaseCheckLib','isValidDate','MDATE','==','yyyy-MM-dd','到期日要素必填且必须为日期格式（YYYY-MM-DD）。','E','Y');</v>
      </c>
    </row>
    <row r="75" spans="1:12" x14ac:dyDescent="0.15">
      <c r="A75" s="17">
        <v>72</v>
      </c>
      <c r="B75" s="21" t="s">
        <v>176</v>
      </c>
      <c r="C75" s="23" t="s">
        <v>1484</v>
      </c>
      <c r="D75" s="22" t="s">
        <v>21</v>
      </c>
      <c r="E75" s="22" t="s">
        <v>39</v>
      </c>
      <c r="F75" s="22" t="s">
        <v>769</v>
      </c>
      <c r="G75" s="22" t="s">
        <v>35</v>
      </c>
      <c r="H75" s="21" t="s">
        <v>766</v>
      </c>
      <c r="I75" s="22" t="s">
        <v>27</v>
      </c>
      <c r="J75" s="22" t="s">
        <v>771</v>
      </c>
      <c r="K75" s="22" t="s">
        <v>24</v>
      </c>
      <c r="L75" s="2" t="str">
        <f t="shared" si="1"/>
        <v>insert into CHB_DATACHECK_RULE (CHECKRULEID,DATATYPE,CHECKCLASS,CHECKMETHOD,SRCPROPERTY,COMPARETO,OBJVALUE,REMARK,STATUS,NULLABLE) values ('W23E4A49-6810-5A9E-E050-007F01006A11','CHB_ASSET_INFO','com.joyintech.tams.common.svreport.datacheck.service.BaseCheckLib','compareProperty','MDATE','&gt;=','VDATE','到期日必须大于等于起息日。','E','Y');</v>
      </c>
    </row>
    <row r="76" spans="1:12" x14ac:dyDescent="0.15">
      <c r="A76" s="9">
        <v>73</v>
      </c>
      <c r="B76" s="21" t="s">
        <v>177</v>
      </c>
      <c r="C76" s="23" t="s">
        <v>1484</v>
      </c>
      <c r="D76" s="22" t="s">
        <v>21</v>
      </c>
      <c r="E76" s="22" t="s">
        <v>62</v>
      </c>
      <c r="F76" s="22" t="s">
        <v>907</v>
      </c>
      <c r="G76" s="22"/>
      <c r="H76" s="21" t="s">
        <v>2334</v>
      </c>
      <c r="I76" s="22" t="s">
        <v>23</v>
      </c>
      <c r="J76" s="22" t="s">
        <v>922</v>
      </c>
      <c r="K76" s="22" t="s">
        <v>24</v>
      </c>
      <c r="L76" s="2" t="str">
        <f t="shared" si="1"/>
        <v>insert into CHB_DATACHECK_RULE (CHECKRULEID,DATATYPE,CHECKCLASS,CHECKMETHOD,SRCPROPERTY,COMPARETO,OBJVALUE,REMARK,STATUS,NULLABLE) values ('W23E4A49-6810-5A9E-E050-007F01006A12','CHB_ASSET_INFO','com.joyintech.tams.common.svreport.datacheck.service.BaseCheckLib','lessThanCharLength','PARTY_GRADE','','11','发行机构主体信用评级不可为空且不能过长','E','N');</v>
      </c>
    </row>
    <row r="77" spans="1:12" x14ac:dyDescent="0.15">
      <c r="A77" s="17">
        <v>74</v>
      </c>
      <c r="B77" s="21" t="s">
        <v>178</v>
      </c>
      <c r="C77" s="23" t="s">
        <v>1484</v>
      </c>
      <c r="D77" s="22" t="s">
        <v>21</v>
      </c>
      <c r="E77" s="22" t="s">
        <v>62</v>
      </c>
      <c r="F77" s="22" t="s">
        <v>856</v>
      </c>
      <c r="G77" s="22"/>
      <c r="H77" s="21" t="s">
        <v>2334</v>
      </c>
      <c r="I77" s="22" t="s">
        <v>23</v>
      </c>
      <c r="J77" s="22" t="s">
        <v>923</v>
      </c>
      <c r="K77" s="22" t="s">
        <v>24</v>
      </c>
      <c r="L77" s="2" t="str">
        <f t="shared" si="1"/>
        <v>insert into CHB_DATACHECK_RULE (CHECKRULEID,DATATYPE,CHECKCLASS,CHECKMETHOD,SRCPROPERTY,COMPARETO,OBJVALUE,REMARK,STATUS,NULLABLE) values ('W23E4A49-6810-5A9E-E050-007F01006A13','CHB_ASSET_INFO','com.joyintech.tams.common.svreport.datacheck.service.BaseCheckLib','lessThanCharLength','SEC_CREDIT_GRADE_TYPE','','11','债券信用评级要素不可为空且不能过长。','E','N');</v>
      </c>
    </row>
    <row r="78" spans="1:12" x14ac:dyDescent="0.15">
      <c r="A78" s="9">
        <v>75</v>
      </c>
      <c r="B78" s="21" t="s">
        <v>119</v>
      </c>
      <c r="C78" s="23" t="s">
        <v>1484</v>
      </c>
      <c r="D78" s="22" t="s">
        <v>21</v>
      </c>
      <c r="E78" s="22" t="s">
        <v>48</v>
      </c>
      <c r="F78" s="22" t="s">
        <v>834</v>
      </c>
      <c r="G78" s="22"/>
      <c r="H78" s="21" t="s">
        <v>835</v>
      </c>
      <c r="I78" s="22" t="s">
        <v>27</v>
      </c>
      <c r="J78" s="22" t="s">
        <v>836</v>
      </c>
      <c r="K78" s="22" t="s">
        <v>24</v>
      </c>
      <c r="L78" s="2" t="str">
        <f t="shared" si="1"/>
        <v>insert into CHB_DATACHECK_RULE (CHECKRULEID,DATATYPE,CHECKCLASS,CHECKMETHOD,SRCPROPERTY,COMPARETO,OBJVALUE,REMARK,STATUS,NULLABLE) values ('W23E4A49-6810-5A9E-E050-007F01006A14','CHB_ASSET_INFO','com.joyintech.tams.common.svreport.datacheck.service.BaseCheckLib','isCustomizedString','ASSET_CODE','','^[\u0020-\u0026-\u0028-\u007B-\u007D-\u007E-\u2000-\u2040-\u2160-\u216B-\u3000-\u301F-\uFF00-\uFF65-\uFFE0-\uFFEF]{0,}$','行内资产/负债编码只能含有白名单内的阿拉伯数字，英文字母，半角符号，全角符号。','E','Y');</v>
      </c>
    </row>
    <row r="79" spans="1:12" x14ac:dyDescent="0.15">
      <c r="A79" s="17">
        <v>76</v>
      </c>
      <c r="B79" s="21" t="s">
        <v>120</v>
      </c>
      <c r="C79" s="23" t="s">
        <v>1484</v>
      </c>
      <c r="D79" s="22" t="s">
        <v>21</v>
      </c>
      <c r="E79" s="22" t="s">
        <v>48</v>
      </c>
      <c r="F79" s="22" t="s">
        <v>8</v>
      </c>
      <c r="G79" s="22"/>
      <c r="H79" s="21" t="s">
        <v>63</v>
      </c>
      <c r="I79" s="22" t="s">
        <v>27</v>
      </c>
      <c r="J79" s="22" t="s">
        <v>56</v>
      </c>
      <c r="K79" s="22" t="s">
        <v>24</v>
      </c>
      <c r="L79" s="2" t="str">
        <f t="shared" si="1"/>
        <v>insert into CHB_DATACHECK_RULE (CHECKRULEID,DATATYPE,CHECKCLASS,CHECKMETHOD,SRCPROPERTY,COMPARETO,OBJVALUE,REMARK,STATUS,NULLABLE) values ('W23E4A49-6810-5A9E-E050-007F01006A15','CHB_ASSET_INFO','com.joyintech.tams.common.svreport.datacheck.service.BaseCheckLib','isCustomizedString','REMARK','','^[\u4e00-\u9fa5\ue815-\ue864\uff01-\uff5e\uffe0-\uffe5\u3000-\u3003\u3005-\u3017\u301d-\u301e\u2010\u2013-\u2016\u2018-\u2019\u201c-\u201d\u2025-\u2026\u2030\u2032-\u2033\u2035\u203b\u00b7\u0030-\u0039\u0041-\u005a\u0061-\u007a\u2160-\u216b\u0020-\u0026\u0028-\u007B\u007D\u007E]{0,}$','备注必须填写白名单中的文字。','E','Y');</v>
      </c>
    </row>
    <row r="80" spans="1:12" x14ac:dyDescent="0.15">
      <c r="A80" s="9">
        <v>77</v>
      </c>
      <c r="B80" s="21" t="s">
        <v>179</v>
      </c>
      <c r="C80" s="23" t="s">
        <v>1484</v>
      </c>
      <c r="D80" s="22" t="s">
        <v>21</v>
      </c>
      <c r="E80" s="22" t="s">
        <v>2490</v>
      </c>
      <c r="F80" s="22" t="s">
        <v>926</v>
      </c>
      <c r="G80" s="22"/>
      <c r="H80" s="21" t="s">
        <v>927</v>
      </c>
      <c r="I80" s="22" t="s">
        <v>27</v>
      </c>
      <c r="J80" s="22" t="s">
        <v>2521</v>
      </c>
      <c r="K80" s="22" t="s">
        <v>24</v>
      </c>
      <c r="L80" s="2" t="str">
        <f t="shared" si="1"/>
        <v>insert into CHB_DATACHECK_RULE (CHECKRULEID,DATATYPE,CHECKCLASS,CHECKMETHOD,SRCPROPERTY,COMPARETO,OBJVALUE,REMARK,STATUS,NULLABLE) values ('W23E4A49-6810-5A9E-E050-007F01006A16','CHB_ASSET_INFO','com.joyintech.tams.common.svreport.datacheck.service.BaseCheckLib','isNumber2','INTPAY_CYCLE','','2,0','付息频率（个月/次）必须为n..2格式。','E','Y');</v>
      </c>
    </row>
    <row r="81" spans="1:12" x14ac:dyDescent="0.15">
      <c r="A81" s="17">
        <v>78</v>
      </c>
      <c r="B81" s="21" t="s">
        <v>180</v>
      </c>
      <c r="C81" s="23" t="s">
        <v>1484</v>
      </c>
      <c r="D81" s="22" t="s">
        <v>21</v>
      </c>
      <c r="E81" s="22" t="s">
        <v>34</v>
      </c>
      <c r="F81" s="22" t="s">
        <v>926</v>
      </c>
      <c r="G81" s="22" t="s">
        <v>35</v>
      </c>
      <c r="H81" s="21" t="s">
        <v>26</v>
      </c>
      <c r="I81" s="22" t="s">
        <v>27</v>
      </c>
      <c r="J81" s="22" t="s">
        <v>929</v>
      </c>
      <c r="K81" s="22" t="s">
        <v>24</v>
      </c>
      <c r="L81" s="2" t="str">
        <f t="shared" si="1"/>
        <v>insert into CHB_DATACHECK_RULE (CHECKRULEID,DATATYPE,CHECKCLASS,CHECKMETHOD,SRCPROPERTY,COMPARETO,OBJVALUE,REMARK,STATUS,NULLABLE) values ('W23E4A49-6810-5A9E-E050-007F01006A17','CHB_ASSET_INFO','com.joyintech.tams.common.svreport.datacheck.service.BaseCheckLib','compareValueAsNumber','INTPAY_CYCLE','&gt;=','0','付息频率（个月/次）必须大于等于0。','E','Y');</v>
      </c>
    </row>
    <row r="82" spans="1:12" x14ac:dyDescent="0.15">
      <c r="A82" s="9">
        <v>79</v>
      </c>
      <c r="B82" s="21" t="s">
        <v>181</v>
      </c>
      <c r="C82" s="23" t="s">
        <v>1484</v>
      </c>
      <c r="D82" s="22" t="s">
        <v>21</v>
      </c>
      <c r="E82" s="22" t="s">
        <v>62</v>
      </c>
      <c r="F82" s="22" t="s">
        <v>858</v>
      </c>
      <c r="G82" s="22"/>
      <c r="H82" s="21" t="s">
        <v>2330</v>
      </c>
      <c r="I82" s="22" t="s">
        <v>27</v>
      </c>
      <c r="J82" s="22" t="s">
        <v>930</v>
      </c>
      <c r="K82" s="22" t="s">
        <v>24</v>
      </c>
      <c r="L82" s="2" t="str">
        <f t="shared" si="1"/>
        <v>insert into CHB_DATACHECK_RULE (CHECKRULEID,DATATYPE,CHECKCLASS,CHECKMETHOD,SRCPROPERTY,COMPARETO,OBJVALUE,REMARK,STATUS,NULLABLE) values ('W23E4A49-6810-5A9E-E050-007F01006A18','CHB_ASSET_INFO','com.joyintech.tams.common.svreport.datacheck.service.BaseCheckLib','lessThanCharLength','GUA_TYPE_REMARK','','201','担保情况说明过长。','E','Y');</v>
      </c>
    </row>
    <row r="83" spans="1:12" x14ac:dyDescent="0.15">
      <c r="A83" s="17">
        <v>80</v>
      </c>
      <c r="B83" s="21" t="s">
        <v>121</v>
      </c>
      <c r="C83" s="23" t="s">
        <v>1484</v>
      </c>
      <c r="D83" s="22" t="s">
        <v>21</v>
      </c>
      <c r="E83" s="22" t="s">
        <v>48</v>
      </c>
      <c r="F83" s="22" t="s">
        <v>785</v>
      </c>
      <c r="G83" s="22"/>
      <c r="H83" s="21" t="s">
        <v>63</v>
      </c>
      <c r="I83" s="22" t="s">
        <v>27</v>
      </c>
      <c r="J83" s="22" t="s">
        <v>837</v>
      </c>
      <c r="K83" s="22" t="s">
        <v>24</v>
      </c>
      <c r="L83" s="2" t="str">
        <f t="shared" si="1"/>
        <v>insert into CHB_DATACHECK_RULE (CHECKRULEID,DATATYPE,CHECKCLASS,CHECKMETHOD,SRCPROPERTY,COMPARETO,OBJVALUE,REMARK,STATUS,NULLABLE) values ('W23E4A49-6810-5A9E-E050-007F01006A19','CHB_ASSET_INFO','com.joyintech.tams.common.svreport.datacheck.service.BaseCheckLib','isCustomizedString','BANK_NAME','','^[\u4e00-\u9fa5\ue815-\ue864\uff01-\uff5e\uffe0-\uffe5\u3000-\u3003\u3005-\u3017\u301d-\u301e\u2010\u2013-\u2016\u2018-\u2019\u201c-\u201d\u2025-\u2026\u2030\u2032-\u2033\u2035\u203b\u00b7\u0030-\u0039\u0041-\u005a\u0061-\u007a\u2160-\u216b\u0020-\u0026\u0028-\u007B\u007D\u007E]{0,}$','资金存入银行必须填写白名单中的文字。','E','Y');</v>
      </c>
    </row>
    <row r="84" spans="1:12" x14ac:dyDescent="0.15">
      <c r="A84" s="9">
        <v>81</v>
      </c>
      <c r="B84" s="21" t="s">
        <v>122</v>
      </c>
      <c r="C84" s="23" t="s">
        <v>1484</v>
      </c>
      <c r="D84" s="22" t="s">
        <v>21</v>
      </c>
      <c r="E84" s="22" t="s">
        <v>48</v>
      </c>
      <c r="F84" s="22" t="s">
        <v>782</v>
      </c>
      <c r="G84" s="22"/>
      <c r="H84" s="21" t="s">
        <v>63</v>
      </c>
      <c r="I84" s="22" t="s">
        <v>27</v>
      </c>
      <c r="J84" s="22" t="s">
        <v>838</v>
      </c>
      <c r="K84" s="22" t="s">
        <v>24</v>
      </c>
      <c r="L84" s="2" t="str">
        <f t="shared" si="1"/>
        <v>insert into CHB_DATACHECK_RULE (CHECKRULEID,DATATYPE,CHECKCLASS,CHECKMETHOD,SRCPROPERTY,COMPARETO,OBJVALUE,REMARK,STATUS,NULLABLE) values ('W23E4A49-6810-5A9E-E050-007F01006A20','CHB_ASSET_INFO','com.joyintech.tams.common.svreport.datacheck.service.BaseCheckLib','isCustomizedString','TARGET','','^[\u4e00-\u9fa5\ue815-\ue864\uff01-\uff5e\uffe0-\uffe5\u3000-\u3003\u3005-\u3017\u301d-\u301e\u2010\u2013-\u2016\u2018-\u2019\u201c-\u201d\u2025-\u2026\u2030\u2032-\u2033\u2035\u203b\u00b7\u0030-\u0039\u0041-\u005a\u0061-\u007a\u2160-\u216b\u0020-\u0026\u0028-\u007B\u007D\u007E]{0,}$','结构性存款挂钩标的必须填写白名单中的文字。','E','Y');</v>
      </c>
    </row>
    <row r="85" spans="1:12" x14ac:dyDescent="0.15">
      <c r="A85" s="17">
        <v>82</v>
      </c>
      <c r="B85" s="21" t="s">
        <v>123</v>
      </c>
      <c r="C85" s="23" t="s">
        <v>1484</v>
      </c>
      <c r="D85" s="22" t="s">
        <v>21</v>
      </c>
      <c r="E85" s="22" t="s">
        <v>48</v>
      </c>
      <c r="F85" s="22" t="s">
        <v>805</v>
      </c>
      <c r="G85" s="22"/>
      <c r="H85" s="21" t="s">
        <v>63</v>
      </c>
      <c r="I85" s="22" t="s">
        <v>27</v>
      </c>
      <c r="J85" s="22" t="s">
        <v>839</v>
      </c>
      <c r="K85" s="22" t="s">
        <v>24</v>
      </c>
      <c r="L85" s="2" t="str">
        <f t="shared" si="1"/>
        <v>insert into CHB_DATACHECK_RULE (CHECKRULEID,DATATYPE,CHECKCLASS,CHECKMETHOD,SRCPROPERTY,COMPARETO,OBJVALUE,REMARK,STATUS,NULLABLE) values ('W23E4A49-6810-5A9E-E050-007F01006A21','CHB_ASSET_INFO','com.joyintech.tams.common.svreport.datacheck.service.BaseCheckLib','isCustomizedString','ASSET_ID','','^[\u4e00-\u9fa5\ue815-\ue864\uff01-\uff5e\uffe0-\uffe5\u3000-\u3003\u3005-\u3017\u301d-\u301e\u2010\u2013-\u2016\u2018-\u2019\u201c-\u201d\u2025-\u2026\u2030\u2032-\u2033\u2035\u203b\u00b7\u0030-\u0039\u0041-\u005a\u0061-\u007a\u2160-\u216b\u0020-\u0026\u0028-\u007B\u007D\u007E]{0,}$','代码必须填写白名单中的文字。','E','Y');</v>
      </c>
    </row>
    <row r="86" spans="1:12" x14ac:dyDescent="0.15">
      <c r="A86" s="9">
        <v>83</v>
      </c>
      <c r="B86" s="21" t="s">
        <v>2398</v>
      </c>
      <c r="C86" s="23" t="s">
        <v>1484</v>
      </c>
      <c r="D86" s="22" t="s">
        <v>21</v>
      </c>
      <c r="E86" s="22" t="s">
        <v>48</v>
      </c>
      <c r="F86" s="22" t="s">
        <v>807</v>
      </c>
      <c r="G86" s="22"/>
      <c r="H86" s="21" t="s">
        <v>63</v>
      </c>
      <c r="I86" s="22" t="s">
        <v>27</v>
      </c>
      <c r="J86" s="22" t="s">
        <v>840</v>
      </c>
      <c r="K86" s="22" t="s">
        <v>24</v>
      </c>
      <c r="L86" s="2" t="str">
        <f t="shared" si="1"/>
        <v>insert into CHB_DATACHECK_RULE (CHECKRULEID,DATATYPE,CHECKCLASS,CHECKMETHOD,SRCPROPERTY,COMPARETO,OBJVALUE,REMARK,STATUS,NULLABLE) values ('W23E4A49-6810-5A9E-E050-007F01006A22','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87" spans="1:12" x14ac:dyDescent="0.15">
      <c r="A87" s="17">
        <v>84</v>
      </c>
      <c r="B87" s="21" t="s">
        <v>125</v>
      </c>
      <c r="C87" s="23" t="s">
        <v>1484</v>
      </c>
      <c r="D87" s="22" t="s">
        <v>21</v>
      </c>
      <c r="E87" s="22" t="s">
        <v>48</v>
      </c>
      <c r="F87" s="22" t="s">
        <v>841</v>
      </c>
      <c r="G87" s="22"/>
      <c r="H87" s="21" t="s">
        <v>63</v>
      </c>
      <c r="I87" s="22" t="s">
        <v>27</v>
      </c>
      <c r="J87" s="22" t="s">
        <v>842</v>
      </c>
      <c r="K87" s="22" t="s">
        <v>24</v>
      </c>
      <c r="L87" s="2" t="str">
        <f t="shared" si="1"/>
        <v>insert into CHB_DATACHECK_RULE (CHECKRULEID,DATATYPE,CHECKCLASS,CHECKMETHOD,SRCPROPERTY,COMPARETO,OBJVALUE,REMARK,STATUS,NULLABLE) values ('W23E4A49-6810-5A9E-E050-007F01006A23','CHB_ASSET_INFO','com.joyintech.tams.common.svreport.datacheck.service.BaseCheckLib','isCustomizedString','REGISTORG_COMMENT','','^[\u4e00-\u9fa5\ue815-\ue864\uff01-\uff5e\uffe0-\uffe5\u3000-\u3003\u3005-\u3017\u301d-\u301e\u2010\u2013-\u2016\u2018-\u2019\u201c-\u201d\u2025-\u2026\u2030\u2032-\u2033\u2035\u203b\u00b7\u0030-\u0039\u0041-\u005a\u0061-\u007a\u2160-\u216b\u0020-\u0026\u0028-\u007B\u007D\u007E]{0,}$','登记托管机构说明必须填写白名单中的文字。','E','Y');</v>
      </c>
    </row>
    <row r="88" spans="1:12" x14ac:dyDescent="0.15">
      <c r="A88" s="9">
        <v>85</v>
      </c>
      <c r="B88" s="21" t="s">
        <v>126</v>
      </c>
      <c r="C88" s="23" t="s">
        <v>1484</v>
      </c>
      <c r="D88" s="22" t="s">
        <v>21</v>
      </c>
      <c r="E88" s="22" t="s">
        <v>48</v>
      </c>
      <c r="F88" s="22" t="s">
        <v>790</v>
      </c>
      <c r="G88" s="22"/>
      <c r="H88" s="21" t="s">
        <v>63</v>
      </c>
      <c r="I88" s="22" t="s">
        <v>27</v>
      </c>
      <c r="J88" s="22" t="s">
        <v>843</v>
      </c>
      <c r="K88" s="22" t="s">
        <v>24</v>
      </c>
      <c r="L88" s="2" t="str">
        <f t="shared" si="1"/>
        <v>insert into CHB_DATACHECK_RULE (CHECKRULEID,DATATYPE,CHECKCLASS,CHECKMETHOD,SRCPROPERTY,COMPARETO,OBJVALUE,REMARK,STATUS,NULLABLE) values ('W23E4A49-6810-5A9E-E050-007F01006A24','CHB_ASSET_INFO','com.joyintech.tams.common.svreport.datacheck.service.BaseCheckLib','isCustomizedString','RIVAL_PARTY','','^[\u4e00-\u9fa5\ue815-\ue864\uff01-\uff5e\uffe0-\uffe5\u3000-\u3003\u3005-\u3017\u301d-\u301e\u2010\u2013-\u2016\u2018-\u2019\u201c-\u201d\u2025-\u2026\u2030\u2032-\u2033\u2035\u203b\u00b7\u0030-\u0039\u0041-\u005a\u0061-\u007a\u2160-\u216b\u0020-\u0026\u0028-\u007B\u007D\u007E]{0,}$','对手方必须填写白名单中的文字。','E','Y');</v>
      </c>
    </row>
    <row r="89" spans="1:12" x14ac:dyDescent="0.15">
      <c r="A89" s="17">
        <v>86</v>
      </c>
      <c r="B89" s="21" t="s">
        <v>127</v>
      </c>
      <c r="C89" s="23" t="s">
        <v>1484</v>
      </c>
      <c r="D89" s="22" t="s">
        <v>21</v>
      </c>
      <c r="E89" s="22" t="s">
        <v>48</v>
      </c>
      <c r="F89" s="22" t="s">
        <v>844</v>
      </c>
      <c r="G89" s="22"/>
      <c r="H89" s="21" t="s">
        <v>63</v>
      </c>
      <c r="I89" s="22" t="s">
        <v>27</v>
      </c>
      <c r="J89" s="22" t="s">
        <v>845</v>
      </c>
      <c r="K89" s="22" t="s">
        <v>24</v>
      </c>
      <c r="L89" s="2" t="str">
        <f t="shared" si="1"/>
        <v>insert into CHB_DATACHECK_RULE (CHECKRULEID,DATATYPE,CHECKCLASS,CHECKMETHOD,SRCPROPERTY,COMPARETO,OBJVALUE,REMARK,STATUS,NULLABLE) values ('W23E4A49-6810-5A9E-E050-007F01006A25','CHB_ASSET_INFO','com.joyintech.tams.common.svreport.datacheck.service.BaseCheckLib','isCustomizedString','REPAY_CMT','','^[\u4e00-\u9fa5\ue815-\ue864\uff01-\uff5e\uffe0-\uffe5\u3000-\u3003\u3005-\u3017\u301d-\u301e\u2010\u2013-\u2016\u2018-\u2019\u201c-\u201d\u2025-\u2026\u2030\u2032-\u2033\u2035\u203b\u00b7\u0030-\u0039\u0041-\u005a\u0061-\u007a\u2160-\u216b\u0020-\u0026\u0028-\u007B\u007D\u007E]{0,}$','还本付息情况说明必须填写白名单中的文字。','E','Y');</v>
      </c>
    </row>
    <row r="90" spans="1:12" x14ac:dyDescent="0.15">
      <c r="A90" s="9">
        <v>87</v>
      </c>
      <c r="B90" s="21" t="s">
        <v>128</v>
      </c>
      <c r="C90" s="23" t="s">
        <v>1484</v>
      </c>
      <c r="D90" s="22" t="s">
        <v>21</v>
      </c>
      <c r="E90" s="22" t="s">
        <v>48</v>
      </c>
      <c r="F90" s="22" t="s">
        <v>846</v>
      </c>
      <c r="G90" s="22"/>
      <c r="H90" s="21" t="s">
        <v>63</v>
      </c>
      <c r="I90" s="22" t="s">
        <v>27</v>
      </c>
      <c r="J90" s="22" t="s">
        <v>847</v>
      </c>
      <c r="K90" s="22" t="s">
        <v>24</v>
      </c>
      <c r="L90" s="2" t="str">
        <f t="shared" si="1"/>
        <v>insert into CHB_DATACHECK_RULE (CHECKRULEID,DATATYPE,CHECKCLASS,CHECKMETHOD,SRCPROPERTY,COMPARETO,OBJVALUE,REMARK,STATUS,NULLABLE) values ('W23E4A49-6810-5A9E-E050-007F01006A26','CHB_ASSET_INFO','com.joyintech.tams.common.svreport.datacheck.service.BaseCheckLib','isCustomizedString','FINANCIE','','^[\u4e00-\u9fa5\ue815-\ue864\uff01-\uff5e\uffe0-\uffe5\u3000-\u3003\u3005-\u3017\u301d-\u301e\u2010\u2013-\u2016\u2018-\u2019\u201c-\u201d\u2025-\u2026\u2030\u2032-\u2033\u2035\u203b\u00b7\u0030-\u0039\u0041-\u005a\u0061-\u007a\u2160-\u216b\u0020-\u0026\u0028-\u007B\u007D\u007E]{0,}$','融资人必须填写白名单中的文字。','E','Y');</v>
      </c>
    </row>
    <row r="91" spans="1:12" x14ac:dyDescent="0.15">
      <c r="A91" s="17">
        <v>88</v>
      </c>
      <c r="B91" s="21" t="s">
        <v>129</v>
      </c>
      <c r="C91" s="23" t="s">
        <v>1484</v>
      </c>
      <c r="D91" s="22" t="s">
        <v>21</v>
      </c>
      <c r="E91" s="22" t="s">
        <v>48</v>
      </c>
      <c r="F91" s="22" t="s">
        <v>848</v>
      </c>
      <c r="G91" s="22"/>
      <c r="H91" s="21" t="s">
        <v>63</v>
      </c>
      <c r="I91" s="22" t="s">
        <v>27</v>
      </c>
      <c r="J91" s="22" t="s">
        <v>849</v>
      </c>
      <c r="K91" s="22" t="s">
        <v>24</v>
      </c>
      <c r="L91" s="2" t="str">
        <f t="shared" si="1"/>
        <v>insert into CHB_DATACHECK_RULE (CHECKRULEID,DATATYPE,CHECKCLASS,CHECKMETHOD,SRCPROPERTY,COMPARETO,OBJVALUE,REMARK,STATUS,NULLABLE) values ('W23E4A49-6810-5A9E-E050-007F01006A27','CHB_ASSET_INFO','com.joyintech.tams.common.svreport.datacheck.service.BaseCheckLib','isCustomizedString','FCR_GRADE_IN','','^[\u4e00-\u9fa5\ue815-\ue864\uff01-\uff5e\uffe0-\uffe5\u3000-\u3003\u3005-\u3017\u301d-\u301e\u2010\u2013-\u2016\u2018-\u2019\u201c-\u201d\u2025-\u2026\u2030\u2032-\u2033\u2035\u203b\u00b7\u0030-\u0039\u0041-\u005a\u0061-\u007a\u2160-\u216b\u0020-\u0026\u0028-\u007B\u007D\u007E]{0,}$','融资人内部信用评级必须填写白名单中的文字。','E','Y');</v>
      </c>
    </row>
    <row r="92" spans="1:12" x14ac:dyDescent="0.15">
      <c r="A92" s="9">
        <v>89</v>
      </c>
      <c r="B92" s="21" t="s">
        <v>130</v>
      </c>
      <c r="C92" s="23" t="s">
        <v>1484</v>
      </c>
      <c r="D92" s="22" t="s">
        <v>21</v>
      </c>
      <c r="E92" s="22" t="s">
        <v>48</v>
      </c>
      <c r="F92" s="22" t="s">
        <v>850</v>
      </c>
      <c r="G92" s="22"/>
      <c r="H92" s="21" t="s">
        <v>63</v>
      </c>
      <c r="I92" s="22" t="s">
        <v>27</v>
      </c>
      <c r="J92" s="22" t="s">
        <v>851</v>
      </c>
      <c r="K92" s="22" t="s">
        <v>24</v>
      </c>
      <c r="L92" s="2" t="str">
        <f t="shared" si="1"/>
        <v>insert into CHB_DATACHECK_RULE (CHECKRULEID,DATATYPE,CHECKCLASS,CHECKMETHOD,SRCPROPERTY,COMPARETO,OBJVALUE,REMARK,STATUS,NULLABLE) values ('W23E4A49-6810-5A9E-E050-007F01006A28','CHB_ASSET_INFO','com.joyintech.tams.common.svreport.datacheck.service.BaseCheckLib','isCustomizedString','FCR_GRADE_OUT','','^[\u4e00-\u9fa5\ue815-\ue864\uff01-\uff5e\uffe0-\uffe5\u3000-\u3003\u3005-\u3017\u301d-\u301e\u2010\u2013-\u2016\u2018-\u2019\u201c-\u201d\u2025-\u2026\u2030\u2032-\u2033\u2035\u203b\u00b7\u0030-\u0039\u0041-\u005a\u0061-\u007a\u2160-\u216b\u0020-\u0026\u0028-\u007B\u007D\u007E]{0,}$','外部评级机构名称及对融资人评级结果必须填写白名单中的文字。','E','Y');</v>
      </c>
    </row>
    <row r="93" spans="1:12" x14ac:dyDescent="0.15">
      <c r="A93" s="17">
        <v>90</v>
      </c>
      <c r="B93" s="21" t="s">
        <v>131</v>
      </c>
      <c r="C93" s="23" t="s">
        <v>1484</v>
      </c>
      <c r="D93" s="22" t="s">
        <v>21</v>
      </c>
      <c r="E93" s="22" t="s">
        <v>48</v>
      </c>
      <c r="F93" s="22" t="s">
        <v>852</v>
      </c>
      <c r="G93" s="22"/>
      <c r="H93" s="21" t="s">
        <v>63</v>
      </c>
      <c r="I93" s="22" t="s">
        <v>27</v>
      </c>
      <c r="J93" s="22" t="s">
        <v>853</v>
      </c>
      <c r="K93" s="22" t="s">
        <v>24</v>
      </c>
      <c r="L93" s="2" t="str">
        <f t="shared" si="1"/>
        <v>insert into CHB_DATACHECK_RULE (CHECKRULEID,DATATYPE,CHECKCLASS,CHECKMETHOD,SRCPROPERTY,COMPARETO,OBJVALUE,REMARK,STATUS,NULLABLE) values ('W23E4A49-6810-5A9E-E050-007F01006A29','CHB_ASSET_INFO','com.joyintech.tams.common.svreport.datacheck.service.BaseCheckLib','isCustomizedString','FINANCE_PROJ','','^[\u4e00-\u9fa5\ue815-\ue864\uff01-\uff5e\uffe0-\uffe5\u3000-\u3003\u3005-\u3017\u301d-\u301e\u2010\u2013-\u2016\u2018-\u2019\u201c-\u201d\u2025-\u2026\u2030\u2032-\u2033\u2035\u203b\u00b7\u0030-\u0039\u0041-\u005a\u0061-\u007a\u2160-\u216b\u0020-\u0026\u0028-\u007B\u007D\u007E]{0,}$','融资项目必须填写白名单中的文字。','E','Y');</v>
      </c>
    </row>
    <row r="94" spans="1:12" x14ac:dyDescent="0.15">
      <c r="A94" s="9">
        <v>91</v>
      </c>
      <c r="B94" s="21" t="s">
        <v>182</v>
      </c>
      <c r="C94" s="23" t="s">
        <v>1484</v>
      </c>
      <c r="D94" s="22" t="s">
        <v>21</v>
      </c>
      <c r="E94" s="22" t="s">
        <v>34</v>
      </c>
      <c r="F94" s="22" t="s">
        <v>933</v>
      </c>
      <c r="G94" s="22" t="s">
        <v>35</v>
      </c>
      <c r="H94" s="21" t="s">
        <v>26</v>
      </c>
      <c r="I94" s="22" t="s">
        <v>27</v>
      </c>
      <c r="J94" s="22" t="s">
        <v>935</v>
      </c>
      <c r="K94" s="22" t="s">
        <v>24</v>
      </c>
      <c r="L94" s="2" t="str">
        <f t="shared" si="1"/>
        <v>insert into CHB_DATACHECK_RULE (CHECKRULEID,DATATYPE,CHECKCLASS,CHECKMETHOD,SRCPROPERTY,COMPARETO,OBJVALUE,REMARK,STATUS,NULLABLE) values ('W23E4A49-6810-5A9E-E050-007F01006A30','CHB_ASSET_INFO','com.joyintech.tams.common.svreport.datacheck.service.BaseCheckLib','compareValueAsNumber','INCOME_RATIO','&gt;=','0','固定收益部分所占比例必须大于等于0。','E','Y');</v>
      </c>
    </row>
    <row r="95" spans="1:12" x14ac:dyDescent="0.15">
      <c r="A95" s="17">
        <v>92</v>
      </c>
      <c r="B95" s="21" t="s">
        <v>183</v>
      </c>
      <c r="C95" s="23" t="s">
        <v>1484</v>
      </c>
      <c r="D95" s="22" t="s">
        <v>21</v>
      </c>
      <c r="E95" s="22" t="s">
        <v>34</v>
      </c>
      <c r="F95" s="22" t="s">
        <v>933</v>
      </c>
      <c r="G95" s="22" t="s">
        <v>936</v>
      </c>
      <c r="H95" s="21" t="s">
        <v>2335</v>
      </c>
      <c r="I95" s="22" t="s">
        <v>27</v>
      </c>
      <c r="J95" s="22" t="s">
        <v>937</v>
      </c>
      <c r="K95" s="22" t="s">
        <v>24</v>
      </c>
      <c r="L95" s="2" t="str">
        <f t="shared" si="1"/>
        <v>insert into CHB_DATACHECK_RULE (CHECKRULEID,DATATYPE,CHECKCLASS,CHECKMETHOD,SRCPROPERTY,COMPARETO,OBJVALUE,REMARK,STATUS,NULLABLE) values ('W23E4A49-6810-5A9E-E050-007F01006A31','CHB_ASSET_INFO','com.joyintech.tams.common.svreport.datacheck.service.BaseCheckLib','compareValueAsNumber','INCOME_RATIO','&lt;=','100','固定收益部分所占比例必须小于等于100。','E','Y');</v>
      </c>
    </row>
    <row r="96" spans="1:12" x14ac:dyDescent="0.15">
      <c r="A96" s="9">
        <v>93</v>
      </c>
      <c r="B96" s="21" t="s">
        <v>184</v>
      </c>
      <c r="C96" s="23" t="s">
        <v>1484</v>
      </c>
      <c r="D96" s="22" t="s">
        <v>21</v>
      </c>
      <c r="E96" s="22" t="s">
        <v>32</v>
      </c>
      <c r="F96" s="22" t="s">
        <v>938</v>
      </c>
      <c r="G96" s="22"/>
      <c r="H96" s="21" t="s">
        <v>33</v>
      </c>
      <c r="I96" s="22" t="s">
        <v>27</v>
      </c>
      <c r="J96" s="22" t="s">
        <v>939</v>
      </c>
      <c r="K96" s="22" t="s">
        <v>24</v>
      </c>
      <c r="L96" s="2" t="str">
        <f t="shared" si="1"/>
        <v>insert into CHB_DATACHECK_RULE (CHECKRULEID,DATATYPE,CHECKCLASS,CHECKMETHOD,SRCPROPERTY,COMPARETO,OBJVALUE,REMARK,STATUS,NULLABLE) values ('W23E4A49-6810-5A9E-E050-007F01006A32','CHB_ASSET_INFO','com.joyintech.tams.common.svreport.datacheck.service.BaseCheckLib','isNumber2','DER_INSTR_RATIO','','8,5','衍生金融工具所占比例以百分数形式表示时必须为n(8,5)格式。','E','Y');</v>
      </c>
    </row>
    <row r="97" spans="1:12" x14ac:dyDescent="0.15">
      <c r="A97" s="17">
        <v>94</v>
      </c>
      <c r="B97" s="21" t="s">
        <v>185</v>
      </c>
      <c r="C97" s="23" t="s">
        <v>1484</v>
      </c>
      <c r="D97" s="22" t="s">
        <v>21</v>
      </c>
      <c r="E97" s="22" t="s">
        <v>34</v>
      </c>
      <c r="F97" s="22" t="s">
        <v>938</v>
      </c>
      <c r="G97" s="22" t="s">
        <v>35</v>
      </c>
      <c r="H97" s="21" t="s">
        <v>26</v>
      </c>
      <c r="I97" s="22" t="s">
        <v>27</v>
      </c>
      <c r="J97" s="22" t="s">
        <v>940</v>
      </c>
      <c r="K97" s="22" t="s">
        <v>24</v>
      </c>
      <c r="L97" s="2" t="str">
        <f t="shared" si="1"/>
        <v>insert into CHB_DATACHECK_RULE (CHECKRULEID,DATATYPE,CHECKCLASS,CHECKMETHOD,SRCPROPERTY,COMPARETO,OBJVALUE,REMARK,STATUS,NULLABLE) values ('W23E4A49-6810-5A9E-E050-007F01006A33','CHB_ASSET_INFO','com.joyintech.tams.common.svreport.datacheck.service.BaseCheckLib','compareValueAsNumber','DER_INSTR_RATIO','&gt;=','0','衍生金融工具所占比例必须大于等于0。','E','Y');</v>
      </c>
    </row>
    <row r="98" spans="1:12" x14ac:dyDescent="0.15">
      <c r="A98" s="9">
        <v>95</v>
      </c>
      <c r="B98" s="21" t="s">
        <v>132</v>
      </c>
      <c r="C98" s="23" t="s">
        <v>1484</v>
      </c>
      <c r="D98" s="22" t="s">
        <v>21</v>
      </c>
      <c r="E98" s="22" t="s">
        <v>48</v>
      </c>
      <c r="F98" s="22" t="s">
        <v>854</v>
      </c>
      <c r="G98" s="22"/>
      <c r="H98" s="21" t="s">
        <v>63</v>
      </c>
      <c r="I98" s="22" t="s">
        <v>27</v>
      </c>
      <c r="J98" s="22" t="s">
        <v>855</v>
      </c>
      <c r="K98" s="22" t="s">
        <v>24</v>
      </c>
      <c r="L98" s="2" t="str">
        <f t="shared" si="1"/>
        <v>insert into CHB_DATACHECK_RULE (CHECKRULEID,DATATYPE,CHECKCLASS,CHECKMETHOD,SRCPROPERTY,COMPARETO,OBJVALUE,REMARK,STATUS,NULLABLE) values ('W23E4A49-6810-5A9E-E050-007F01006A34','CHB_ASSET_INFO','com.joyintech.tams.common.svreport.datacheck.service.BaseCheckLib','isCustomizedString','CONDITION_CMM','','^[\u4e00-\u9fa5\ue815-\ue864\uff01-\uff5e\uffe0-\uffe5\u3000-\u3003\u3005-\u3017\u301d-\u301e\u2010\u2013-\u2016\u2018-\u2019\u201c-\u201d\u2025-\u2026\u2030\u2032-\u2033\u2035\u203b\u00b7\u0030-\u0039\u0041-\u005a\u0061-\u007a\u2160-\u216b\u0020-\u0026\u0028-\u007B\u007D\u007E]{0,}$','行权条件说明必须填写白名单中的文字。','E','Y');</v>
      </c>
    </row>
    <row r="99" spans="1:12" x14ac:dyDescent="0.15">
      <c r="A99" s="17">
        <v>96</v>
      </c>
      <c r="B99" s="21" t="s">
        <v>186</v>
      </c>
      <c r="C99" s="23" t="s">
        <v>1484</v>
      </c>
      <c r="D99" s="22" t="s">
        <v>21</v>
      </c>
      <c r="E99" s="22" t="s">
        <v>62</v>
      </c>
      <c r="F99" s="22" t="s">
        <v>864</v>
      </c>
      <c r="G99" s="22"/>
      <c r="H99" s="21" t="s">
        <v>2336</v>
      </c>
      <c r="I99" s="22" t="s">
        <v>27</v>
      </c>
      <c r="J99" s="22" t="s">
        <v>942</v>
      </c>
      <c r="K99" s="22" t="s">
        <v>24</v>
      </c>
      <c r="L99" s="2" t="str">
        <f t="shared" si="1"/>
        <v>insert into CHB_DATACHECK_RULE (CHECKRULEID,DATATYPE,CHECKCLASS,CHECKMETHOD,SRCPROPERTY,COMPARETO,OBJVALUE,REMARK,STATUS,NULLABLE) values ('W23E4A49-6810-5A9E-E050-007F01006A35','CHB_ASSET_INFO','com.joyintech.tams.common.svreport.datacheck.service.BaseCheckLib','lessThanCharLength','DER_INSTR_INV_TYPE','','301','衍生金融工具具体投资方式过长。','E','Y');</v>
      </c>
    </row>
    <row r="100" spans="1:12" x14ac:dyDescent="0.15">
      <c r="A100" s="9">
        <v>97</v>
      </c>
      <c r="B100" s="21" t="s">
        <v>187</v>
      </c>
      <c r="C100" s="23" t="s">
        <v>1484</v>
      </c>
      <c r="D100" s="22" t="s">
        <v>21</v>
      </c>
      <c r="E100" s="22" t="s">
        <v>62</v>
      </c>
      <c r="F100" s="22" t="s">
        <v>866</v>
      </c>
      <c r="G100" s="22"/>
      <c r="H100" s="21" t="s">
        <v>2330</v>
      </c>
      <c r="I100" s="22" t="s">
        <v>27</v>
      </c>
      <c r="J100" s="22" t="s">
        <v>943</v>
      </c>
      <c r="K100" s="22" t="s">
        <v>24</v>
      </c>
      <c r="L100" s="2" t="str">
        <f t="shared" si="1"/>
        <v>insert into CHB_DATACHECK_RULE (CHECKRULEID,DATATYPE,CHECKCLASS,CHECKMETHOD,SRCPROPERTY,COMPARETO,OBJVALUE,REMARK,STATUS,NULLABLE) values ('W23E4A49-6810-5A9E-E050-007F01006A36','CHB_ASSET_INFO','com.joyintech.tams.common.svreport.datacheck.service.BaseCheckLib','lessThanCharLength','DER_INSTR_TARGET','','201','衍生金融工具挂钩标的资产过长。','E','Y');</v>
      </c>
    </row>
    <row r="101" spans="1:12" x14ac:dyDescent="0.15">
      <c r="A101" s="17">
        <v>98</v>
      </c>
      <c r="B101" s="21" t="s">
        <v>188</v>
      </c>
      <c r="C101" s="23" t="s">
        <v>1484</v>
      </c>
      <c r="D101" s="22" t="s">
        <v>21</v>
      </c>
      <c r="E101" s="22" t="s">
        <v>62</v>
      </c>
      <c r="F101" s="22" t="s">
        <v>868</v>
      </c>
      <c r="G101" s="22"/>
      <c r="H101" s="21" t="s">
        <v>2330</v>
      </c>
      <c r="I101" s="22" t="s">
        <v>27</v>
      </c>
      <c r="J101" s="22" t="s">
        <v>944</v>
      </c>
      <c r="K101" s="22" t="s">
        <v>24</v>
      </c>
      <c r="L101" s="2" t="str">
        <f t="shared" si="1"/>
        <v>insert into CHB_DATACHECK_RULE (CHECKRULEID,DATATYPE,CHECKCLASS,CHECKMETHOD,SRCPROPERTY,COMPARETO,OBJVALUE,REMARK,STATUS,NULLABLE) values ('W23E4A49-6810-5A9E-E050-007F01006A37','CHB_ASSET_INFO','com.joyintech.tams.common.svreport.datacheck.service.BaseCheckLib','lessThanCharLength','ACCT_MODE','','201','利息结算方式过长。','E','Y');</v>
      </c>
    </row>
    <row r="102" spans="1:12" x14ac:dyDescent="0.15">
      <c r="A102" s="9">
        <v>99</v>
      </c>
      <c r="B102" s="21" t="s">
        <v>189</v>
      </c>
      <c r="C102" s="23" t="s">
        <v>1484</v>
      </c>
      <c r="D102" s="22" t="s">
        <v>21</v>
      </c>
      <c r="E102" s="22" t="s">
        <v>62</v>
      </c>
      <c r="F102" s="22" t="s">
        <v>870</v>
      </c>
      <c r="G102" s="22"/>
      <c r="H102" s="21" t="s">
        <v>2330</v>
      </c>
      <c r="I102" s="22" t="s">
        <v>27</v>
      </c>
      <c r="J102" s="22" t="s">
        <v>945</v>
      </c>
      <c r="K102" s="22" t="s">
        <v>24</v>
      </c>
      <c r="L102" s="2" t="str">
        <f t="shared" si="1"/>
        <v>insert into CHB_DATACHECK_RULE (CHECKRULEID,DATATYPE,CHECKCLASS,CHECKMETHOD,SRCPROPERTY,COMPARETO,OBJVALUE,REMARK,STATUS,NULLABLE) values ('W23E4A49-6810-5A9E-E050-007F01006A38','CHB_ASSET_INFO','com.joyintech.tams.common.svreport.datacheck.service.BaseCheckLib','lessThanCharLength','SPECIAL_CMT1','','201','含权情况说明过长。','E','Y');</v>
      </c>
    </row>
    <row r="103" spans="1:12" x14ac:dyDescent="0.15">
      <c r="A103" s="17">
        <v>100</v>
      </c>
      <c r="B103" s="21" t="s">
        <v>190</v>
      </c>
      <c r="C103" s="23" t="s">
        <v>1484</v>
      </c>
      <c r="D103" s="22" t="s">
        <v>21</v>
      </c>
      <c r="E103" s="22" t="s">
        <v>32</v>
      </c>
      <c r="F103" s="22" t="s">
        <v>946</v>
      </c>
      <c r="G103" s="22"/>
      <c r="H103" s="21" t="s">
        <v>33</v>
      </c>
      <c r="I103" s="22" t="s">
        <v>27</v>
      </c>
      <c r="J103" s="22" t="s">
        <v>947</v>
      </c>
      <c r="K103" s="22" t="s">
        <v>24</v>
      </c>
      <c r="L103" s="2" t="str">
        <f t="shared" si="1"/>
        <v>insert into CHB_DATACHECK_RULE (CHECKRULEID,DATATYPE,CHECKCLASS,CHECKMETHOD,SRCPROPERTY,COMPARETO,OBJVALUE,REMARK,STATUS,NULLABLE) values ('W23E4A49-6810-5A9E-E050-007F01006A39','CHB_ASSET_INFO','com.joyintech.tams.common.svreport.datacheck.service.BaseCheckLib','isNumber2','MAX_YIELD','','8,5','结构化票据最高收益率以百分数形式表示时必须为n(8,5)格式。','E','Y');</v>
      </c>
    </row>
    <row r="104" spans="1:12" x14ac:dyDescent="0.15">
      <c r="A104" s="9">
        <v>101</v>
      </c>
      <c r="B104" s="21" t="s">
        <v>191</v>
      </c>
      <c r="C104" s="23" t="s">
        <v>1484</v>
      </c>
      <c r="D104" s="22" t="s">
        <v>21</v>
      </c>
      <c r="E104" s="22" t="s">
        <v>34</v>
      </c>
      <c r="F104" s="22" t="s">
        <v>946</v>
      </c>
      <c r="G104" s="22" t="s">
        <v>35</v>
      </c>
      <c r="H104" s="21" t="s">
        <v>26</v>
      </c>
      <c r="I104" s="22" t="s">
        <v>27</v>
      </c>
      <c r="J104" s="22" t="s">
        <v>948</v>
      </c>
      <c r="K104" s="22" t="s">
        <v>24</v>
      </c>
      <c r="L104" s="2" t="str">
        <f t="shared" si="1"/>
        <v>insert into CHB_DATACHECK_RULE (CHECKRULEID,DATATYPE,CHECKCLASS,CHECKMETHOD,SRCPROPERTY,COMPARETO,OBJVALUE,REMARK,STATUS,NULLABLE) values ('W23E4A49-6810-5A9E-E050-007F01006A40','CHB_ASSET_INFO','com.joyintech.tams.common.svreport.datacheck.service.BaseCheckLib','compareValueAsNumber','MAX_YIELD','&gt;=','0','结构化票据最高收益率必须大于等于0。','E','Y');</v>
      </c>
    </row>
    <row r="105" spans="1:12" x14ac:dyDescent="0.15">
      <c r="A105" s="17">
        <v>102</v>
      </c>
      <c r="B105" s="21" t="s">
        <v>192</v>
      </c>
      <c r="C105" s="23" t="s">
        <v>1484</v>
      </c>
      <c r="D105" s="22" t="s">
        <v>21</v>
      </c>
      <c r="E105" s="22" t="s">
        <v>949</v>
      </c>
      <c r="F105" s="22" t="s">
        <v>950</v>
      </c>
      <c r="G105" s="22" t="s">
        <v>936</v>
      </c>
      <c r="H105" s="21" t="s">
        <v>946</v>
      </c>
      <c r="I105" s="22" t="s">
        <v>27</v>
      </c>
      <c r="J105" s="22" t="s">
        <v>951</v>
      </c>
      <c r="K105" s="22" t="s">
        <v>24</v>
      </c>
      <c r="L105" s="2" t="str">
        <f t="shared" si="1"/>
        <v>insert into CHB_DATACHECK_RULE (CHECKRULEID,DATATYPE,CHECKCLASS,CHECKMETHOD,SRCPROPERTY,COMPARETO,OBJVALUE,REMARK,STATUS,NULLABLE) values ('W23E4A49-6810-5A9E-E050-007F01006A41','CHB_ASSET_INFO','com.joyintech.tams.common.svreport.datacheck.service.BaseCheckLib','comparePropertyAsNumber','MIN_YIELD','&lt;=','MAX_YIELD','结构化票据最高收益率必须大于等于结构化票据最低收益率。','E','Y');</v>
      </c>
    </row>
    <row r="106" spans="1:12" x14ac:dyDescent="0.15">
      <c r="A106" s="9">
        <v>103</v>
      </c>
      <c r="B106" s="21" t="s">
        <v>133</v>
      </c>
      <c r="C106" s="23" t="s">
        <v>1484</v>
      </c>
      <c r="D106" s="22" t="s">
        <v>21</v>
      </c>
      <c r="E106" s="22" t="s">
        <v>48</v>
      </c>
      <c r="F106" s="22" t="s">
        <v>856</v>
      </c>
      <c r="G106" s="22"/>
      <c r="H106" s="21" t="s">
        <v>63</v>
      </c>
      <c r="I106" s="22" t="s">
        <v>27</v>
      </c>
      <c r="J106" s="22" t="s">
        <v>857</v>
      </c>
      <c r="K106" s="22" t="s">
        <v>24</v>
      </c>
      <c r="L106" s="2" t="str">
        <f t="shared" si="1"/>
        <v>insert into CHB_DATACHECK_RULE (CHECKRULEID,DATATYPE,CHECKCLASS,CHECKMETHOD,SRCPROPERTY,COMPARETO,OBJVALUE,REMARK,STATUS,NULLABLE) values ('W23E4A49-6810-5A9E-E050-007F01006A42','CHB_ASSET_INFO','com.joyintech.tams.common.svreport.datacheck.service.BaseCheckLib','isCustomizedString','SEC_CREDIT_GRADE_TYPE','','^[\u4e00-\u9fa5\ue815-\ue864\uff01-\uff5e\uffe0-\uffe5\u3000-\u3003\u3005-\u3017\u301d-\u301e\u2010\u2013-\u2016\u2018-\u2019\u201c-\u201d\u2025-\u2026\u2030\u2032-\u2033\u2035\u203b\u00b7\u0030-\u0039\u0041-\u005a\u0061-\u007a\u2160-\u216b\u0020-\u0026\u0028-\u007B\u007D\u007E]{0,}$','债券信用评级必须填写白名单中的文字。','E','Y');</v>
      </c>
    </row>
    <row r="107" spans="1:12" x14ac:dyDescent="0.15">
      <c r="A107" s="17">
        <v>104</v>
      </c>
      <c r="B107" s="21" t="s">
        <v>134</v>
      </c>
      <c r="C107" s="23" t="s">
        <v>1484</v>
      </c>
      <c r="D107" s="22" t="s">
        <v>21</v>
      </c>
      <c r="E107" s="22" t="s">
        <v>48</v>
      </c>
      <c r="F107" s="22" t="s">
        <v>858</v>
      </c>
      <c r="G107" s="22"/>
      <c r="H107" s="21" t="s">
        <v>63</v>
      </c>
      <c r="I107" s="22" t="s">
        <v>27</v>
      </c>
      <c r="J107" s="22" t="s">
        <v>859</v>
      </c>
      <c r="K107" s="22" t="s">
        <v>24</v>
      </c>
      <c r="L107" s="2" t="str">
        <f t="shared" si="1"/>
        <v>insert into CHB_DATACHECK_RULE (CHECKRULEID,DATATYPE,CHECKCLASS,CHECKMETHOD,SRCPROPERTY,COMPARETO,OBJVALUE,REMARK,STATUS,NULLABLE) values ('W23E4A49-6810-5A9E-E050-007F01006A43','CHB_ASSET_INFO','com.joyintech.tams.common.svreport.datacheck.service.BaseCheckLib','isCustomizedString','GUA_TYPE_REMARK','','^[\u4e00-\u9fa5\ue815-\ue864\uff01-\uff5e\uffe0-\uffe5\u3000-\u3003\u3005-\u3017\u301d-\u301e\u2010\u2013-\u2016\u2018-\u2019\u201c-\u201d\u2025-\u2026\u2030\u2032-\u2033\u2035\u203b\u00b7\u0030-\u0039\u0041-\u005a\u0061-\u007a\u2160-\u216b\u0020-\u0026\u0028-\u007B\u007D\u007E]{0,}$','担保情况说明必须填写白名单中的文字。','E','Y');</v>
      </c>
    </row>
    <row r="108" spans="1:12" x14ac:dyDescent="0.15">
      <c r="A108" s="9">
        <v>105</v>
      </c>
      <c r="B108" s="21" t="s">
        <v>135</v>
      </c>
      <c r="C108" s="23" t="s">
        <v>1484</v>
      </c>
      <c r="D108" s="22" t="s">
        <v>21</v>
      </c>
      <c r="E108" s="22" t="s">
        <v>48</v>
      </c>
      <c r="F108" s="22" t="s">
        <v>860</v>
      </c>
      <c r="G108" s="22"/>
      <c r="H108" s="21" t="s">
        <v>63</v>
      </c>
      <c r="I108" s="22" t="s">
        <v>27</v>
      </c>
      <c r="J108" s="22" t="s">
        <v>861</v>
      </c>
      <c r="K108" s="22" t="s">
        <v>24</v>
      </c>
      <c r="L108" s="2" t="str">
        <f t="shared" si="1"/>
        <v>insert into CHB_DATACHECK_RULE (CHECKRULEID,DATATYPE,CHECKCLASS,CHECKMETHOD,SRCPROPERTY,COMPARETO,OBJVALUE,REMARK,STATUS,NULLABLE) values ('W23E4A49-6810-5A9E-E050-007F01006A44','CHB_ASSET_INFO','com.joyintech.tams.common.svreport.datacheck.service.BaseCheckLib','isCustomizedString','SPECIAL_CMT','','^[\u4e00-\u9fa5\ue815-\ue864\uff01-\uff5e\uffe0-\uffe5\u3000-\u3003\u3005-\u3017\u301d-\u301e\u2010\u2013-\u2016\u2018-\u2019\u201c-\u201d\u2025-\u2026\u2030\u2032-\u2033\u2035\u203b\u00b7\u0030-\u0039\u0041-\u005a\u0061-\u007a\u2160-\u216b\u0020-\u0026\u0028-\u007B\u007D\u007E]{0,}$','是否含权等特殊条款情况说明必须填写白名单中的文字。','E','Y');</v>
      </c>
    </row>
    <row r="109" spans="1:12" x14ac:dyDescent="0.15">
      <c r="A109" s="17">
        <v>106</v>
      </c>
      <c r="B109" s="21" t="s">
        <v>136</v>
      </c>
      <c r="C109" s="23" t="s">
        <v>1484</v>
      </c>
      <c r="D109" s="22" t="s">
        <v>21</v>
      </c>
      <c r="E109" s="22" t="s">
        <v>48</v>
      </c>
      <c r="F109" s="22" t="s">
        <v>862</v>
      </c>
      <c r="G109" s="22"/>
      <c r="H109" s="21" t="s">
        <v>63</v>
      </c>
      <c r="I109" s="22" t="s">
        <v>27</v>
      </c>
      <c r="J109" s="22" t="s">
        <v>863</v>
      </c>
      <c r="K109" s="22" t="s">
        <v>24</v>
      </c>
      <c r="L109" s="2" t="str">
        <f t="shared" si="1"/>
        <v>insert into CHB_DATACHECK_RULE (CHECKRULEID,DATATYPE,CHECKCLASS,CHECKMETHOD,SRCPROPERTY,COMPARETO,OBJVALUE,REMARK,STATUS,NULLABLE) values ('W23E4A49-6810-5A9E-E050-007F01006A45','CHB_ASSET_INFO','com.joyintech.tams.common.svreport.datacheck.service.BaseCheckLib','isCustomizedString','CONTRACT_NAME','','^[\u4e00-\u9fa5\ue815-\ue864\uff01-\uff5e\uffe0-\uffe5\u3000-\u3003\u3005-\u3017\u301d-\u301e\u2010\u2013-\u2016\u2018-\u2019\u201c-\u201d\u2025-\u2026\u2030\u2032-\u2033\u2035\u203b\u00b7\u0030-\u0039\u0041-\u005a\u0061-\u007a\u2160-\u216b\u0020-\u0026\u0028-\u007B\u007D\u007E]{0,}$','合约名称必须填写白名单中的文字。','E','Y');</v>
      </c>
    </row>
    <row r="110" spans="1:12" x14ac:dyDescent="0.15">
      <c r="A110" s="9">
        <v>107</v>
      </c>
      <c r="B110" s="21" t="s">
        <v>137</v>
      </c>
      <c r="C110" s="23" t="s">
        <v>1484</v>
      </c>
      <c r="D110" s="22" t="s">
        <v>21</v>
      </c>
      <c r="E110" s="22" t="s">
        <v>48</v>
      </c>
      <c r="F110" s="22" t="s">
        <v>864</v>
      </c>
      <c r="G110" s="22"/>
      <c r="H110" s="21" t="s">
        <v>63</v>
      </c>
      <c r="I110" s="22" t="s">
        <v>27</v>
      </c>
      <c r="J110" s="22" t="s">
        <v>865</v>
      </c>
      <c r="K110" s="22" t="s">
        <v>24</v>
      </c>
      <c r="L110" s="2" t="str">
        <f t="shared" si="1"/>
        <v>insert into CHB_DATACHECK_RULE (CHECKRULEID,DATATYPE,CHECKCLASS,CHECKMETHOD,SRCPROPERTY,COMPARETO,OBJVALUE,REMARK,STATUS,NULLABLE) values ('W23E4A49-6810-5A9E-E050-007F01006A46','CHB_ASSET_INFO','com.joyintech.tams.common.svreport.datacheck.service.BaseCheckLib','isCustomizedString','DER_INSTR_INV_TYPE','','^[\u4e00-\u9fa5\ue815-\ue864\uff01-\uff5e\uffe0-\uffe5\u3000-\u3003\u3005-\u3017\u301d-\u301e\u2010\u2013-\u2016\u2018-\u2019\u201c-\u201d\u2025-\u2026\u2030\u2032-\u2033\u2035\u203b\u00b7\u0030-\u0039\u0041-\u005a\u0061-\u007a\u2160-\u216b\u0020-\u0026\u0028-\u007B\u007D\u007E]{0,}$','衍生金融工具具体投资方式必须填写白名单中的文字。','E','Y');</v>
      </c>
    </row>
    <row r="111" spans="1:12" x14ac:dyDescent="0.15">
      <c r="A111" s="17">
        <v>108</v>
      </c>
      <c r="B111" s="21" t="s">
        <v>138</v>
      </c>
      <c r="C111" s="23" t="s">
        <v>1484</v>
      </c>
      <c r="D111" s="22" t="s">
        <v>21</v>
      </c>
      <c r="E111" s="22" t="s">
        <v>48</v>
      </c>
      <c r="F111" s="22" t="s">
        <v>866</v>
      </c>
      <c r="G111" s="22"/>
      <c r="H111" s="21" t="s">
        <v>63</v>
      </c>
      <c r="I111" s="22" t="s">
        <v>27</v>
      </c>
      <c r="J111" s="22" t="s">
        <v>867</v>
      </c>
      <c r="K111" s="22" t="s">
        <v>24</v>
      </c>
      <c r="L111" s="2" t="str">
        <f t="shared" si="1"/>
        <v>insert into CHB_DATACHECK_RULE (CHECKRULEID,DATATYPE,CHECKCLASS,CHECKMETHOD,SRCPROPERTY,COMPARETO,OBJVALUE,REMARK,STATUS,NULLABLE) values ('W23E4A49-6810-5A9E-E050-007F01006A47','CHB_ASSET_INFO','com.joyintech.tams.common.svreport.datacheck.service.BaseCheckLib','isCustomizedString','DER_INSTR_TARGET','','^[\u4e00-\u9fa5\ue815-\ue864\uff01-\uff5e\uffe0-\uffe5\u3000-\u3003\u3005-\u3017\u301d-\u301e\u2010\u2013-\u2016\u2018-\u2019\u201c-\u201d\u2025-\u2026\u2030\u2032-\u2033\u2035\u203b\u00b7\u0030-\u0039\u0041-\u005a\u0061-\u007a\u2160-\u216b\u0020-\u0026\u0028-\u007B\u007D\u007E]{0,}$','衍生金融工具挂钩标的资产必须填写白名单中的文字。','E','Y');</v>
      </c>
    </row>
    <row r="112" spans="1:12" x14ac:dyDescent="0.15">
      <c r="A112" s="9">
        <v>109</v>
      </c>
      <c r="B112" s="21" t="s">
        <v>139</v>
      </c>
      <c r="C112" s="23" t="s">
        <v>1484</v>
      </c>
      <c r="D112" s="22" t="s">
        <v>21</v>
      </c>
      <c r="E112" s="22" t="s">
        <v>48</v>
      </c>
      <c r="F112" s="22" t="s">
        <v>868</v>
      </c>
      <c r="G112" s="22"/>
      <c r="H112" s="21" t="s">
        <v>63</v>
      </c>
      <c r="I112" s="22" t="s">
        <v>27</v>
      </c>
      <c r="J112" s="22" t="s">
        <v>869</v>
      </c>
      <c r="K112" s="22" t="s">
        <v>24</v>
      </c>
      <c r="L112" s="2" t="str">
        <f t="shared" si="1"/>
        <v>insert into CHB_DATACHECK_RULE (CHECKRULEID,DATATYPE,CHECKCLASS,CHECKMETHOD,SRCPROPERTY,COMPARETO,OBJVALUE,REMARK,STATUS,NULLABLE) values ('W23E4A49-6810-5A9E-E050-007F01006A48','CHB_ASSET_INFO','com.joyintech.tams.common.svreport.datacheck.service.BaseCheckLib','isCustomizedString','ACCT_MODE','','^[\u4e00-\u9fa5\ue815-\ue864\uff01-\uff5e\uffe0-\uffe5\u3000-\u3003\u3005-\u3017\u301d-\u301e\u2010\u2013-\u2016\u2018-\u2019\u201c-\u201d\u2025-\u2026\u2030\u2032-\u2033\u2035\u203b\u00b7\u0030-\u0039\u0041-\u005a\u0061-\u007a\u2160-\u216b\u0020-\u0026\u0028-\u007B\u007D\u007E]{0,}$','利息结算方式必须填写白名单中的文字。','E','Y');</v>
      </c>
    </row>
    <row r="113" spans="1:12" s="15" customFormat="1" x14ac:dyDescent="0.15">
      <c r="A113" s="17">
        <v>110</v>
      </c>
      <c r="B113" s="21" t="s">
        <v>140</v>
      </c>
      <c r="C113" s="23" t="s">
        <v>1484</v>
      </c>
      <c r="D113" s="22" t="s">
        <v>21</v>
      </c>
      <c r="E113" s="22" t="s">
        <v>48</v>
      </c>
      <c r="F113" s="22" t="s">
        <v>870</v>
      </c>
      <c r="G113" s="22"/>
      <c r="H113" s="21" t="s">
        <v>63</v>
      </c>
      <c r="I113" s="22" t="s">
        <v>27</v>
      </c>
      <c r="J113" s="22" t="s">
        <v>871</v>
      </c>
      <c r="K113" s="22" t="s">
        <v>24</v>
      </c>
      <c r="L113" s="14" t="str">
        <f t="shared" si="1"/>
        <v>insert into CHB_DATACHECK_RULE (CHECKRULEID,DATATYPE,CHECKCLASS,CHECKMETHOD,SRCPROPERTY,COMPARETO,OBJVALUE,REMARK,STATUS,NULLABLE) values ('W23E4A49-6810-5A9E-E050-007F01006A49','CHB_ASSET_INFO','com.joyintech.tams.common.svreport.datacheck.service.BaseCheckLib','isCustomizedString','SPECIAL_CMT1','','^[\u4e00-\u9fa5\ue815-\ue864\uff01-\uff5e\uffe0-\uffe5\u3000-\u3003\u3005-\u3017\u301d-\u301e\u2010\u2013-\u2016\u2018-\u2019\u201c-\u201d\u2025-\u2026\u2030\u2032-\u2033\u2035\u203b\u00b7\u0030-\u0039\u0041-\u005a\u0061-\u007a\u2160-\u216b\u0020-\u0026\u0028-\u007B\u007D\u007E]{0,}$','含权情况说明必须填写白名单中的文字。','E','Y');</v>
      </c>
    </row>
    <row r="114" spans="1:12" x14ac:dyDescent="0.15">
      <c r="A114" s="9">
        <v>111</v>
      </c>
      <c r="B114" s="21" t="s">
        <v>141</v>
      </c>
      <c r="C114" s="23" t="s">
        <v>1484</v>
      </c>
      <c r="D114" s="22" t="s">
        <v>21</v>
      </c>
      <c r="E114" s="22" t="s">
        <v>48</v>
      </c>
      <c r="F114" s="22" t="s">
        <v>872</v>
      </c>
      <c r="G114" s="22"/>
      <c r="H114" s="21" t="s">
        <v>63</v>
      </c>
      <c r="I114" s="22" t="s">
        <v>27</v>
      </c>
      <c r="J114" s="22" t="s">
        <v>873</v>
      </c>
      <c r="K114" s="22" t="s">
        <v>24</v>
      </c>
      <c r="L114" s="2" t="str">
        <f t="shared" si="1"/>
        <v>insert into CHB_DATACHECK_RULE (CHECKRULEID,DATATYPE,CHECKCLASS,CHECKMETHOD,SRCPROPERTY,COMPARETO,OBJVALUE,REMARK,STATUS,NULLABLE) values ('W23E4A49-6810-5A9E-E050-007F01006A50','CHB_ASSET_INFO','com.joyintech.tams.common.svreport.datacheck.service.BaseCheckLib','isCustomizedString','TRADE_FEE','','^[\u4e00-\u9fa5\ue815-\ue864\uff01-\uff5e\uffe0-\uffe5\u3000-\u3003\u3005-\u3017\u301d-\u301e\u2010\u2013-\u2016\u2018-\u2019\u201c-\u201d\u2025-\u2026\u2030\u2032-\u2033\u2035\u203b\u00b7\u0030-\u0039\u0041-\u005a\u0061-\u007a\u2160-\u216b\u0020-\u0026\u0028-\u007B\u007D\u007E]{0,}$','交易费必须填写白名单中的文字。','E','Y');</v>
      </c>
    </row>
    <row r="115" spans="1:12" x14ac:dyDescent="0.15">
      <c r="A115" s="17">
        <v>112</v>
      </c>
      <c r="B115" s="21" t="s">
        <v>142</v>
      </c>
      <c r="C115" s="23" t="s">
        <v>1484</v>
      </c>
      <c r="D115" s="22" t="s">
        <v>21</v>
      </c>
      <c r="E115" s="22" t="s">
        <v>48</v>
      </c>
      <c r="F115" s="22" t="s">
        <v>874</v>
      </c>
      <c r="G115" s="22"/>
      <c r="H115" s="21" t="s">
        <v>63</v>
      </c>
      <c r="I115" s="22" t="s">
        <v>27</v>
      </c>
      <c r="J115" s="22" t="s">
        <v>875</v>
      </c>
      <c r="K115" s="22" t="s">
        <v>24</v>
      </c>
      <c r="L115" s="2" t="str">
        <f t="shared" si="1"/>
        <v>insert into CHB_DATACHECK_RULE (CHECKRULEID,DATATYPE,CHECKCLASS,CHECKMETHOD,SRCPROPERTY,COMPARETO,OBJVALUE,REMARK,STATUS,NULLABLE) values ('W23E4A49-6810-5A9E-E050-007F01006A51','CHB_ASSET_INFO','com.joyintech.tams.common.svreport.datacheck.service.BaseCheckLib','isCustomizedString','PARTY_CODE','','^[\u4e00-\u9fa5\ue815-\ue864\uff01-\uff5e\uffe0-\uffe5\u3000-\u3003\u3005-\u3017\u301d-\u301e\u2010\u2013-\u2016\u2018-\u2019\u201c-\u201d\u2025-\u2026\u2030\u2032-\u2033\u2035\u203b\u00b7\u0030-\u0039\u0041-\u005a\u0061-\u007a\u2160-\u216b\u0020-\u0026\u0028-\u007B\u007D\u007E]{0,}$','资管计划发起人机构编码必须填写白名单中的文字。','E','Y');</v>
      </c>
    </row>
    <row r="116" spans="1:12" x14ac:dyDescent="0.15">
      <c r="A116" s="9">
        <v>113</v>
      </c>
      <c r="B116" s="21" t="s">
        <v>143</v>
      </c>
      <c r="C116" s="23" t="s">
        <v>1484</v>
      </c>
      <c r="D116" s="22" t="s">
        <v>21</v>
      </c>
      <c r="E116" s="22" t="s">
        <v>48</v>
      </c>
      <c r="F116" s="22" t="s">
        <v>876</v>
      </c>
      <c r="G116" s="22"/>
      <c r="H116" s="21" t="s">
        <v>63</v>
      </c>
      <c r="I116" s="22" t="s">
        <v>27</v>
      </c>
      <c r="J116" s="22" t="s">
        <v>877</v>
      </c>
      <c r="K116" s="22" t="s">
        <v>24</v>
      </c>
      <c r="L116" s="2" t="str">
        <f t="shared" si="1"/>
        <v>insert into CHB_DATACHECK_RULE (CHECKRULEID,DATATYPE,CHECKCLASS,CHECKMETHOD,SRCPROPERTY,COMPARETO,OBJVALUE,REMARK,STATUS,NULLABLE) values ('W23E4A49-6810-5A9E-E050-007F01006A52','CHB_ASSET_INFO','com.joyintech.tams.common.svreport.datacheck.service.BaseCheckLib','isCustomizedString','CHECK_CODE','','^[\u4e00-\u9fa5\ue815-\ue864\uff01-\uff5e\uffe0-\uffe5\u3000-\u3003\u3005-\u3017\u301d-\u301e\u2010\u2013-\u2016\u2018-\u2019\u201c-\u201d\u2025-\u2026\u2030\u2032-\u2033\u2035\u203b\u00b7\u0030-\u0039\u0041-\u005a\u0061-\u007a\u2160-\u216b\u0020-\u0026\u0028-\u007B\u007D\u007E]{0,}$','资管计划登记编码必须填写白名单中的文字。','E','Y');</v>
      </c>
    </row>
    <row r="117" spans="1:12" x14ac:dyDescent="0.15">
      <c r="A117" s="17">
        <v>114</v>
      </c>
      <c r="B117" s="21" t="s">
        <v>144</v>
      </c>
      <c r="C117" s="23" t="s">
        <v>1484</v>
      </c>
      <c r="D117" s="22" t="s">
        <v>21</v>
      </c>
      <c r="E117" s="22" t="s">
        <v>48</v>
      </c>
      <c r="F117" s="22" t="s">
        <v>46</v>
      </c>
      <c r="G117" s="22"/>
      <c r="H117" s="21" t="s">
        <v>63</v>
      </c>
      <c r="I117" s="22" t="s">
        <v>27</v>
      </c>
      <c r="J117" s="22" t="s">
        <v>878</v>
      </c>
      <c r="K117" s="22" t="s">
        <v>24</v>
      </c>
      <c r="L117" s="2" t="str">
        <f t="shared" si="1"/>
        <v>insert into CHB_DATACHECK_RULE (CHECKRULEID,DATATYPE,CHECKCLASS,CHECKMETHOD,SRCPROPERTY,COMPARETO,OBJVALUE,REMARK,STATUS,NULLABLE) values ('W23E4A49-6810-5A9E-E050-007F01006A53','CHB_ASSET_INFO','com.joyintech.tams.common.svreport.datacheck.service.BaseCheckLib','isCustomizedString','MANAGER_ID','','^[\u4e00-\u9fa5\ue815-\ue864\uff01-\uff5e\uffe0-\uffe5\u3000-\u3003\u3005-\u3017\u301d-\u301e\u2010\u2013-\u2016\u2018-\u2019\u201c-\u201d\u2025-\u2026\u2030\u2032-\u2033\u2035\u203b\u00b7\u0030-\u0039\u0041-\u005a\u0061-\u007a\u2160-\u216b\u0020-\u0026\u0028-\u007B\u007D\u007E]{0,}$','管理人必须填写白名单中的文字。','E','Y');</v>
      </c>
    </row>
    <row r="118" spans="1:12" x14ac:dyDescent="0.15">
      <c r="A118" s="9">
        <v>115</v>
      </c>
      <c r="B118" s="21" t="s">
        <v>145</v>
      </c>
      <c r="C118" s="23" t="s">
        <v>1484</v>
      </c>
      <c r="D118" s="22" t="s">
        <v>21</v>
      </c>
      <c r="E118" s="22" t="s">
        <v>48</v>
      </c>
      <c r="F118" s="22" t="s">
        <v>879</v>
      </c>
      <c r="G118" s="22"/>
      <c r="H118" s="21" t="s">
        <v>63</v>
      </c>
      <c r="I118" s="22" t="s">
        <v>27</v>
      </c>
      <c r="J118" s="22" t="s">
        <v>880</v>
      </c>
      <c r="K118" s="22" t="s">
        <v>24</v>
      </c>
      <c r="L118" s="2" t="str">
        <f t="shared" si="1"/>
        <v>insert into CHB_DATACHECK_RULE (CHECKRULEID,DATATYPE,CHECKCLASS,CHECKMETHOD,SRCPROPERTY,COMPARETO,OBJVALUE,REMARK,STATUS,NULLABLE) values ('W23E4A49-6810-5A9E-E050-007F01006A54','CHB_ASSET_INFO','com.joyintech.tams.common.svreport.datacheck.service.BaseCheckLib','isCustomizedString','TRUSTEE_ID','','^[\u4e00-\u9fa5\ue815-\ue864\uff01-\uff5e\uffe0-\uffe5\u3000-\u3003\u3005-\u3017\u301d-\u301e\u2010\u2013-\u2016\u2018-\u2019\u201c-\u201d\u2025-\u2026\u2030\u2032-\u2033\u2035\u203b\u00b7\u0030-\u0039\u0041-\u005a\u0061-\u007a\u2160-\u216b\u0020-\u0026\u0028-\u007B\u007D\u007E]{0,}$','托管人必须填写白名单中的文字。','E','Y');</v>
      </c>
    </row>
    <row r="119" spans="1:12" x14ac:dyDescent="0.15">
      <c r="A119" s="17">
        <v>116</v>
      </c>
      <c r="B119" s="21" t="s">
        <v>146</v>
      </c>
      <c r="C119" s="23" t="s">
        <v>1484</v>
      </c>
      <c r="D119" s="22" t="s">
        <v>21</v>
      </c>
      <c r="E119" s="22" t="s">
        <v>48</v>
      </c>
      <c r="F119" s="22" t="s">
        <v>31</v>
      </c>
      <c r="G119" s="22"/>
      <c r="H119" s="21" t="s">
        <v>63</v>
      </c>
      <c r="I119" s="22" t="s">
        <v>27</v>
      </c>
      <c r="J119" s="22" t="s">
        <v>881</v>
      </c>
      <c r="K119" s="22" t="s">
        <v>24</v>
      </c>
      <c r="L119" s="2" t="str">
        <f t="shared" si="1"/>
        <v>insert into CHB_DATACHECK_RULE (CHECKRULEID,DATATYPE,CHECKCLASS,CHECKMETHOD,SRCPROPERTY,COMPARETO,OBJVALUE,REMARK,STATUS,NULLABLE) values ('W23E4A49-6810-5A9E-E050-007F01006A55','CHB_ASSET_INFO','com.joyintech.tams.common.svreport.datacheck.service.BaseCheckLib','isCustomizedString','INVEST_TYPE','','^[\u4e00-\u9fa5\ue815-\ue864\uff01-\uff5e\uffe0-\uffe5\u3000-\u3003\u3005-\u3017\u301d-\u301e\u2010\u2013-\u2016\u2018-\u2019\u201c-\u201d\u2025-\u2026\u2030\u2032-\u2033\u2035\u203b\u00b7\u0030-\u0039\u0041-\u005a\u0061-\u007a\u2160-\u216b\u0020-\u0026\u0028-\u007B\u007D\u007E]{0,}$','资金运用方式必须填写白名单中的文字。','E','Y');</v>
      </c>
    </row>
    <row r="120" spans="1:12" x14ac:dyDescent="0.15">
      <c r="A120" s="9">
        <v>117</v>
      </c>
      <c r="B120" s="21" t="s">
        <v>147</v>
      </c>
      <c r="C120" s="23" t="s">
        <v>1484</v>
      </c>
      <c r="D120" s="22" t="s">
        <v>21</v>
      </c>
      <c r="E120" s="22" t="s">
        <v>48</v>
      </c>
      <c r="F120" s="22" t="s">
        <v>882</v>
      </c>
      <c r="G120" s="22"/>
      <c r="H120" s="21" t="s">
        <v>63</v>
      </c>
      <c r="I120" s="22" t="s">
        <v>27</v>
      </c>
      <c r="J120" s="22" t="s">
        <v>883</v>
      </c>
      <c r="K120" s="22" t="s">
        <v>24</v>
      </c>
      <c r="L120" s="2" t="str">
        <f t="shared" si="1"/>
        <v>insert into CHB_DATACHECK_RULE (CHECKRULEID,DATATYPE,CHECKCLASS,CHECKMETHOD,SRCPROPERTY,COMPARETO,OBJVALUE,REMARK,STATUS,NULLABLE) values ('W23E4A49-6810-5A9E-E050-007F01006A56','CHB_ASSET_INFO','com.joyintech.tams.common.svreport.datacheck.service.BaseCheckLib','isCustomizedString','FUND_ENPE_NAME','','^[\u4e00-\u9fa5\ue815-\ue864\uff01-\uff5e\uffe0-\uffe5\u3000-\u3003\u3005-\u3017\u301d-\u301e\u2010\u2013-\u2016\u2018-\u2019\u201c-\u201d\u2025-\u2026\u2030\u2032-\u2033\u2035\u203b\u00b7\u0030-\u0039\u0041-\u005a\u0061-\u007a\u2160-\u216b\u0020-\u0026\u0028-\u007B\u007D\u007E]{0,}$','基金公司名称必须填写白名单中的文字。','E','Y');</v>
      </c>
    </row>
    <row r="121" spans="1:12" x14ac:dyDescent="0.15">
      <c r="A121" s="17">
        <v>118</v>
      </c>
      <c r="B121" s="21" t="s">
        <v>148</v>
      </c>
      <c r="C121" s="23" t="s">
        <v>1484</v>
      </c>
      <c r="D121" s="22" t="s">
        <v>21</v>
      </c>
      <c r="E121" s="22" t="s">
        <v>48</v>
      </c>
      <c r="F121" s="22" t="s">
        <v>884</v>
      </c>
      <c r="G121" s="22"/>
      <c r="H121" s="21" t="s">
        <v>63</v>
      </c>
      <c r="I121" s="22" t="s">
        <v>27</v>
      </c>
      <c r="J121" s="22" t="s">
        <v>885</v>
      </c>
      <c r="K121" s="22" t="s">
        <v>24</v>
      </c>
      <c r="L121" s="2" t="str">
        <f t="shared" si="1"/>
        <v>insert into CHB_DATACHECK_RULE (CHECKRULEID,DATATYPE,CHECKCLASS,CHECKMETHOD,SRCPROPERTY,COMPARETO,OBJVALUE,REMARK,STATUS,NULLABLE) values ('W23E4A49-6810-5A9E-E050-007F01006A57','CHB_ASSET_INFO','com.joyintech.tams.common.svreport.datacheck.service.BaseCheckLib','isCustomizedString','MNG_ORG_NAME','','^[\u4e00-\u9fa5\ue815-\ue864\uff01-\uff5e\uffe0-\uffe5\u3000-\u3003\u3005-\u3017\u301d-\u301e\u2010\u2013-\u2016\u2018-\u2019\u201c-\u201d\u2025-\u2026\u2030\u2032-\u2033\u2035\u203b\u00b7\u0030-\u0039\u0041-\u005a\u0061-\u007a\u2160-\u216b\u0020-\u0026\u0028-\u007B\u007D\u007E]{0,}$','基金管理机构名称必须填写白名单中的文字。','E','Y');</v>
      </c>
    </row>
    <row r="122" spans="1:12" x14ac:dyDescent="0.15">
      <c r="A122" s="9">
        <v>119</v>
      </c>
      <c r="B122" s="21" t="s">
        <v>149</v>
      </c>
      <c r="C122" s="23" t="s">
        <v>1484</v>
      </c>
      <c r="D122" s="22" t="s">
        <v>21</v>
      </c>
      <c r="E122" s="22" t="s">
        <v>48</v>
      </c>
      <c r="F122" s="22" t="s">
        <v>886</v>
      </c>
      <c r="G122" s="22"/>
      <c r="H122" s="21" t="s">
        <v>63</v>
      </c>
      <c r="I122" s="22" t="s">
        <v>27</v>
      </c>
      <c r="J122" s="22" t="s">
        <v>887</v>
      </c>
      <c r="K122" s="22" t="s">
        <v>24</v>
      </c>
      <c r="L122" s="2" t="str">
        <f t="shared" si="1"/>
        <v>insert into CHB_DATACHECK_RULE (CHECKRULEID,DATATYPE,CHECKCLASS,CHECKMETHOD,SRCPROPERTY,COMPARETO,OBJVALUE,REMARK,STATUS,NULLABLE) values ('W23E4A49-6810-5A9E-E050-007F01006A58','CHB_ASSET_INFO','com.joyintech.tams.common.svreport.datacheck.service.BaseCheckLib','isCustomizedString','TRU_ORG_NAME','','^[\u4e00-\u9fa5\ue815-\ue864\uff01-\uff5e\uffe0-\uffe5\u3000-\u3003\u3005-\u3017\u301d-\u301e\u2010\u2013-\u2016\u2018-\u2019\u201c-\u201d\u2025-\u2026\u2030\u2032-\u2033\u2035\u203b\u00b7\u0030-\u0039\u0041-\u005a\u0061-\u007a\u2160-\u216b\u0020-\u0026\u0028-\u007B\u007D\u007E]{0,}$','基金托管机构名称必须填写白名单中的文字。','E','Y');</v>
      </c>
    </row>
    <row r="123" spans="1:12" x14ac:dyDescent="0.15">
      <c r="A123" s="17">
        <v>120</v>
      </c>
      <c r="B123" s="21" t="s">
        <v>150</v>
      </c>
      <c r="C123" s="23" t="s">
        <v>1484</v>
      </c>
      <c r="D123" s="22" t="s">
        <v>21</v>
      </c>
      <c r="E123" s="22" t="s">
        <v>48</v>
      </c>
      <c r="F123" s="22" t="s">
        <v>888</v>
      </c>
      <c r="G123" s="22"/>
      <c r="H123" s="21" t="s">
        <v>63</v>
      </c>
      <c r="I123" s="22" t="s">
        <v>27</v>
      </c>
      <c r="J123" s="22" t="s">
        <v>889</v>
      </c>
      <c r="K123" s="22" t="s">
        <v>24</v>
      </c>
      <c r="L123" s="2" t="str">
        <f t="shared" si="1"/>
        <v>insert into CHB_DATACHECK_RULE (CHECKRULEID,DATATYPE,CHECKCLASS,CHECKMETHOD,SRCPROPERTY,COMPARETO,OBJVALUE,REMARK,STATUS,NULLABLE) values ('W23E4A49-6810-5A9E-E050-007F01006A59','CHB_ASSET_INFO','com.joyintech.tams.common.svreport.datacheck.service.BaseCheckLib','isCustomizedString','IN_ASSET_TYPE_CMM','','^[\u4e00-\u9fa5\ue815-\ue864\uff01-\uff5e\uffe0-\uffe5\u3000-\u3003\u3005-\u3017\u301d-\u301e\u2010\u2013-\u2016\u2018-\u2019\u201c-\u201d\u2025-\u2026\u2030\u2032-\u2033\u2035\u203b\u00b7\u0030-\u0039\u0041-\u005a\u0061-\u007a\u2160-\u216b\u0020-\u0026\u0028-\u007B\u007D\u007E]{0,}$','行内资产类别说明必须填写白名单中的文字。','E','Y');</v>
      </c>
    </row>
    <row r="124" spans="1:12" x14ac:dyDescent="0.15">
      <c r="A124" s="9">
        <v>121</v>
      </c>
      <c r="B124" s="21" t="s">
        <v>193</v>
      </c>
      <c r="C124" s="23" t="s">
        <v>1484</v>
      </c>
      <c r="D124" s="22" t="s">
        <v>21</v>
      </c>
      <c r="E124" s="22" t="s">
        <v>34</v>
      </c>
      <c r="F124" s="22" t="s">
        <v>965</v>
      </c>
      <c r="G124" s="22" t="s">
        <v>35</v>
      </c>
      <c r="H124" s="21" t="s">
        <v>26</v>
      </c>
      <c r="I124" s="22" t="s">
        <v>27</v>
      </c>
      <c r="J124" s="22" t="s">
        <v>967</v>
      </c>
      <c r="K124" s="22" t="s">
        <v>24</v>
      </c>
      <c r="L124" s="2" t="str">
        <f t="shared" si="1"/>
        <v>insert into CHB_DATACHECK_RULE (CHECKRULEID,DATATYPE,CHECKCLASS,CHECKMETHOD,SRCPROPERTY,COMPARETO,OBJVALUE,REMARK,STATUS,NULLABLE) values ('W23E4A49-6810-5A9E-E050-007F01006A60','CHB_ASSET_INFO','com.joyintech.tams.common.svreport.datacheck.service.BaseCheckLib','compareValueAsNumber','ASSET_VALUE','&gt;=','0','资产价值必须大于等于0','E','Y');</v>
      </c>
    </row>
    <row r="125" spans="1:12" x14ac:dyDescent="0.15">
      <c r="A125" s="17">
        <v>122</v>
      </c>
      <c r="B125" s="21" t="s">
        <v>194</v>
      </c>
      <c r="C125" s="23" t="s">
        <v>1484</v>
      </c>
      <c r="D125" s="22" t="s">
        <v>21</v>
      </c>
      <c r="E125" s="22" t="s">
        <v>32</v>
      </c>
      <c r="F125" s="22" t="s">
        <v>772</v>
      </c>
      <c r="G125" s="22"/>
      <c r="H125" s="21" t="s">
        <v>33</v>
      </c>
      <c r="I125" s="22" t="s">
        <v>27</v>
      </c>
      <c r="J125" s="22" t="s">
        <v>968</v>
      </c>
      <c r="K125" s="22" t="s">
        <v>24</v>
      </c>
      <c r="L125" s="2" t="str">
        <f t="shared" si="1"/>
        <v>insert into CHB_DATACHECK_RULE (CHECKRULEID,DATATYPE,CHECKCLASS,CHECKMETHOD,SRCPROPERTY,COMPARETO,OBJVALUE,REMARK,STATUS,NULLABLE) values ('W23E4A49-6810-5A9E-E050-007F01006A61','CHB_ASSET_INFO','com.joyintech.tams.common.svreport.datacheck.service.BaseCheckLib','isNumber2','ASSET_YIELD','','8,5','资产收益率%以百分数形式表示时必须为n(8,5)格式。','E','Y');</v>
      </c>
    </row>
    <row r="126" spans="1:12" x14ac:dyDescent="0.15">
      <c r="A126" s="9">
        <v>123</v>
      </c>
      <c r="B126" s="21" t="s">
        <v>151</v>
      </c>
      <c r="C126" s="23" t="s">
        <v>1484</v>
      </c>
      <c r="D126" s="22" t="s">
        <v>21</v>
      </c>
      <c r="E126" s="22" t="s">
        <v>48</v>
      </c>
      <c r="F126" s="22" t="s">
        <v>45</v>
      </c>
      <c r="G126" s="22"/>
      <c r="H126" s="21" t="s">
        <v>57</v>
      </c>
      <c r="I126" s="22" t="s">
        <v>27</v>
      </c>
      <c r="J126" s="22" t="s">
        <v>890</v>
      </c>
      <c r="K126" s="22" t="s">
        <v>24</v>
      </c>
      <c r="L126" s="2" t="str">
        <f t="shared" si="1"/>
        <v>insert into CHB_DATACHECK_RULE (CHECKRULEID,DATATYPE,CHECKCLASS,CHECKMETHOD,SRCPROPERTY,COMPARETO,OBJVALUE,REMARK,STATUS,NULLABLE) values ('W23E4A49-6810-5A9E-E050-007F01006A62','CHB_ASSET_INFO','com.joyintech.tams.common.svreport.datacheck.service.BaseCheckLib','isCustomizedString','ISSUE_PARTY_ID','','^[0-9a-zA-Z]{6}$','发行机构代码要素格式不对正确的格式：6位英文或数字。','E','Y');</v>
      </c>
    </row>
    <row r="127" spans="1:12" x14ac:dyDescent="0.15">
      <c r="A127" s="17">
        <v>124</v>
      </c>
      <c r="B127" s="21" t="s">
        <v>195</v>
      </c>
      <c r="C127" s="23" t="s">
        <v>1484</v>
      </c>
      <c r="D127" s="22" t="s">
        <v>21</v>
      </c>
      <c r="E127" s="22" t="s">
        <v>30</v>
      </c>
      <c r="F127" s="22" t="s">
        <v>803</v>
      </c>
      <c r="G127" s="22" t="s">
        <v>25</v>
      </c>
      <c r="H127" s="21" t="s">
        <v>58</v>
      </c>
      <c r="I127" s="22" t="s">
        <v>23</v>
      </c>
      <c r="J127" s="22" t="s">
        <v>804</v>
      </c>
      <c r="K127" s="22" t="s">
        <v>24</v>
      </c>
      <c r="L127" s="2" t="str">
        <f t="shared" si="1"/>
        <v>insert into CHB_DATACHECK_RULE (CHECKRULEID,DATATYPE,CHECKCLASS,CHECKMETHOD,SRCPROPERTY,COMPARETO,OBJVALUE,REMARK,STATUS,NULLABLE) values ('W23E4A49-6810-5A9E-E050-007F01006A63','CHB_ASSET_INFO','com.joyintech.tams.common.svreport.datacheck.service.BaseCheckLib','inDatadict','COUNTRY_AREA','==','SVR_COUNTRY_AREA','所属国家或地区必填或不在值域范围内。','E','N');</v>
      </c>
    </row>
    <row r="128" spans="1:12" x14ac:dyDescent="0.15">
      <c r="A128" s="9">
        <v>125</v>
      </c>
      <c r="B128" s="21" t="s">
        <v>196</v>
      </c>
      <c r="C128" s="23" t="s">
        <v>1484</v>
      </c>
      <c r="D128" s="22" t="s">
        <v>21</v>
      </c>
      <c r="E128" s="22" t="s">
        <v>62</v>
      </c>
      <c r="F128" s="22" t="s">
        <v>807</v>
      </c>
      <c r="G128" s="22"/>
      <c r="H128" s="21" t="s">
        <v>2330</v>
      </c>
      <c r="I128" s="22" t="s">
        <v>23</v>
      </c>
      <c r="J128" s="22" t="s">
        <v>960</v>
      </c>
      <c r="K128" s="22" t="s">
        <v>24</v>
      </c>
      <c r="L128" s="2" t="str">
        <f t="shared" si="1"/>
        <v>insert into CHB_DATACHECK_RULE (CHECKRULEID,DATATYPE,CHECKCLASS,CHECKMETHOD,SRCPROPERTY,COMPARETO,OBJVALUE,REMARK,STATUS,NULLABLE) values ('W23E4A49-6810-5A9E-E050-007F01006A64','CHB_ASSET_INFO','com.joyintech.tams.common.svreport.datacheck.service.BaseCheckLib','lessThanCharLength','ASSET_NAME','','201','名称不可为空且不能过长。','E','N');</v>
      </c>
    </row>
    <row r="129" spans="1:12" x14ac:dyDescent="0.15">
      <c r="A129" s="17">
        <v>126</v>
      </c>
      <c r="B129" s="21" t="s">
        <v>197</v>
      </c>
      <c r="C129" s="23" t="s">
        <v>1484</v>
      </c>
      <c r="D129" s="22" t="s">
        <v>21</v>
      </c>
      <c r="E129" s="22" t="s">
        <v>32</v>
      </c>
      <c r="F129" s="22" t="s">
        <v>965</v>
      </c>
      <c r="G129" s="22"/>
      <c r="H129" s="21" t="s">
        <v>36</v>
      </c>
      <c r="I129" s="22" t="s">
        <v>23</v>
      </c>
      <c r="J129" s="22" t="s">
        <v>966</v>
      </c>
      <c r="K129" s="22" t="s">
        <v>24</v>
      </c>
      <c r="L129" s="2" t="str">
        <f t="shared" si="1"/>
        <v>insert into CHB_DATACHECK_RULE (CHECKRULEID,DATATYPE,CHECKCLASS,CHECKMETHOD,SRCPROPERTY,COMPARETO,OBJVALUE,REMARK,STATUS,NULLABLE) values ('W23E4A49-6810-5A9E-E050-007F01006A65','CHB_ASSET_INFO','com.joyintech.tams.common.svreport.datacheck.service.BaseCheckLib','isNumber2','ASSET_VALUE','','15,2','资产价值不可为空且为(15,2)格式','E','N');</v>
      </c>
    </row>
    <row r="130" spans="1:12" x14ac:dyDescent="0.15">
      <c r="A130" s="9">
        <v>127</v>
      </c>
      <c r="B130" s="21" t="s">
        <v>198</v>
      </c>
      <c r="C130" s="23" t="s">
        <v>1484</v>
      </c>
      <c r="D130" s="22" t="s">
        <v>21</v>
      </c>
      <c r="E130" s="22" t="s">
        <v>34</v>
      </c>
      <c r="F130" s="22" t="s">
        <v>965</v>
      </c>
      <c r="G130" s="22" t="s">
        <v>35</v>
      </c>
      <c r="H130" s="21" t="s">
        <v>26</v>
      </c>
      <c r="I130" s="22" t="s">
        <v>27</v>
      </c>
      <c r="J130" s="22" t="s">
        <v>967</v>
      </c>
      <c r="K130" s="22" t="s">
        <v>24</v>
      </c>
      <c r="L130" s="2" t="str">
        <f t="shared" si="1"/>
        <v>insert into CHB_DATACHECK_RULE (CHECKRULEID,DATATYPE,CHECKCLASS,CHECKMETHOD,SRCPROPERTY,COMPARETO,OBJVALUE,REMARK,STATUS,NULLABLE) values ('W23E4A49-6810-5A9E-E050-007F01006A66','CHB_ASSET_INFO','com.joyintech.tams.common.svreport.datacheck.service.BaseCheckLib','compareValueAsNumber','ASSET_VALUE','&gt;=','0','资产价值必须大于等于0','E','Y');</v>
      </c>
    </row>
    <row r="131" spans="1:12" x14ac:dyDescent="0.15">
      <c r="A131" s="17">
        <v>128</v>
      </c>
      <c r="B131" s="21" t="s">
        <v>199</v>
      </c>
      <c r="C131" s="23" t="s">
        <v>1484</v>
      </c>
      <c r="D131" s="22" t="s">
        <v>21</v>
      </c>
      <c r="E131" s="22" t="s">
        <v>32</v>
      </c>
      <c r="F131" s="22" t="s">
        <v>772</v>
      </c>
      <c r="G131" s="22"/>
      <c r="H131" s="21" t="s">
        <v>33</v>
      </c>
      <c r="I131" s="22" t="s">
        <v>27</v>
      </c>
      <c r="J131" s="22" t="s">
        <v>968</v>
      </c>
      <c r="K131" s="22" t="s">
        <v>24</v>
      </c>
      <c r="L131" s="2" t="str">
        <f t="shared" si="1"/>
        <v>insert into CHB_DATACHECK_RULE (CHECKRULEID,DATATYPE,CHECKCLASS,CHECKMETHOD,SRCPROPERTY,COMPARETO,OBJVALUE,REMARK,STATUS,NULLABLE) values ('W23E4A49-6810-5A9E-E050-007F01006A67','CHB_ASSET_INFO','com.joyintech.tams.common.svreport.datacheck.service.BaseCheckLib','isNumber2','ASSET_YIELD','','8,5','资产收益率%以百分数形式表示时必须为n(8,5)格式。','E','Y');</v>
      </c>
    </row>
    <row r="132" spans="1:12" x14ac:dyDescent="0.15">
      <c r="A132" s="9">
        <v>129</v>
      </c>
      <c r="B132" s="21" t="s">
        <v>2283</v>
      </c>
      <c r="C132" s="23" t="s">
        <v>1484</v>
      </c>
      <c r="D132" s="22" t="s">
        <v>21</v>
      </c>
      <c r="E132" s="22" t="s">
        <v>38</v>
      </c>
      <c r="F132" s="22" t="s">
        <v>769</v>
      </c>
      <c r="G132" s="22" t="s">
        <v>25</v>
      </c>
      <c r="H132" s="21" t="s">
        <v>767</v>
      </c>
      <c r="I132" s="22" t="s">
        <v>27</v>
      </c>
      <c r="J132" s="22" t="s">
        <v>770</v>
      </c>
      <c r="K132" s="22" t="s">
        <v>24</v>
      </c>
      <c r="L132" s="2" t="str">
        <f t="shared" si="1"/>
        <v>insert into CHB_DATACHECK_RULE (CHECKRULEID,DATATYPE,CHECKCLASS,CHECKMETHOD,SRCPROPERTY,COMPARETO,OBJVALUE,REMARK,STATUS,NULLABLE) values ('W23E4A49-6810-5A9E-E050-007F01006A68','CHB_ASSET_INFO','com.joyintech.tams.common.svreport.datacheck.service.BaseCheckLib','isValidDate','MDATE','==','yyyy-MM-dd','到期日要素必填且必须为日期格式（YYYY-MM-DD）。','E','Y');</v>
      </c>
    </row>
    <row r="133" spans="1:12" x14ac:dyDescent="0.15">
      <c r="A133" s="17">
        <v>130</v>
      </c>
      <c r="B133" s="21" t="s">
        <v>200</v>
      </c>
      <c r="C133" s="23" t="s">
        <v>1484</v>
      </c>
      <c r="D133" s="22" t="s">
        <v>21</v>
      </c>
      <c r="E133" s="22" t="s">
        <v>34</v>
      </c>
      <c r="F133" s="22" t="s">
        <v>969</v>
      </c>
      <c r="G133" s="22" t="s">
        <v>35</v>
      </c>
      <c r="H133" s="21" t="s">
        <v>26</v>
      </c>
      <c r="I133" s="22" t="s">
        <v>27</v>
      </c>
      <c r="J133" s="22" t="s">
        <v>971</v>
      </c>
      <c r="K133" s="22" t="s">
        <v>24</v>
      </c>
      <c r="L133" s="2" t="str">
        <f t="shared" ref="L133:L196" si="2">CONCATENATE("insert into CHB_DATACHECK_RULE (CHECKRULEID,DATATYPE,CHECKCLASS,CHECKMETHOD,SRCPROPERTY,COMPARETO,OBJVALUE,REMARK,STATUS,NULLABLE) values ('",B133,"','",C133,"','",D133,"','",E133,"','",F133,"','",G133,"','",H133,"','",J133,"','",K133,"','",I133,"');")</f>
        <v>insert into CHB_DATACHECK_RULE (CHECKRULEID,DATATYPE,CHECKCLASS,CHECKMETHOD,SRCPROPERTY,COMPARETO,OBJVALUE,REMARK,STATUS,NULLABLE) values ('W23E4A49-6810-5A9E-E050-007F01006A70','CHB_ASSET_INFO','com.joyintech.tams.common.svreport.datacheck.service.BaseCheckLib','compareValueAsNumber','TERM_DATE','&gt;=','0','期限（天）必须大于等于0。','E','Y');</v>
      </c>
    </row>
    <row r="134" spans="1:12" x14ac:dyDescent="0.15">
      <c r="A134" s="9">
        <v>131</v>
      </c>
      <c r="B134" s="21" t="s">
        <v>201</v>
      </c>
      <c r="C134" s="23" t="s">
        <v>1484</v>
      </c>
      <c r="D134" s="22" t="s">
        <v>21</v>
      </c>
      <c r="E134" s="22" t="s">
        <v>30</v>
      </c>
      <c r="F134" s="22" t="s">
        <v>803</v>
      </c>
      <c r="G134" s="22" t="s">
        <v>25</v>
      </c>
      <c r="H134" s="21" t="s">
        <v>58</v>
      </c>
      <c r="I134" s="22" t="s">
        <v>23</v>
      </c>
      <c r="J134" s="22" t="s">
        <v>804</v>
      </c>
      <c r="K134" s="22" t="s">
        <v>24</v>
      </c>
      <c r="L134" s="2" t="str">
        <f t="shared" si="2"/>
        <v>insert into CHB_DATACHECK_RULE (CHECKRULEID,DATATYPE,CHECKCLASS,CHECKMETHOD,SRCPROPERTY,COMPARETO,OBJVALUE,REMARK,STATUS,NULLABLE) values ('W23E4A49-6810-5A9E-E050-007F01006A71','CHB_ASSET_INFO','com.joyintech.tams.common.svreport.datacheck.service.BaseCheckLib','inDatadict','COUNTRY_AREA','==','SVR_COUNTRY_AREA','所属国家或地区必填或不在值域范围内。','E','N');</v>
      </c>
    </row>
    <row r="135" spans="1:12" x14ac:dyDescent="0.15">
      <c r="A135" s="17">
        <v>132</v>
      </c>
      <c r="B135" s="21" t="s">
        <v>202</v>
      </c>
      <c r="C135" s="23" t="s">
        <v>1484</v>
      </c>
      <c r="D135" s="22" t="s">
        <v>21</v>
      </c>
      <c r="E135" s="22" t="s">
        <v>62</v>
      </c>
      <c r="F135" s="22" t="s">
        <v>807</v>
      </c>
      <c r="G135" s="22"/>
      <c r="H135" s="21" t="s">
        <v>2330</v>
      </c>
      <c r="I135" s="22" t="s">
        <v>23</v>
      </c>
      <c r="J135" s="22" t="s">
        <v>960</v>
      </c>
      <c r="K135" s="22" t="s">
        <v>24</v>
      </c>
      <c r="L135" s="2" t="str">
        <f t="shared" si="2"/>
        <v>insert into CHB_DATACHECK_RULE (CHECKRULEID,DATATYPE,CHECKCLASS,CHECKMETHOD,SRCPROPERTY,COMPARETO,OBJVALUE,REMARK,STATUS,NULLABLE) values ('W23E4A49-6810-5A9E-E050-007F01006A72','CHB_ASSET_INFO','com.joyintech.tams.common.svreport.datacheck.service.BaseCheckLib','lessThanCharLength','ASSET_NAME','','201','名称不可为空且不能过长。','E','N');</v>
      </c>
    </row>
    <row r="136" spans="1:12" x14ac:dyDescent="0.15">
      <c r="A136" s="9">
        <v>133</v>
      </c>
      <c r="B136" s="21" t="s">
        <v>203</v>
      </c>
      <c r="C136" s="23" t="s">
        <v>1484</v>
      </c>
      <c r="D136" s="22" t="s">
        <v>21</v>
      </c>
      <c r="E136" s="22" t="s">
        <v>28</v>
      </c>
      <c r="F136" s="22" t="s">
        <v>969</v>
      </c>
      <c r="G136" s="22"/>
      <c r="H136" s="21" t="s">
        <v>29</v>
      </c>
      <c r="I136" s="22" t="s">
        <v>27</v>
      </c>
      <c r="J136" s="22" t="s">
        <v>970</v>
      </c>
      <c r="K136" s="22" t="s">
        <v>24</v>
      </c>
      <c r="L136" s="2" t="str">
        <f t="shared" si="2"/>
        <v>insert into CHB_DATACHECK_RULE (CHECKRULEID,DATATYPE,CHECKCLASS,CHECKMETHOD,SRCPROPERTY,COMPARETO,OBJVALUE,REMARK,STATUS,NULLABLE) values ('W23E4A49-6810-5A9E-E050-007F01006A73','CHB_ASSET_INFO','com.joyintech.tams.common.svreport.datacheck.service.BaseCheckLib','isNumber','TERM_DATE','','5,0','期限（天）必须为n..5格式。','E','Y');</v>
      </c>
    </row>
    <row r="137" spans="1:12" x14ac:dyDescent="0.15">
      <c r="A137" s="17">
        <v>134</v>
      </c>
      <c r="B137" s="21" t="s">
        <v>204</v>
      </c>
      <c r="C137" s="23" t="s">
        <v>1484</v>
      </c>
      <c r="D137" s="22" t="s">
        <v>21</v>
      </c>
      <c r="E137" s="22" t="s">
        <v>34</v>
      </c>
      <c r="F137" s="22" t="s">
        <v>969</v>
      </c>
      <c r="G137" s="22" t="s">
        <v>35</v>
      </c>
      <c r="H137" s="21" t="s">
        <v>26</v>
      </c>
      <c r="I137" s="22" t="s">
        <v>27</v>
      </c>
      <c r="J137" s="22" t="s">
        <v>971</v>
      </c>
      <c r="K137" s="22" t="s">
        <v>24</v>
      </c>
      <c r="L137" s="2" t="str">
        <f t="shared" si="2"/>
        <v>insert into CHB_DATACHECK_RULE (CHECKRULEID,DATATYPE,CHECKCLASS,CHECKMETHOD,SRCPROPERTY,COMPARETO,OBJVALUE,REMARK,STATUS,NULLABLE) values ('W23E4A49-6810-5A9E-E050-007F01006A74','CHB_ASSET_INFO','com.joyintech.tams.common.svreport.datacheck.service.BaseCheckLib','compareValueAsNumber','TERM_DATE','&gt;=','0','期限（天）必须大于等于0。','E','Y');</v>
      </c>
    </row>
    <row r="138" spans="1:12" x14ac:dyDescent="0.15">
      <c r="A138" s="9">
        <v>135</v>
      </c>
      <c r="B138" s="21" t="s">
        <v>205</v>
      </c>
      <c r="C138" s="23" t="s">
        <v>1484</v>
      </c>
      <c r="D138" s="22" t="s">
        <v>21</v>
      </c>
      <c r="E138" s="22" t="s">
        <v>32</v>
      </c>
      <c r="F138" s="22" t="s">
        <v>972</v>
      </c>
      <c r="G138" s="22"/>
      <c r="H138" s="21" t="s">
        <v>36</v>
      </c>
      <c r="I138" s="22" t="s">
        <v>23</v>
      </c>
      <c r="J138" s="22" t="s">
        <v>973</v>
      </c>
      <c r="K138" s="22" t="s">
        <v>24</v>
      </c>
      <c r="L138" s="2" t="str">
        <f t="shared" si="2"/>
        <v>insert into CHB_DATACHECK_RULE (CHECKRULEID,DATATYPE,CHECKCLASS,CHECKMETHOD,SRCPROPERTY,COMPARETO,OBJVALUE,REMARK,STATUS,NULLABLE) values ('W23E4A49-6810-5A9E-E050-007F01006A75','CHB_ASSET_INFO','com.joyintech.tams.common.svreport.datacheck.service.BaseCheckLib','isNumber2','DEBT_SCALE','','15,2','负债规模不可为空且为(15,2)格式。','E','N');</v>
      </c>
    </row>
    <row r="139" spans="1:12" x14ac:dyDescent="0.15">
      <c r="A139" s="17">
        <v>136</v>
      </c>
      <c r="B139" s="21" t="s">
        <v>206</v>
      </c>
      <c r="C139" s="23" t="s">
        <v>1484</v>
      </c>
      <c r="D139" s="22" t="s">
        <v>21</v>
      </c>
      <c r="E139" s="22" t="s">
        <v>34</v>
      </c>
      <c r="F139" s="22" t="s">
        <v>972</v>
      </c>
      <c r="G139" s="22" t="s">
        <v>35</v>
      </c>
      <c r="H139" s="21" t="s">
        <v>26</v>
      </c>
      <c r="I139" s="22" t="s">
        <v>27</v>
      </c>
      <c r="J139" s="22" t="s">
        <v>974</v>
      </c>
      <c r="K139" s="22" t="s">
        <v>24</v>
      </c>
      <c r="L139" s="2" t="str">
        <f t="shared" si="2"/>
        <v>insert into CHB_DATACHECK_RULE (CHECKRULEID,DATATYPE,CHECKCLASS,CHECKMETHOD,SRCPROPERTY,COMPARETO,OBJVALUE,REMARK,STATUS,NULLABLE) values ('W23E4A49-6810-5A9E-E050-007F01006A76','CHB_ASSET_INFO','com.joyintech.tams.common.svreport.datacheck.service.BaseCheckLib','compareValueAsNumber','DEBT_SCALE','&gt;=','0','负债规模必须大于等于0。','E','Y');</v>
      </c>
    </row>
    <row r="140" spans="1:12" x14ac:dyDescent="0.15">
      <c r="A140" s="9">
        <v>137</v>
      </c>
      <c r="B140" s="21" t="s">
        <v>207</v>
      </c>
      <c r="C140" s="23" t="s">
        <v>1484</v>
      </c>
      <c r="D140" s="22" t="s">
        <v>21</v>
      </c>
      <c r="E140" s="22" t="s">
        <v>32</v>
      </c>
      <c r="F140" s="22" t="s">
        <v>772</v>
      </c>
      <c r="G140" s="22"/>
      <c r="H140" s="21" t="s">
        <v>33</v>
      </c>
      <c r="I140" s="22" t="s">
        <v>27</v>
      </c>
      <c r="J140" s="22" t="s">
        <v>975</v>
      </c>
      <c r="K140" s="22" t="s">
        <v>24</v>
      </c>
      <c r="L140" s="2" t="str">
        <f t="shared" si="2"/>
        <v>insert into CHB_DATACHECK_RULE (CHECKRULEID,DATATYPE,CHECKCLASS,CHECKMETHOD,SRCPROPERTY,COMPARETO,OBJVALUE,REMARK,STATUS,NULLABLE) values ('W23E4A49-6810-5A9E-E050-007F01006A77','CHB_ASSET_INFO','com.joyintech.tams.common.svreport.datacheck.service.BaseCheckLib','isNumber2','ASSET_YIELD','','8,5','利率%以百分数形式表示时必须为n(8,5)格式。','E','Y');</v>
      </c>
    </row>
    <row r="141" spans="1:12" x14ac:dyDescent="0.15">
      <c r="A141" s="17">
        <v>138</v>
      </c>
      <c r="B141" s="21" t="s">
        <v>208</v>
      </c>
      <c r="C141" s="23" t="s">
        <v>1484</v>
      </c>
      <c r="D141" s="22" t="s">
        <v>21</v>
      </c>
      <c r="E141" s="22" t="s">
        <v>34</v>
      </c>
      <c r="F141" s="22" t="s">
        <v>772</v>
      </c>
      <c r="G141" s="22" t="s">
        <v>35</v>
      </c>
      <c r="H141" s="21" t="s">
        <v>26</v>
      </c>
      <c r="I141" s="22" t="s">
        <v>27</v>
      </c>
      <c r="J141" s="22" t="s">
        <v>976</v>
      </c>
      <c r="K141" s="22" t="s">
        <v>24</v>
      </c>
      <c r="L141" s="2" t="str">
        <f t="shared" si="2"/>
        <v>insert into CHB_DATACHECK_RULE (CHECKRULEID,DATATYPE,CHECKCLASS,CHECKMETHOD,SRCPROPERTY,COMPARETO,OBJVALUE,REMARK,STATUS,NULLABLE) values ('W23E4A49-6810-5A9E-E050-007F01006A78','CHB_ASSET_INFO','com.joyintech.tams.common.svreport.datacheck.service.BaseCheckLib','compareValueAsNumber','ASSET_YIELD','&gt;=','0','利率%必须大于等于0。','E','Y');</v>
      </c>
    </row>
    <row r="142" spans="1:12" x14ac:dyDescent="0.15">
      <c r="A142" s="9">
        <v>139</v>
      </c>
      <c r="B142" s="21" t="s">
        <v>209</v>
      </c>
      <c r="C142" s="23" t="s">
        <v>1484</v>
      </c>
      <c r="D142" s="22" t="s">
        <v>21</v>
      </c>
      <c r="E142" s="22" t="s">
        <v>22</v>
      </c>
      <c r="F142" s="22" t="s">
        <v>805</v>
      </c>
      <c r="G142" s="22"/>
      <c r="H142" s="21"/>
      <c r="I142" s="22" t="s">
        <v>23</v>
      </c>
      <c r="J142" s="22" t="s">
        <v>977</v>
      </c>
      <c r="K142" s="22" t="s">
        <v>24</v>
      </c>
      <c r="L142" s="2" t="str">
        <f t="shared" si="2"/>
        <v>insert into CHB_DATACHECK_RULE (CHECKRULEID,DATATYPE,CHECKCLASS,CHECKMETHOD,SRCPROPERTY,COMPARETO,OBJVALUE,REMARK,STATUS,NULLABLE) values ('W23E4A49-6810-5A9E-E050-007F01006A80','CHB_ASSET_INFO','com.joyintech.tams.common.svreport.datacheck.service.BaseCheckLib','isNotEmpty','ASSET_ID','','','基金代码要素不可为空','E','N');</v>
      </c>
    </row>
    <row r="143" spans="1:12" x14ac:dyDescent="0.15">
      <c r="A143" s="17">
        <v>140</v>
      </c>
      <c r="B143" s="21" t="s">
        <v>210</v>
      </c>
      <c r="C143" s="23" t="s">
        <v>1484</v>
      </c>
      <c r="D143" s="22" t="s">
        <v>21</v>
      </c>
      <c r="E143" s="22" t="s">
        <v>62</v>
      </c>
      <c r="F143" s="22" t="s">
        <v>807</v>
      </c>
      <c r="G143" s="22"/>
      <c r="H143" s="21" t="s">
        <v>2330</v>
      </c>
      <c r="I143" s="22" t="s">
        <v>23</v>
      </c>
      <c r="J143" s="22" t="s">
        <v>978</v>
      </c>
      <c r="K143" s="22" t="s">
        <v>24</v>
      </c>
      <c r="L143" s="2" t="str">
        <f t="shared" si="2"/>
        <v>insert into CHB_DATACHECK_RULE (CHECKRULEID,DATATYPE,CHECKCLASS,CHECKMETHOD,SRCPROPERTY,COMPARETO,OBJVALUE,REMARK,STATUS,NULLABLE) values ('W23E4A49-6810-5A9E-E050-007F01006A81','CHB_ASSET_INFO','com.joyintech.tams.common.svreport.datacheck.service.BaseCheckLib','lessThanCharLength','ASSET_NAME','','201','基金名称不可为空且不能过长。','E','N');</v>
      </c>
    </row>
    <row r="144" spans="1:12" x14ac:dyDescent="0.15">
      <c r="A144" s="9">
        <v>141</v>
      </c>
      <c r="B144" s="21" t="s">
        <v>211</v>
      </c>
      <c r="C144" s="23" t="s">
        <v>1484</v>
      </c>
      <c r="D144" s="22" t="s">
        <v>21</v>
      </c>
      <c r="E144" s="22" t="s">
        <v>30</v>
      </c>
      <c r="F144" s="22" t="s">
        <v>811</v>
      </c>
      <c r="G144" s="22" t="s">
        <v>25</v>
      </c>
      <c r="H144" s="21" t="s">
        <v>820</v>
      </c>
      <c r="I144" s="22" t="s">
        <v>27</v>
      </c>
      <c r="J144" s="22" t="s">
        <v>821</v>
      </c>
      <c r="K144" s="22" t="s">
        <v>24</v>
      </c>
      <c r="L144" s="2" t="str">
        <f t="shared" si="2"/>
        <v>insert into CHB_DATACHECK_RULE (CHECKRULEID,DATATYPE,CHECKCLASS,CHECKMETHOD,SRCPROPERTY,COMPARETO,OBJVALUE,REMARK,STATUS,NULLABLE) values ('W23E4A49-6810-5A9E-E050-007F01006A82','CHB_ASSET_INFO','com.joyintech.tams.common.svreport.datacheck.service.BaseCheckLib','inDatadict','INDUSTRY_SHARES2','==','INSTITUTION_INDUSTRY_SECOND_LEVEL','行业不在值域范围内。','E','Y');</v>
      </c>
    </row>
    <row r="145" spans="1:12" x14ac:dyDescent="0.15">
      <c r="A145" s="17">
        <v>142</v>
      </c>
      <c r="B145" s="21" t="s">
        <v>212</v>
      </c>
      <c r="C145" s="23" t="s">
        <v>1484</v>
      </c>
      <c r="D145" s="22" t="s">
        <v>21</v>
      </c>
      <c r="E145" s="22" t="s">
        <v>22</v>
      </c>
      <c r="F145" s="22" t="s">
        <v>979</v>
      </c>
      <c r="G145" s="22"/>
      <c r="H145" s="21"/>
      <c r="I145" s="22" t="s">
        <v>23</v>
      </c>
      <c r="J145" s="22" t="s">
        <v>980</v>
      </c>
      <c r="K145" s="22" t="s">
        <v>24</v>
      </c>
      <c r="L145" s="2" t="str">
        <f t="shared" si="2"/>
        <v>insert into CHB_DATACHECK_RULE (CHECKRULEID,DATATYPE,CHECKCLASS,CHECKMETHOD,SRCPROPERTY,COMPARETO,OBJVALUE,REMARK,STATUS,NULLABLE) values ('W23E4A49-6810-5A9E-E050-007F01006A83','CHB_ASSET_INFO','com.joyintech.tams.common.svreport.datacheck.service.BaseCheckLib','isNotEmpty','REGIST_ORG1','','','登记备案机构要素不可为空。','E','N');</v>
      </c>
    </row>
    <row r="146" spans="1:12" x14ac:dyDescent="0.15">
      <c r="A146" s="9">
        <v>143</v>
      </c>
      <c r="B146" s="21" t="s">
        <v>213</v>
      </c>
      <c r="C146" s="23" t="s">
        <v>1484</v>
      </c>
      <c r="D146" s="22" t="s">
        <v>21</v>
      </c>
      <c r="E146" s="22" t="s">
        <v>22</v>
      </c>
      <c r="F146" s="22" t="s">
        <v>981</v>
      </c>
      <c r="G146" s="22"/>
      <c r="H146" s="21"/>
      <c r="I146" s="22" t="s">
        <v>23</v>
      </c>
      <c r="J146" s="22" t="s">
        <v>982</v>
      </c>
      <c r="K146" s="22" t="s">
        <v>24</v>
      </c>
      <c r="L146" s="2" t="str">
        <f t="shared" si="2"/>
        <v>insert into CHB_DATACHECK_RULE (CHECKRULEID,DATATYPE,CHECKCLASS,CHECKMETHOD,SRCPROPERTY,COMPARETO,OBJVALUE,REMARK,STATUS,NULLABLE) values ('W23E4A49-6810-5A9E-E050-007F01006A84','CHB_ASSET_INFO','com.joyintech.tams.common.svreport.datacheck.service.BaseCheckLib','isNotEmpty','IS_GOVERN_FUND','','','是否属于政府投资基金要素必填。','E','N');</v>
      </c>
    </row>
    <row r="147" spans="1:12" x14ac:dyDescent="0.15">
      <c r="A147" s="17">
        <v>144</v>
      </c>
      <c r="B147" s="21" t="s">
        <v>214</v>
      </c>
      <c r="C147" s="23" t="s">
        <v>1484</v>
      </c>
      <c r="D147" s="22" t="s">
        <v>21</v>
      </c>
      <c r="E147" s="22" t="s">
        <v>22</v>
      </c>
      <c r="F147" s="22" t="s">
        <v>981</v>
      </c>
      <c r="G147" s="22"/>
      <c r="H147" s="21"/>
      <c r="I147" s="22" t="s">
        <v>23</v>
      </c>
      <c r="J147" s="22" t="s">
        <v>982</v>
      </c>
      <c r="K147" s="22" t="s">
        <v>24</v>
      </c>
      <c r="L147" s="2" t="str">
        <f t="shared" si="2"/>
        <v>insert into CHB_DATACHECK_RULE (CHECKRULEID,DATATYPE,CHECKCLASS,CHECKMETHOD,SRCPROPERTY,COMPARETO,OBJVALUE,REMARK,STATUS,NULLABLE) values ('W23E4A49-6810-5A9E-E050-007F01006A86','CHB_ASSET_INFO','com.joyintech.tams.common.svreport.datacheck.service.BaseCheckLib','isNotEmpty','IS_GOVERN_FUND','','','是否属于政府投资基金要素必填。','E','N');</v>
      </c>
    </row>
    <row r="148" spans="1:12" x14ac:dyDescent="0.15">
      <c r="A148" s="9">
        <v>145</v>
      </c>
      <c r="B148" s="21" t="s">
        <v>215</v>
      </c>
      <c r="C148" s="23" t="s">
        <v>1484</v>
      </c>
      <c r="D148" s="22" t="s">
        <v>21</v>
      </c>
      <c r="E148" s="22" t="s">
        <v>22</v>
      </c>
      <c r="F148" s="22" t="s">
        <v>981</v>
      </c>
      <c r="G148" s="22"/>
      <c r="H148" s="21"/>
      <c r="I148" s="22" t="s">
        <v>23</v>
      </c>
      <c r="J148" s="22" t="s">
        <v>982</v>
      </c>
      <c r="K148" s="22" t="s">
        <v>24</v>
      </c>
      <c r="L148" s="2" t="str">
        <f t="shared" si="2"/>
        <v>insert into CHB_DATACHECK_RULE (CHECKRULEID,DATATYPE,CHECKCLASS,CHECKMETHOD,SRCPROPERTY,COMPARETO,OBJVALUE,REMARK,STATUS,NULLABLE) values ('W23E4A49-6810-5A9E-E050-007F01006A87','CHB_ASSET_INFO','com.joyintech.tams.common.svreport.datacheck.service.BaseCheckLib','isNotEmpty','IS_GOVERN_FUND','','','是否属于政府投资基金要素必填。','E','N');</v>
      </c>
    </row>
    <row r="149" spans="1:12" x14ac:dyDescent="0.15">
      <c r="A149" s="17">
        <v>146</v>
      </c>
      <c r="B149" s="21" t="s">
        <v>216</v>
      </c>
      <c r="C149" s="23" t="s">
        <v>1484</v>
      </c>
      <c r="D149" s="22" t="s">
        <v>21</v>
      </c>
      <c r="E149" s="22" t="s">
        <v>22</v>
      </c>
      <c r="F149" s="22" t="s">
        <v>981</v>
      </c>
      <c r="G149" s="22"/>
      <c r="H149" s="21"/>
      <c r="I149" s="22" t="s">
        <v>23</v>
      </c>
      <c r="J149" s="22" t="s">
        <v>982</v>
      </c>
      <c r="K149" s="22" t="s">
        <v>24</v>
      </c>
      <c r="L149" s="2" t="str">
        <f t="shared" si="2"/>
        <v>insert into CHB_DATACHECK_RULE (CHECKRULEID,DATATYPE,CHECKCLASS,CHECKMETHOD,SRCPROPERTY,COMPARETO,OBJVALUE,REMARK,STATUS,NULLABLE) values ('W23E4A49-6810-5A9E-E050-007F01006A88','CHB_ASSET_INFO','com.joyintech.tams.common.svreport.datacheck.service.BaseCheckLib','isNotEmpty','IS_GOVERN_FUND','','','是否属于政府投资基金要素必填。','E','N');</v>
      </c>
    </row>
    <row r="150" spans="1:12" x14ac:dyDescent="0.15">
      <c r="A150" s="9">
        <v>147</v>
      </c>
      <c r="B150" s="21" t="s">
        <v>217</v>
      </c>
      <c r="C150" s="23" t="s">
        <v>1484</v>
      </c>
      <c r="D150" s="22" t="s">
        <v>21</v>
      </c>
      <c r="E150" s="22" t="s">
        <v>22</v>
      </c>
      <c r="F150" s="22" t="s">
        <v>981</v>
      </c>
      <c r="G150" s="22"/>
      <c r="H150" s="21"/>
      <c r="I150" s="22" t="s">
        <v>23</v>
      </c>
      <c r="J150" s="22" t="s">
        <v>982</v>
      </c>
      <c r="K150" s="22" t="s">
        <v>24</v>
      </c>
      <c r="L150" s="2" t="str">
        <f t="shared" si="2"/>
        <v>insert into CHB_DATACHECK_RULE (CHECKRULEID,DATATYPE,CHECKCLASS,CHECKMETHOD,SRCPROPERTY,COMPARETO,OBJVALUE,REMARK,STATUS,NULLABLE) values ('W23E4A49-6810-5A9E-E050-007F01006A89','CHB_ASSET_INFO','com.joyintech.tams.common.svreport.datacheck.service.BaseCheckLib','isNotEmpty','IS_GOVERN_FUND','','','是否属于政府投资基金要素必填。','E','N');</v>
      </c>
    </row>
    <row r="151" spans="1:12" x14ac:dyDescent="0.15">
      <c r="A151" s="17">
        <v>148</v>
      </c>
      <c r="B151" s="21" t="s">
        <v>218</v>
      </c>
      <c r="C151" s="23" t="s">
        <v>1484</v>
      </c>
      <c r="D151" s="22" t="s">
        <v>21</v>
      </c>
      <c r="E151" s="22" t="s">
        <v>62</v>
      </c>
      <c r="F151" s="22" t="s">
        <v>805</v>
      </c>
      <c r="G151" s="22"/>
      <c r="H151" s="21" t="s">
        <v>2337</v>
      </c>
      <c r="I151" s="22" t="s">
        <v>23</v>
      </c>
      <c r="J151" s="22" t="s">
        <v>983</v>
      </c>
      <c r="K151" s="22" t="s">
        <v>24</v>
      </c>
      <c r="L151" s="2" t="str">
        <f t="shared" si="2"/>
        <v>insert into CHB_DATACHECK_RULE (CHECKRULEID,DATATYPE,CHECKCLASS,CHECKMETHOD,SRCPROPERTY,COMPARETO,OBJVALUE,REMARK,STATUS,NULLABLE) values ('W23E4A49-6810-5A9E-E050-007F01006A8S','CHB_ASSET_INFO','com.joyintech.tams.common.svreport.datacheck.service.BaseCheckLib','lessThanCharLength','ASSET_ID','','41','委外投资协议编号要素不可为空且不能过长。','E','N');</v>
      </c>
    </row>
    <row r="152" spans="1:12" x14ac:dyDescent="0.15">
      <c r="A152" s="9">
        <v>149</v>
      </c>
      <c r="B152" s="21" t="s">
        <v>219</v>
      </c>
      <c r="C152" s="23" t="s">
        <v>1484</v>
      </c>
      <c r="D152" s="22" t="s">
        <v>21</v>
      </c>
      <c r="E152" s="22" t="s">
        <v>22</v>
      </c>
      <c r="F152" s="22" t="s">
        <v>981</v>
      </c>
      <c r="G152" s="22"/>
      <c r="H152" s="21"/>
      <c r="I152" s="22" t="s">
        <v>23</v>
      </c>
      <c r="J152" s="22" t="s">
        <v>982</v>
      </c>
      <c r="K152" s="22" t="s">
        <v>24</v>
      </c>
      <c r="L152" s="2" t="str">
        <f t="shared" si="2"/>
        <v>insert into CHB_DATACHECK_RULE (CHECKRULEID,DATATYPE,CHECKCLASS,CHECKMETHOD,SRCPROPERTY,COMPARETO,OBJVALUE,REMARK,STATUS,NULLABLE) values ('W23E4A49-6810-5A9E-E050-007F01006A90','CHB_ASSET_INFO','com.joyintech.tams.common.svreport.datacheck.service.BaseCheckLib','isNotEmpty','IS_GOVERN_FUND','','','是否属于政府投资基金要素必填。','E','N');</v>
      </c>
    </row>
    <row r="153" spans="1:12" x14ac:dyDescent="0.15">
      <c r="A153" s="17">
        <v>150</v>
      </c>
      <c r="B153" s="21" t="s">
        <v>220</v>
      </c>
      <c r="C153" s="23" t="s">
        <v>1484</v>
      </c>
      <c r="D153" s="22" t="s">
        <v>21</v>
      </c>
      <c r="E153" s="22" t="s">
        <v>22</v>
      </c>
      <c r="F153" s="22" t="s">
        <v>984</v>
      </c>
      <c r="G153" s="22"/>
      <c r="H153" s="21"/>
      <c r="I153" s="22" t="s">
        <v>23</v>
      </c>
      <c r="J153" s="22" t="s">
        <v>985</v>
      </c>
      <c r="K153" s="22" t="s">
        <v>24</v>
      </c>
      <c r="L153" s="2" t="str">
        <f t="shared" si="2"/>
        <v>insert into CHB_DATACHECK_RULE (CHECKRULEID,DATATYPE,CHECKCLASS,CHECKMETHOD,SRCPROPERTY,COMPARETO,OBJVALUE,REMARK,STATUS,NULLABLE) values ('W23E4A49-6810-5A9E-E050-007F01006A92','CHB_ASSET_INFO','com.joyintech.tams.common.svreport.datacheck.service.BaseCheckLib','isNotEmpty','GOVERN_INVEST_FUND','','','政府投资基金投向要素不可为空。','E','N');</v>
      </c>
    </row>
    <row r="154" spans="1:12" x14ac:dyDescent="0.15">
      <c r="A154" s="9">
        <v>151</v>
      </c>
      <c r="B154" s="21" t="s">
        <v>221</v>
      </c>
      <c r="C154" s="23" t="s">
        <v>1484</v>
      </c>
      <c r="D154" s="22" t="s">
        <v>21</v>
      </c>
      <c r="E154" s="22" t="s">
        <v>62</v>
      </c>
      <c r="F154" s="22" t="s">
        <v>882</v>
      </c>
      <c r="G154" s="22"/>
      <c r="H154" s="21" t="s">
        <v>2330</v>
      </c>
      <c r="I154" s="22" t="s">
        <v>27</v>
      </c>
      <c r="J154" s="22" t="s">
        <v>2338</v>
      </c>
      <c r="K154" s="22" t="s">
        <v>24</v>
      </c>
      <c r="L154" s="2" t="str">
        <f t="shared" si="2"/>
        <v>insert into CHB_DATACHECK_RULE (CHECKRULEID,DATATYPE,CHECKCLASS,CHECKMETHOD,SRCPROPERTY,COMPARETO,OBJVALUE,REMARK,STATUS,NULLABLE) values ('W23E4A49-6810-5A9E-E050-007F01006A93','CHB_ASSET_INFO','com.joyintech.tams.common.svreport.datacheck.service.BaseCheckLib','lessThanCharLength','FUND_ENPE_NAME','','201','基金公司名称过长。','E','Y');</v>
      </c>
    </row>
    <row r="155" spans="1:12" x14ac:dyDescent="0.15">
      <c r="A155" s="17">
        <v>152</v>
      </c>
      <c r="B155" s="21" t="s">
        <v>222</v>
      </c>
      <c r="C155" s="23" t="s">
        <v>1484</v>
      </c>
      <c r="D155" s="22" t="s">
        <v>21</v>
      </c>
      <c r="E155" s="22" t="s">
        <v>62</v>
      </c>
      <c r="F155" s="22" t="s">
        <v>884</v>
      </c>
      <c r="G155" s="22"/>
      <c r="H155" s="21" t="s">
        <v>2330</v>
      </c>
      <c r="I155" s="22" t="s">
        <v>23</v>
      </c>
      <c r="J155" s="22" t="s">
        <v>986</v>
      </c>
      <c r="K155" s="22" t="s">
        <v>24</v>
      </c>
      <c r="L155" s="2" t="str">
        <f t="shared" si="2"/>
        <v>insert into CHB_DATACHECK_RULE (CHECKRULEID,DATATYPE,CHECKCLASS,CHECKMETHOD,SRCPROPERTY,COMPARETO,OBJVALUE,REMARK,STATUS,NULLABLE) values ('W23E4A49-6810-5A9E-E050-007F01006A94','CHB_ASSET_INFO','com.joyintech.tams.common.svreport.datacheck.service.BaseCheckLib','lessThanCharLength','MNG_ORG_NAME','','201','基金管理机构名称不可为空且不能过长。','E','N');</v>
      </c>
    </row>
    <row r="156" spans="1:12" x14ac:dyDescent="0.15">
      <c r="A156" s="9">
        <v>153</v>
      </c>
      <c r="B156" s="21" t="s">
        <v>223</v>
      </c>
      <c r="C156" s="23" t="s">
        <v>1484</v>
      </c>
      <c r="D156" s="22" t="s">
        <v>21</v>
      </c>
      <c r="E156" s="22" t="s">
        <v>62</v>
      </c>
      <c r="F156" s="22" t="s">
        <v>886</v>
      </c>
      <c r="G156" s="22"/>
      <c r="H156" s="21" t="s">
        <v>2330</v>
      </c>
      <c r="I156" s="22" t="s">
        <v>23</v>
      </c>
      <c r="J156" s="22" t="s">
        <v>987</v>
      </c>
      <c r="K156" s="22" t="s">
        <v>24</v>
      </c>
      <c r="L156" s="2" t="str">
        <f t="shared" si="2"/>
        <v>insert into CHB_DATACHECK_RULE (CHECKRULEID,DATATYPE,CHECKCLASS,CHECKMETHOD,SRCPROPERTY,COMPARETO,OBJVALUE,REMARK,STATUS,NULLABLE) values ('W23E4A49-6810-5A9E-E050-007F01006A95','CHB_ASSET_INFO','com.joyintech.tams.common.svreport.datacheck.service.BaseCheckLib','lessThanCharLength','TRU_ORG_NAME','','201','基金托管机构名称不可为空且不能过长。','E','N');</v>
      </c>
    </row>
    <row r="157" spans="1:12" x14ac:dyDescent="0.15">
      <c r="A157" s="17">
        <v>154</v>
      </c>
      <c r="B157" s="21" t="s">
        <v>224</v>
      </c>
      <c r="C157" s="23" t="s">
        <v>1484</v>
      </c>
      <c r="D157" s="22" t="s">
        <v>21</v>
      </c>
      <c r="E157" s="22" t="s">
        <v>22</v>
      </c>
      <c r="F157" s="22" t="s">
        <v>891</v>
      </c>
      <c r="G157" s="22"/>
      <c r="H157" s="21"/>
      <c r="I157" s="22" t="s">
        <v>23</v>
      </c>
      <c r="J157" s="22" t="s">
        <v>988</v>
      </c>
      <c r="K157" s="22" t="s">
        <v>24</v>
      </c>
      <c r="L157" s="2" t="str">
        <f t="shared" si="2"/>
        <v>insert into CHB_DATACHECK_RULE (CHECKRULEID,DATATYPE,CHECKCLASS,CHECKMETHOD,SRCPROPERTY,COMPARETO,OBJVALUE,REMARK,STATUS,NULLABLE) values ('W23E4A49-6810-5A9E-E050-007F01006A96','CHB_ASSET_INFO','com.joyintech.tams.common.svreport.datacheck.service.BaseCheckLib','isNotEmpty','FUND_INVEST_ASSET','','','基金投资资产要素不可为空','E','N');</v>
      </c>
    </row>
    <row r="158" spans="1:12" x14ac:dyDescent="0.15">
      <c r="A158" s="9">
        <v>155</v>
      </c>
      <c r="B158" s="21" t="s">
        <v>152</v>
      </c>
      <c r="C158" s="23" t="s">
        <v>1484</v>
      </c>
      <c r="D158" s="22" t="s">
        <v>21</v>
      </c>
      <c r="E158" s="22" t="s">
        <v>30</v>
      </c>
      <c r="F158" s="22" t="s">
        <v>892</v>
      </c>
      <c r="G158" s="22" t="s">
        <v>25</v>
      </c>
      <c r="H158" s="21" t="s">
        <v>893</v>
      </c>
      <c r="I158" s="22" t="s">
        <v>27</v>
      </c>
      <c r="J158" s="22" t="s">
        <v>894</v>
      </c>
      <c r="K158" s="22" t="s">
        <v>24</v>
      </c>
      <c r="L158" s="2" t="str">
        <f t="shared" si="2"/>
        <v>insert into CHB_DATACHECK_RULE (CHECKRULEID,DATATYPE,CHECKCLASS,CHECKMETHOD,SRCPROPERTY,COMPARETO,OBJVALUE,REMARK,STATUS,NULLABLE) values ('W23E4A49-6810-5A9E-E050-007F01006A97','CHB_ASSET_INFO','com.joyintech.tams.common.svreport.datacheck.service.BaseCheckLib','inDatadict','INVEST_STAGE','==','SVR_INVEST_STAGE','投资阶段要素必须在值域范围内。','E','Y');</v>
      </c>
    </row>
    <row r="159" spans="1:12" x14ac:dyDescent="0.15">
      <c r="A159" s="17">
        <v>156</v>
      </c>
      <c r="B159" s="21" t="s">
        <v>225</v>
      </c>
      <c r="C159" s="23" t="s">
        <v>1484</v>
      </c>
      <c r="D159" s="22" t="s">
        <v>21</v>
      </c>
      <c r="E159" s="22" t="s">
        <v>22</v>
      </c>
      <c r="F159" s="22" t="s">
        <v>892</v>
      </c>
      <c r="G159" s="22"/>
      <c r="H159" s="21"/>
      <c r="I159" s="22" t="s">
        <v>23</v>
      </c>
      <c r="J159" s="22" t="s">
        <v>989</v>
      </c>
      <c r="K159" s="22" t="s">
        <v>24</v>
      </c>
      <c r="L159" s="2" t="str">
        <f t="shared" si="2"/>
        <v>insert into CHB_DATACHECK_RULE (CHECKRULEID,DATATYPE,CHECKCLASS,CHECKMETHOD,SRCPROPERTY,COMPARETO,OBJVALUE,REMARK,STATUS,NULLABLE) values ('W23E4A49-6810-5A9E-E050-007F01006A98','CHB_ASSET_INFO','com.joyintech.tams.common.svreport.datacheck.service.BaseCheckLib','isNotEmpty','INVEST_STAGE','','','投资阶段要素必填。','E','N');</v>
      </c>
    </row>
    <row r="160" spans="1:12" x14ac:dyDescent="0.15">
      <c r="A160" s="9">
        <v>157</v>
      </c>
      <c r="B160" s="21" t="s">
        <v>226</v>
      </c>
      <c r="C160" s="23" t="s">
        <v>1484</v>
      </c>
      <c r="D160" s="22" t="s">
        <v>21</v>
      </c>
      <c r="E160" s="22" t="s">
        <v>22</v>
      </c>
      <c r="F160" s="22" t="s">
        <v>892</v>
      </c>
      <c r="G160" s="22"/>
      <c r="H160" s="21"/>
      <c r="I160" s="22" t="s">
        <v>23</v>
      </c>
      <c r="J160" s="22" t="s">
        <v>989</v>
      </c>
      <c r="K160" s="22" t="s">
        <v>24</v>
      </c>
      <c r="L160" s="2" t="str">
        <f t="shared" si="2"/>
        <v>insert into CHB_DATACHECK_RULE (CHECKRULEID,DATATYPE,CHECKCLASS,CHECKMETHOD,SRCPROPERTY,COMPARETO,OBJVALUE,REMARK,STATUS,NULLABLE) values ('W23E4A49-6810-5A9E-E050-007F01006A99','CHB_ASSET_INFO','com.joyintech.tams.common.svreport.datacheck.service.BaseCheckLib','isNotEmpty','INVEST_STAGE','','','投资阶段要素必填。','E','N');</v>
      </c>
    </row>
    <row r="161" spans="1:12" x14ac:dyDescent="0.15">
      <c r="A161" s="17">
        <v>158</v>
      </c>
      <c r="B161" s="21" t="s">
        <v>227</v>
      </c>
      <c r="C161" s="23" t="s">
        <v>1484</v>
      </c>
      <c r="D161" s="22" t="s">
        <v>21</v>
      </c>
      <c r="E161" s="22" t="s">
        <v>22</v>
      </c>
      <c r="F161" s="22" t="s">
        <v>45</v>
      </c>
      <c r="G161" s="22"/>
      <c r="H161" s="21"/>
      <c r="I161" s="22" t="s">
        <v>23</v>
      </c>
      <c r="J161" s="22" t="s">
        <v>60</v>
      </c>
      <c r="K161" s="22" t="s">
        <v>24</v>
      </c>
      <c r="L161" s="2" t="str">
        <f t="shared" si="2"/>
        <v>insert into CHB_DATACHECK_RULE (CHECKRULEID,DATATYPE,CHECKCLASS,CHECKMETHOD,SRCPROPERTY,COMPARETO,OBJVALUE,REMARK,STATUS,NULLABLE) values ('W23E4A49-6810-5A9E-E050-007F01016A88','CHB_ASSET_INFO','com.joyintech.tams.common.svreport.datacheck.service.BaseCheckLib','isNotEmpty','ISSUE_PARTY_ID','','','发行机构代码要素不可为空。','E','N');</v>
      </c>
    </row>
    <row r="162" spans="1:12" x14ac:dyDescent="0.15">
      <c r="A162" s="9">
        <v>159</v>
      </c>
      <c r="B162" s="21" t="s">
        <v>228</v>
      </c>
      <c r="C162" s="23" t="s">
        <v>1484</v>
      </c>
      <c r="D162" s="22" t="s">
        <v>21</v>
      </c>
      <c r="E162" s="22" t="s">
        <v>62</v>
      </c>
      <c r="F162" s="22" t="s">
        <v>809</v>
      </c>
      <c r="G162" s="22"/>
      <c r="H162" s="21" t="s">
        <v>2330</v>
      </c>
      <c r="I162" s="22" t="s">
        <v>27</v>
      </c>
      <c r="J162" s="22" t="s">
        <v>819</v>
      </c>
      <c r="K162" s="22" t="s">
        <v>24</v>
      </c>
      <c r="L162" s="2" t="str">
        <f t="shared" si="2"/>
        <v>insert into CHB_DATACHECK_RULE (CHECKRULEID,DATATYPE,CHECKCLASS,CHECKMETHOD,SRCPROPERTY,COMPARETO,OBJVALUE,REMARK,STATUS,NULLABLE) values ('W23E4A49-6810-5A9E-E050-107F01006A05','CHB_ASSET_INFO','com.joyintech.tams.common.svreport.datacheck.service.BaseCheckLib','lessThanCharLength','ISSUE_PARTY_NAME','','201','发行机构过长','E','Y');</v>
      </c>
    </row>
    <row r="163" spans="1:12" x14ac:dyDescent="0.15">
      <c r="A163" s="17">
        <v>160</v>
      </c>
      <c r="B163" s="21" t="s">
        <v>229</v>
      </c>
      <c r="C163" s="23" t="s">
        <v>1484</v>
      </c>
      <c r="D163" s="22" t="s">
        <v>21</v>
      </c>
      <c r="E163" s="22" t="s">
        <v>62</v>
      </c>
      <c r="F163" s="22" t="s">
        <v>858</v>
      </c>
      <c r="G163" s="22"/>
      <c r="H163" s="21" t="s">
        <v>2330</v>
      </c>
      <c r="I163" s="22" t="s">
        <v>27</v>
      </c>
      <c r="J163" s="22" t="s">
        <v>930</v>
      </c>
      <c r="K163" s="22" t="s">
        <v>24</v>
      </c>
      <c r="L163" s="2" t="str">
        <f t="shared" si="2"/>
        <v>insert into CHB_DATACHECK_RULE (CHECKRULEID,DATATYPE,CHECKCLASS,CHECKMETHOD,SRCPROPERTY,COMPARETO,OBJVALUE,REMARK,STATUS,NULLABLE) values ('W23E4A49-6810-5A9E-E050-107F01006A18','CHB_ASSET_INFO','com.joyintech.tams.common.svreport.datacheck.service.BaseCheckLib','lessThanCharLength','GUA_TYPE_REMARK','','201','担保情况说明过长。','E','Y');</v>
      </c>
    </row>
    <row r="164" spans="1:12" x14ac:dyDescent="0.15">
      <c r="A164" s="9">
        <v>161</v>
      </c>
      <c r="B164" s="21" t="s">
        <v>153</v>
      </c>
      <c r="C164" s="23" t="s">
        <v>1484</v>
      </c>
      <c r="D164" s="22" t="s">
        <v>21</v>
      </c>
      <c r="E164" s="22" t="s">
        <v>48</v>
      </c>
      <c r="F164" s="22" t="s">
        <v>807</v>
      </c>
      <c r="G164" s="22"/>
      <c r="H164" s="21" t="s">
        <v>63</v>
      </c>
      <c r="I164" s="22" t="s">
        <v>27</v>
      </c>
      <c r="J164" s="22" t="s">
        <v>895</v>
      </c>
      <c r="K164" s="22" t="s">
        <v>24</v>
      </c>
      <c r="L164" s="2" t="str">
        <f t="shared" si="2"/>
        <v>insert into CHB_DATACHECK_RULE (CHECKRULEID,DATATYPE,CHECKCLASS,CHECKMETHOD,SRCPROPERTY,COMPARETO,OBJVALUE,REMARK,STATUS,NULLABLE) values ('W23E4A49-6810-5A9E-E050-107F01006A22','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股票/企业名称必须填写白名单中的文字。','E','Y');</v>
      </c>
    </row>
    <row r="165" spans="1:12" x14ac:dyDescent="0.15">
      <c r="A165" s="17">
        <v>162</v>
      </c>
      <c r="B165" s="21" t="s">
        <v>230</v>
      </c>
      <c r="C165" s="23" t="s">
        <v>1484</v>
      </c>
      <c r="D165" s="22" t="s">
        <v>21</v>
      </c>
      <c r="E165" s="22" t="s">
        <v>22</v>
      </c>
      <c r="F165" s="22" t="s">
        <v>933</v>
      </c>
      <c r="G165" s="22"/>
      <c r="H165" s="21"/>
      <c r="I165" s="22" t="s">
        <v>23</v>
      </c>
      <c r="J165" s="22" t="s">
        <v>990</v>
      </c>
      <c r="K165" s="22" t="s">
        <v>24</v>
      </c>
      <c r="L165" s="2" t="str">
        <f t="shared" si="2"/>
        <v>insert into CHB_DATACHECK_RULE (CHECKRULEID,DATATYPE,CHECKCLASS,CHECKMETHOD,SRCPROPERTY,COMPARETO,OBJVALUE,REMARK,STATUS,NULLABLE) values ('W23E4A49-6810-5A9E-E050-107F01006A31','CHB_ASSET_INFO','com.joyintech.tams.common.svreport.datacheck.service.BaseCheckLib','isNotEmpty','INCOME_RATIO','','','固定收益部分所占比例要素不可为空','E','N');</v>
      </c>
    </row>
    <row r="166" spans="1:12" x14ac:dyDescent="0.15">
      <c r="A166" s="9">
        <v>163</v>
      </c>
      <c r="B166" s="21" t="s">
        <v>154</v>
      </c>
      <c r="C166" s="23" t="s">
        <v>1484</v>
      </c>
      <c r="D166" s="22" t="s">
        <v>21</v>
      </c>
      <c r="E166" s="22" t="s">
        <v>48</v>
      </c>
      <c r="F166" s="22" t="s">
        <v>858</v>
      </c>
      <c r="G166" s="22"/>
      <c r="H166" s="21" t="s">
        <v>63</v>
      </c>
      <c r="I166" s="22" t="s">
        <v>27</v>
      </c>
      <c r="J166" s="22" t="s">
        <v>859</v>
      </c>
      <c r="K166" s="22" t="s">
        <v>24</v>
      </c>
      <c r="L166" s="2" t="str">
        <f t="shared" si="2"/>
        <v>insert into CHB_DATACHECK_RULE (CHECKRULEID,DATATYPE,CHECKCLASS,CHECKMETHOD,SRCPROPERTY,COMPARETO,OBJVALUE,REMARK,STATUS,NULLABLE) values ('W23E4A49-6810-5A9E-E050-107F01006A43','CHB_ASSET_INFO','com.joyintech.tams.common.svreport.datacheck.service.BaseCheckLib','isCustomizedString','GUA_TYPE_REMARK','','^[\u4e00-\u9fa5\ue815-\ue864\uff01-\uff5e\uffe0-\uffe5\u3000-\u3003\u3005-\u3017\u301d-\u301e\u2010\u2013-\u2016\u2018-\u2019\u201c-\u201d\u2025-\u2026\u2030\u2032-\u2033\u2035\u203b\u00b7\u0030-\u0039\u0041-\u005a\u0061-\u007a\u2160-\u216b\u0020-\u0026\u0028-\u007B\u007D\u007E]{0,}$','担保情况说明必须填写白名单中的文字。','E','Y');</v>
      </c>
    </row>
    <row r="167" spans="1:12" x14ac:dyDescent="0.15">
      <c r="A167" s="17">
        <v>164</v>
      </c>
      <c r="B167" s="21" t="s">
        <v>2392</v>
      </c>
      <c r="C167" s="23" t="s">
        <v>1484</v>
      </c>
      <c r="D167" s="22" t="s">
        <v>21</v>
      </c>
      <c r="E167" s="22" t="s">
        <v>48</v>
      </c>
      <c r="F167" s="22" t="s">
        <v>807</v>
      </c>
      <c r="G167" s="22"/>
      <c r="H167" s="21" t="s">
        <v>63</v>
      </c>
      <c r="I167" s="22" t="s">
        <v>27</v>
      </c>
      <c r="J167" s="22" t="s">
        <v>840</v>
      </c>
      <c r="K167" s="22" t="s">
        <v>24</v>
      </c>
      <c r="L167" s="2" t="str">
        <f t="shared" si="2"/>
        <v>insert into CHB_DATACHECK_RULE (CHECKRULEID,DATATYPE,CHECKCLASS,CHECKMETHOD,SRCPROPERTY,COMPARETO,OBJVALUE,REMARK,STATUS,NULLABLE) values ('W23E4A49-6810-5A9E-E050-107F01006A49','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168" spans="1:12" x14ac:dyDescent="0.15">
      <c r="A168" s="9">
        <v>165</v>
      </c>
      <c r="B168" s="21" t="s">
        <v>232</v>
      </c>
      <c r="C168" s="23" t="s">
        <v>1484</v>
      </c>
      <c r="D168" s="22" t="s">
        <v>21</v>
      </c>
      <c r="E168" s="22" t="s">
        <v>22</v>
      </c>
      <c r="F168" s="22" t="s">
        <v>964</v>
      </c>
      <c r="G168" s="22"/>
      <c r="H168" s="21"/>
      <c r="I168" s="22" t="s">
        <v>23</v>
      </c>
      <c r="J168" s="22" t="s">
        <v>991</v>
      </c>
      <c r="K168" s="22" t="s">
        <v>24</v>
      </c>
      <c r="L168" s="2" t="str">
        <f t="shared" si="2"/>
        <v>insert into CHB_DATACHECK_RULE (CHECKRULEID,DATATYPE,CHECKCLASS,CHECKMETHOD,SRCPROPERTY,COMPARETO,OBJVALUE,REMARK,STATUS,NULLABLE) values ('W23E4A49-6810-5A9E-E050-107F01006A52','CHB_ASSET_INFO','com.joyintech.tams.common.svreport.datacheck.service.BaseCheckLib','isNotEmpty','TARGET_TYPE3','','','标的类别要素不可为空。','E','N');</v>
      </c>
    </row>
    <row r="169" spans="1:12" x14ac:dyDescent="0.15">
      <c r="A169" s="17">
        <v>166</v>
      </c>
      <c r="B169" s="21" t="s">
        <v>2393</v>
      </c>
      <c r="C169" s="23" t="s">
        <v>1484</v>
      </c>
      <c r="D169" s="22" t="s">
        <v>21</v>
      </c>
      <c r="E169" s="22" t="s">
        <v>48</v>
      </c>
      <c r="F169" s="22" t="s">
        <v>807</v>
      </c>
      <c r="G169" s="22"/>
      <c r="H169" s="21" t="s">
        <v>63</v>
      </c>
      <c r="I169" s="22" t="s">
        <v>27</v>
      </c>
      <c r="J169" s="22" t="s">
        <v>840</v>
      </c>
      <c r="K169" s="22" t="s">
        <v>24</v>
      </c>
      <c r="L169" s="2" t="str">
        <f t="shared" si="2"/>
        <v>insert into CHB_DATACHECK_RULE (CHECKRULEID,DATATYPE,CHECKCLASS,CHECKMETHOD,SRCPROPERTY,COMPARETO,OBJVALUE,REMARK,STATUS,NULLABLE) values ('W23E4A49-6810-5A9E-E050-107F01006A55','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170" spans="1:12" x14ac:dyDescent="0.15">
      <c r="A170" s="9">
        <v>167</v>
      </c>
      <c r="B170" s="21" t="s">
        <v>2394</v>
      </c>
      <c r="C170" s="23" t="s">
        <v>1484</v>
      </c>
      <c r="D170" s="22" t="s">
        <v>21</v>
      </c>
      <c r="E170" s="22" t="s">
        <v>48</v>
      </c>
      <c r="F170" s="22" t="s">
        <v>807</v>
      </c>
      <c r="G170" s="22"/>
      <c r="H170" s="21" t="s">
        <v>63</v>
      </c>
      <c r="I170" s="22" t="s">
        <v>27</v>
      </c>
      <c r="J170" s="22" t="s">
        <v>840</v>
      </c>
      <c r="K170" s="22" t="s">
        <v>24</v>
      </c>
      <c r="L170" s="2" t="str">
        <f t="shared" si="2"/>
        <v>insert into CHB_DATACHECK_RULE (CHECKRULEID,DATATYPE,CHECKCLASS,CHECKMETHOD,SRCPROPERTY,COMPARETO,OBJVALUE,REMARK,STATUS,NULLABLE) values ('W23E4A49-6810-5A9E-E050-107F01006A64','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171" spans="1:12" x14ac:dyDescent="0.15">
      <c r="A171" s="17">
        <v>168</v>
      </c>
      <c r="B171" s="21" t="s">
        <v>2395</v>
      </c>
      <c r="C171" s="23" t="s">
        <v>1484</v>
      </c>
      <c r="D171" s="22" t="s">
        <v>21</v>
      </c>
      <c r="E171" s="22" t="s">
        <v>48</v>
      </c>
      <c r="F171" s="22" t="s">
        <v>807</v>
      </c>
      <c r="G171" s="22"/>
      <c r="H171" s="21" t="s">
        <v>63</v>
      </c>
      <c r="I171" s="22" t="s">
        <v>27</v>
      </c>
      <c r="J171" s="22" t="s">
        <v>840</v>
      </c>
      <c r="K171" s="22" t="s">
        <v>24</v>
      </c>
      <c r="L171" s="2" t="str">
        <f t="shared" si="2"/>
        <v>insert into CHB_DATACHECK_RULE (CHECKRULEID,DATATYPE,CHECKCLASS,CHECKMETHOD,SRCPROPERTY,COMPARETO,OBJVALUE,REMARK,STATUS,NULLABLE) values ('W23E4A49-6810-5A9E-E050-107F01006A72','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172" spans="1:12" x14ac:dyDescent="0.15">
      <c r="A172" s="9">
        <v>169</v>
      </c>
      <c r="B172" s="21" t="s">
        <v>236</v>
      </c>
      <c r="C172" s="23" t="s">
        <v>1484</v>
      </c>
      <c r="D172" s="22" t="s">
        <v>21</v>
      </c>
      <c r="E172" s="22" t="s">
        <v>62</v>
      </c>
      <c r="F172" s="22" t="s">
        <v>805</v>
      </c>
      <c r="G172" s="22"/>
      <c r="H172" s="21" t="s">
        <v>2332</v>
      </c>
      <c r="I172" s="22" t="s">
        <v>27</v>
      </c>
      <c r="J172" s="22" t="s">
        <v>992</v>
      </c>
      <c r="K172" s="22" t="s">
        <v>24</v>
      </c>
      <c r="L172" s="2" t="str">
        <f t="shared" si="2"/>
        <v>insert into CHB_DATACHECK_RULE (CHECKRULEID,DATATYPE,CHECKCLASS,CHECKMETHOD,SRCPROPERTY,COMPARETO,OBJVALUE,REMARK,STATUS,NULLABLE) values ('W23E4A49-6810-5A9E-E050-107F01006A80','CHB_ASSET_INFO','com.joyintech.tams.common.svreport.datacheck.service.BaseCheckLib','lessThanCharLength','ASSET_ID','','21','基金代码过长','E','Y');</v>
      </c>
    </row>
    <row r="173" spans="1:12" x14ac:dyDescent="0.15">
      <c r="A173" s="17">
        <v>170</v>
      </c>
      <c r="B173" s="21" t="s">
        <v>237</v>
      </c>
      <c r="C173" s="23" t="s">
        <v>1484</v>
      </c>
      <c r="D173" s="22" t="s">
        <v>21</v>
      </c>
      <c r="E173" s="22" t="s">
        <v>30</v>
      </c>
      <c r="F173" s="22" t="s">
        <v>984</v>
      </c>
      <c r="G173" s="22" t="s">
        <v>25</v>
      </c>
      <c r="H173" s="21" t="s">
        <v>993</v>
      </c>
      <c r="I173" s="22" t="s">
        <v>27</v>
      </c>
      <c r="J173" s="22" t="s">
        <v>994</v>
      </c>
      <c r="K173" s="22" t="s">
        <v>24</v>
      </c>
      <c r="L173" s="2" t="str">
        <f t="shared" si="2"/>
        <v>insert into CHB_DATACHECK_RULE (CHECKRULEID,DATATYPE,CHECKCLASS,CHECKMETHOD,SRCPROPERTY,COMPARETO,OBJVALUE,REMARK,STATUS,NULLABLE) values ('W23E4A49-6810-5A9E-E050-107F01006A92','CHB_ASSET_INFO','com.joyintech.tams.common.svreport.datacheck.service.BaseCheckLib','inDatadict','GOVERN_INVEST_FUND','==','SVR_GOV_INVEST_DIRECT','政府投资基金投向不在值域范围内。','E','Y');</v>
      </c>
    </row>
    <row r="174" spans="1:12" x14ac:dyDescent="0.15">
      <c r="A174" s="9">
        <v>171</v>
      </c>
      <c r="B174" s="21" t="s">
        <v>2348</v>
      </c>
      <c r="C174" s="23" t="s">
        <v>1484</v>
      </c>
      <c r="D174" s="22" t="s">
        <v>21</v>
      </c>
      <c r="E174" s="22" t="s">
        <v>62</v>
      </c>
      <c r="F174" s="22" t="s">
        <v>858</v>
      </c>
      <c r="G174" s="22"/>
      <c r="H174" s="21" t="s">
        <v>2330</v>
      </c>
      <c r="I174" s="22" t="s">
        <v>27</v>
      </c>
      <c r="J174" s="22" t="s">
        <v>930</v>
      </c>
      <c r="K174" s="22" t="s">
        <v>24</v>
      </c>
      <c r="L174" s="2" t="str">
        <f t="shared" si="2"/>
        <v>insert into CHB_DATACHECK_RULE (CHECKRULEID,DATATYPE,CHECKCLASS,CHECKMETHOD,SRCPROPERTY,COMPARETO,OBJVALUE,REMARK,STATUS,NULLABLE) values ('W23E4A49-6810-5A9E-E050-207F01006A18','CHB_ASSET_INFO','com.joyintech.tams.common.svreport.datacheck.service.BaseCheckLib','lessThanCharLength','GUA_TYPE_REMARK','','201','担保情况说明过长。','E','Y');</v>
      </c>
    </row>
    <row r="175" spans="1:12" x14ac:dyDescent="0.15">
      <c r="A175" s="17">
        <v>172</v>
      </c>
      <c r="B175" s="21" t="s">
        <v>155</v>
      </c>
      <c r="C175" s="23" t="s">
        <v>1484</v>
      </c>
      <c r="D175" s="22" t="s">
        <v>21</v>
      </c>
      <c r="E175" s="22" t="s">
        <v>48</v>
      </c>
      <c r="F175" s="22" t="s">
        <v>807</v>
      </c>
      <c r="G175" s="22"/>
      <c r="H175" s="21" t="s">
        <v>63</v>
      </c>
      <c r="I175" s="22" t="s">
        <v>27</v>
      </c>
      <c r="J175" s="22" t="s">
        <v>896</v>
      </c>
      <c r="K175" s="22" t="s">
        <v>24</v>
      </c>
      <c r="L175" s="2" t="str">
        <f t="shared" si="2"/>
        <v>insert into CHB_DATACHECK_RULE (CHECKRULEID,DATATYPE,CHECKCLASS,CHECKMETHOD,SRCPROPERTY,COMPARETO,OBJVALUE,REMARK,STATUS,NULLABLE) values ('W23E4A49-6810-5A9E-E050-207F01006A22','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债券名称必须填写白名单中的文字。','E','Y');</v>
      </c>
    </row>
    <row r="176" spans="1:12" x14ac:dyDescent="0.15">
      <c r="A176" s="9">
        <v>173</v>
      </c>
      <c r="B176" s="21" t="s">
        <v>238</v>
      </c>
      <c r="C176" s="23" t="s">
        <v>1484</v>
      </c>
      <c r="D176" s="22" t="s">
        <v>21</v>
      </c>
      <c r="E176" s="22" t="s">
        <v>22</v>
      </c>
      <c r="F176" s="22" t="s">
        <v>938</v>
      </c>
      <c r="G176" s="22"/>
      <c r="H176" s="21"/>
      <c r="I176" s="22" t="s">
        <v>23</v>
      </c>
      <c r="J176" s="22" t="s">
        <v>995</v>
      </c>
      <c r="K176" s="22" t="s">
        <v>24</v>
      </c>
      <c r="L176" s="2" t="str">
        <f t="shared" si="2"/>
        <v>insert into CHB_DATACHECK_RULE (CHECKRULEID,DATATYPE,CHECKCLASS,CHECKMETHOD,SRCPROPERTY,COMPARETO,OBJVALUE,REMARK,STATUS,NULLABLE) values ('W23E4A49-6810-5A9E-E050-207F01006A31','CHB_ASSET_INFO','com.joyintech.tams.common.svreport.datacheck.service.BaseCheckLib','isNotEmpty','DER_INSTR_RATIO','','','衍生金融工具所占比例要素不可为空','E','N');</v>
      </c>
    </row>
    <row r="177" spans="1:12" x14ac:dyDescent="0.15">
      <c r="A177" s="17">
        <v>174</v>
      </c>
      <c r="B177" s="21" t="s">
        <v>239</v>
      </c>
      <c r="C177" s="23" t="s">
        <v>1484</v>
      </c>
      <c r="D177" s="22" t="s">
        <v>21</v>
      </c>
      <c r="E177" s="22" t="s">
        <v>22</v>
      </c>
      <c r="F177" s="22" t="s">
        <v>864</v>
      </c>
      <c r="G177" s="22"/>
      <c r="H177" s="21"/>
      <c r="I177" s="22" t="s">
        <v>23</v>
      </c>
      <c r="J177" s="22" t="s">
        <v>996</v>
      </c>
      <c r="K177" s="22" t="s">
        <v>24</v>
      </c>
      <c r="L177" s="2" t="str">
        <f t="shared" si="2"/>
        <v>insert into CHB_DATACHECK_RULE (CHECKRULEID,DATATYPE,CHECKCLASS,CHECKMETHOD,SRCPROPERTY,COMPARETO,OBJVALUE,REMARK,STATUS,NULLABLE) values ('W23E4A49-6810-5A9E-E050-207F01006A32','CHB_ASSET_INFO','com.joyintech.tams.common.svreport.datacheck.service.BaseCheckLib','isNotEmpty','DER_INSTR_INV_TYPE','','','衍生金融工具具体投资方式要素不可为空','E','N');</v>
      </c>
    </row>
    <row r="178" spans="1:12" x14ac:dyDescent="0.15">
      <c r="A178" s="9">
        <v>175</v>
      </c>
      <c r="B178" s="21" t="s">
        <v>240</v>
      </c>
      <c r="C178" s="23" t="s">
        <v>1484</v>
      </c>
      <c r="D178" s="22" t="s">
        <v>21</v>
      </c>
      <c r="E178" s="22" t="s">
        <v>22</v>
      </c>
      <c r="F178" s="22" t="s">
        <v>866</v>
      </c>
      <c r="G178" s="22"/>
      <c r="H178" s="21"/>
      <c r="I178" s="22" t="s">
        <v>23</v>
      </c>
      <c r="J178" s="22" t="s">
        <v>997</v>
      </c>
      <c r="K178" s="22" t="s">
        <v>24</v>
      </c>
      <c r="L178" s="2" t="str">
        <f t="shared" si="2"/>
        <v>insert into CHB_DATACHECK_RULE (CHECKRULEID,DATATYPE,CHECKCLASS,CHECKMETHOD,SRCPROPERTY,COMPARETO,OBJVALUE,REMARK,STATUS,NULLABLE) values ('W23E4A49-6810-5A9E-E050-207F01006A33','CHB_ASSET_INFO','com.joyintech.tams.common.svreport.datacheck.service.BaseCheckLib','isNotEmpty','DER_INSTR_TARGET','','','衍生金融工具挂钩标的资产要素不可为空','E','N');</v>
      </c>
    </row>
    <row r="179" spans="1:12" x14ac:dyDescent="0.15">
      <c r="A179" s="17">
        <v>176</v>
      </c>
      <c r="B179" s="21" t="s">
        <v>241</v>
      </c>
      <c r="C179" s="23" t="s">
        <v>1484</v>
      </c>
      <c r="D179" s="22" t="s">
        <v>21</v>
      </c>
      <c r="E179" s="22" t="s">
        <v>22</v>
      </c>
      <c r="F179" s="22" t="s">
        <v>868</v>
      </c>
      <c r="G179" s="22"/>
      <c r="H179" s="21"/>
      <c r="I179" s="22" t="s">
        <v>23</v>
      </c>
      <c r="J179" s="22" t="s">
        <v>998</v>
      </c>
      <c r="K179" s="22" t="s">
        <v>24</v>
      </c>
      <c r="L179" s="2" t="str">
        <f t="shared" si="2"/>
        <v>insert into CHB_DATACHECK_RULE (CHECKRULEID,DATATYPE,CHECKCLASS,CHECKMETHOD,SRCPROPERTY,COMPARETO,OBJVALUE,REMARK,STATUS,NULLABLE) values ('W23E4A49-6810-5A9E-E050-207F01006A34','CHB_ASSET_INFO','com.joyintech.tams.common.svreport.datacheck.service.BaseCheckLib','isNotEmpty','ACCT_MODE','','','利息结算方式要素不可为空','E','N');</v>
      </c>
    </row>
    <row r="180" spans="1:12" x14ac:dyDescent="0.15">
      <c r="A180" s="9">
        <v>177</v>
      </c>
      <c r="B180" s="21" t="s">
        <v>242</v>
      </c>
      <c r="C180" s="23" t="s">
        <v>1484</v>
      </c>
      <c r="D180" s="22" t="s">
        <v>21</v>
      </c>
      <c r="E180" s="22" t="s">
        <v>22</v>
      </c>
      <c r="F180" s="22" t="s">
        <v>870</v>
      </c>
      <c r="G180" s="22"/>
      <c r="H180" s="21"/>
      <c r="I180" s="22" t="s">
        <v>23</v>
      </c>
      <c r="J180" s="22" t="s">
        <v>999</v>
      </c>
      <c r="K180" s="22" t="s">
        <v>24</v>
      </c>
      <c r="L180" s="2" t="str">
        <f t="shared" si="2"/>
        <v>insert into CHB_DATACHECK_RULE (CHECKRULEID,DATATYPE,CHECKCLASS,CHECKMETHOD,SRCPROPERTY,COMPARETO,OBJVALUE,REMARK,STATUS,NULLABLE) values ('W23E4A49-6810-5A9E-E050-207F01006A35','CHB_ASSET_INFO','com.joyintech.tams.common.svreport.datacheck.service.BaseCheckLib','isNotEmpty','SPECIAL_CMT1','','','含权情况说明要素不可为空','E','N');</v>
      </c>
    </row>
    <row r="181" spans="1:12" x14ac:dyDescent="0.15">
      <c r="A181" s="17">
        <v>178</v>
      </c>
      <c r="B181" s="21" t="s">
        <v>243</v>
      </c>
      <c r="C181" s="23" t="s">
        <v>1484</v>
      </c>
      <c r="D181" s="22" t="s">
        <v>21</v>
      </c>
      <c r="E181" s="22" t="s">
        <v>22</v>
      </c>
      <c r="F181" s="22" t="s">
        <v>946</v>
      </c>
      <c r="G181" s="22"/>
      <c r="H181" s="21"/>
      <c r="I181" s="22" t="s">
        <v>23</v>
      </c>
      <c r="J181" s="22" t="s">
        <v>1000</v>
      </c>
      <c r="K181" s="22" t="s">
        <v>24</v>
      </c>
      <c r="L181" s="2" t="str">
        <f t="shared" si="2"/>
        <v>insert into CHB_DATACHECK_RULE (CHECKRULEID,DATATYPE,CHECKCLASS,CHECKMETHOD,SRCPROPERTY,COMPARETO,OBJVALUE,REMARK,STATUS,NULLABLE) values ('W23E4A49-6810-5A9E-E050-207F01006A36','CHB_ASSET_INFO','com.joyintech.tams.common.svreport.datacheck.service.BaseCheckLib','isNotEmpty','MAX_YIELD','','','结构化票据最高收益率要素不可为空','E','N');</v>
      </c>
    </row>
    <row r="182" spans="1:12" x14ac:dyDescent="0.15">
      <c r="A182" s="9">
        <v>179</v>
      </c>
      <c r="B182" s="21" t="s">
        <v>244</v>
      </c>
      <c r="C182" s="23" t="s">
        <v>1484</v>
      </c>
      <c r="D182" s="22" t="s">
        <v>21</v>
      </c>
      <c r="E182" s="22" t="s">
        <v>22</v>
      </c>
      <c r="F182" s="22" t="s">
        <v>956</v>
      </c>
      <c r="G182" s="22"/>
      <c r="H182" s="21"/>
      <c r="I182" s="22" t="s">
        <v>23</v>
      </c>
      <c r="J182" s="22" t="s">
        <v>1001</v>
      </c>
      <c r="K182" s="22" t="s">
        <v>24</v>
      </c>
      <c r="L182" s="2" t="str">
        <f t="shared" si="2"/>
        <v>insert into CHB_DATACHECK_RULE (CHECKRULEID,DATATYPE,CHECKCLASS,CHECKMETHOD,SRCPROPERTY,COMPARETO,OBJVALUE,REMARK,STATUS,NULLABLE) values ('W23E4A49-6810-5A9E-E050-207F01006A37','CHB_ASSET_INFO','com.joyintech.tams.common.svreport.datacheck.service.BaseCheckLib','isNotEmpty','REG_DATE_PRICE','','','挂钩标的资产登记日价格要素不可为空','E','N');</v>
      </c>
    </row>
    <row r="183" spans="1:12" x14ac:dyDescent="0.15">
      <c r="A183" s="17">
        <v>180</v>
      </c>
      <c r="B183" s="21" t="s">
        <v>156</v>
      </c>
      <c r="C183" s="23" t="s">
        <v>1484</v>
      </c>
      <c r="D183" s="22" t="s">
        <v>21</v>
      </c>
      <c r="E183" s="22" t="s">
        <v>48</v>
      </c>
      <c r="F183" s="22" t="s">
        <v>807</v>
      </c>
      <c r="G183" s="22"/>
      <c r="H183" s="21" t="s">
        <v>63</v>
      </c>
      <c r="I183" s="22" t="s">
        <v>27</v>
      </c>
      <c r="J183" s="22" t="s">
        <v>897</v>
      </c>
      <c r="K183" s="22" t="s">
        <v>24</v>
      </c>
      <c r="L183" s="2" t="str">
        <f t="shared" si="2"/>
        <v>insert into CHB_DATACHECK_RULE (CHECKRULEID,DATATYPE,CHECKCLASS,CHECKMETHOD,SRCPROPERTY,COMPARETO,OBJVALUE,REMARK,STATUS,NULLABLE) values ('W23E4A49-6810-5A9E-E050-307F01006A22','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股票/基金名称必须填写白名单中的文字。','E','Y');</v>
      </c>
    </row>
    <row r="184" spans="1:12" x14ac:dyDescent="0.15">
      <c r="A184" s="9">
        <v>181</v>
      </c>
      <c r="B184" s="21" t="s">
        <v>157</v>
      </c>
      <c r="C184" s="23" t="s">
        <v>1484</v>
      </c>
      <c r="D184" s="22" t="s">
        <v>21</v>
      </c>
      <c r="E184" s="22" t="s">
        <v>48</v>
      </c>
      <c r="F184" s="22" t="s">
        <v>807</v>
      </c>
      <c r="G184" s="22"/>
      <c r="H184" s="21" t="s">
        <v>63</v>
      </c>
      <c r="I184" s="22" t="s">
        <v>27</v>
      </c>
      <c r="J184" s="22" t="s">
        <v>898</v>
      </c>
      <c r="K184" s="22" t="s">
        <v>24</v>
      </c>
      <c r="L184" s="2" t="str">
        <f t="shared" si="2"/>
        <v>insert into CHB_DATACHECK_RULE (CHECKRULEID,DATATYPE,CHECKCLASS,CHECKMETHOD,SRCPROPERTY,COMPARETO,OBJVALUE,REMARK,STATUS,NULLABLE) values ('W23E4A49-6810-5A9E-E050-407F01006A22','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基金名称必须填写白名单中的文字。','E','Y');</v>
      </c>
    </row>
    <row r="185" spans="1:12" x14ac:dyDescent="0.15">
      <c r="A185" s="17">
        <v>182</v>
      </c>
      <c r="B185" s="21" t="s">
        <v>158</v>
      </c>
      <c r="C185" s="23" t="s">
        <v>1484</v>
      </c>
      <c r="D185" s="22" t="s">
        <v>21</v>
      </c>
      <c r="E185" s="22" t="s">
        <v>48</v>
      </c>
      <c r="F185" s="22" t="s">
        <v>807</v>
      </c>
      <c r="G185" s="22"/>
      <c r="H185" s="21" t="s">
        <v>63</v>
      </c>
      <c r="I185" s="22" t="s">
        <v>27</v>
      </c>
      <c r="J185" s="22" t="s">
        <v>899</v>
      </c>
      <c r="K185" s="22" t="s">
        <v>24</v>
      </c>
      <c r="L185" s="2" t="str">
        <f t="shared" si="2"/>
        <v>insert into CHB_DATACHECK_RULE (CHECKRULEID,DATATYPE,CHECKCLASS,CHECKMETHOD,SRCPROPERTY,COMPARETO,OBJVALUE,REMARK,STATUS,NULLABLE) values ('W23E4A49-6810-5A9E-E050-507F01006A22','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委外投资协议名称必须填写白名单中的文字。','E','Y');</v>
      </c>
    </row>
    <row r="186" spans="1:12" x14ac:dyDescent="0.15">
      <c r="A186" s="9">
        <v>183</v>
      </c>
      <c r="B186" s="21" t="s">
        <v>159</v>
      </c>
      <c r="C186" s="23" t="s">
        <v>1484</v>
      </c>
      <c r="D186" s="22" t="s">
        <v>21</v>
      </c>
      <c r="E186" s="22" t="s">
        <v>48</v>
      </c>
      <c r="F186" s="22" t="s">
        <v>900</v>
      </c>
      <c r="G186" s="22"/>
      <c r="H186" s="21" t="s">
        <v>63</v>
      </c>
      <c r="I186" s="22" t="s">
        <v>27</v>
      </c>
      <c r="J186" s="22" t="s">
        <v>901</v>
      </c>
      <c r="K186" s="22" t="s">
        <v>24</v>
      </c>
      <c r="L186" s="2" t="str">
        <f t="shared" si="2"/>
        <v>insert into CHB_DATACHECK_RULE (CHECKRULEID,DATATYPE,CHECKCLASS,CHECKMETHOD,SRCPROPERTY,COMPARETO,OBJVALUE,REMARK,STATUS,NULLABLE) values ('W23E4A49-6810-5AWM-E050-007F01006A30','CHB_ASSET_INFO','com.joyintech.tams.common.svreport.datacheck.service.BaseCheckLib','isCustomizedString','MON_TYPE_COMM','','^[\u4e00-\u9fa5\ue815-\ue864\uff01-\uff5e\uffe0-\uffe5\u3000-\u3003\u3005-\u3017\u301d-\u301e\u2010\u2013-\u2016\u2018-\u2019\u201c-\u201d\u2025-\u2026\u2030\u2032-\u2033\u2035\u203b\u00b7\u0030-\u0039\u0041-\u005a\u0061-\u007a\u2160-\u216b\u0020-\u0026\u0028-\u007B\u007D\u007E]{0,}$','重点监控行业和领域类别说明必须填写白名单中的文字。','E','Y');</v>
      </c>
    </row>
    <row r="187" spans="1:12" x14ac:dyDescent="0.15">
      <c r="A187" s="17">
        <v>184</v>
      </c>
      <c r="B187" s="21" t="s">
        <v>160</v>
      </c>
      <c r="C187" s="23" t="s">
        <v>1484</v>
      </c>
      <c r="D187" s="22" t="s">
        <v>21</v>
      </c>
      <c r="E187" s="22" t="s">
        <v>48</v>
      </c>
      <c r="F187" s="22" t="s">
        <v>902</v>
      </c>
      <c r="G187" s="22"/>
      <c r="H187" s="21" t="s">
        <v>63</v>
      </c>
      <c r="I187" s="22" t="s">
        <v>27</v>
      </c>
      <c r="J187" s="22" t="s">
        <v>903</v>
      </c>
      <c r="K187" s="22" t="s">
        <v>24</v>
      </c>
      <c r="L187" s="2" t="str">
        <f t="shared" si="2"/>
        <v>insert into CHB_DATACHECK_RULE (CHECKRULEID,DATATYPE,CHECKCLASS,CHECKMETHOD,SRCPROPERTY,COMPARETO,OBJVALUE,REMARK,STATUS,NULLABLE) values ('W23E4A49-6810-5AWM-E050-007F01006A32','CHB_ASSET_INFO','com.joyintech.tams.common.svreport.datacheck.service.BaseCheckLib','isCustomizedString','IN_GRADE','','^[\u4e00-\u9fa5\ue815-\ue864\uff01-\uff5e\uffe0-\uffe5\u3000-\u3003\u3005-\u3017\u301d-\u301e\u2010\u2013-\u2016\u2018-\u2019\u201c-\u201d\u2025-\u2026\u2030\u2032-\u2033\u2035\u203b\u00b7\u0030-\u0039\u0041-\u005a\u0061-\u007a\u2160-\u216b\u0020-\u0026\u0028-\u007B\u007D\u007E]{0,}$','资产内部评级必须填写白名单中的文字。','E','Y');</v>
      </c>
    </row>
    <row r="188" spans="1:12" x14ac:dyDescent="0.15">
      <c r="A188" s="9">
        <v>185</v>
      </c>
      <c r="B188" s="21" t="s">
        <v>161</v>
      </c>
      <c r="C188" s="23" t="s">
        <v>1484</v>
      </c>
      <c r="D188" s="22" t="s">
        <v>21</v>
      </c>
      <c r="E188" s="22" t="s">
        <v>48</v>
      </c>
      <c r="F188" s="22" t="s">
        <v>904</v>
      </c>
      <c r="G188" s="22"/>
      <c r="H188" s="21" t="s">
        <v>63</v>
      </c>
      <c r="I188" s="22" t="s">
        <v>27</v>
      </c>
      <c r="J188" s="22" t="s">
        <v>905</v>
      </c>
      <c r="K188" s="22" t="s">
        <v>24</v>
      </c>
      <c r="L188" s="2" t="str">
        <f t="shared" si="2"/>
        <v>insert into CHB_DATACHECK_RULE (CHECKRULEID,DATATYPE,CHECKCLASS,CHECKMETHOD,SRCPROPERTY,COMPARETO,OBJVALUE,REMARK,STATUS,NULLABLE) values ('W23E4A49-6810-5AWM-E050-007F01006A33','CHB_ASSET_INFO','com.joyintech.tams.common.svreport.datacheck.service.BaseCheckLib','isCustomizedString','CHOSE','','^[\u4e00-\u9fa5\ue815-\ue864\uff01-\uff5e\uffe0-\uffe5\u3000-\u3003\u3005-\u3017\u301d-\u301e\u2010\u2013-\u2016\u2018-\u2019\u201c-\u201d\u2025-\u2026\u2030\u2032-\u2033\u2035\u203b\u00b7\u0030-\u0039\u0041-\u005a\u0061-\u007a\u2160-\u216b\u0020-\u0026\u0028-\u007B\u007D\u007E]{0,}$','选择权必须填写白名单中的文字。','E','Y');</v>
      </c>
    </row>
    <row r="189" spans="1:12" x14ac:dyDescent="0.15">
      <c r="A189" s="17">
        <v>186</v>
      </c>
      <c r="B189" s="21" t="s">
        <v>162</v>
      </c>
      <c r="C189" s="23" t="s">
        <v>1484</v>
      </c>
      <c r="D189" s="22" t="s">
        <v>21</v>
      </c>
      <c r="E189" s="22" t="s">
        <v>48</v>
      </c>
      <c r="F189" s="22" t="s">
        <v>809</v>
      </c>
      <c r="G189" s="22"/>
      <c r="H189" s="21" t="s">
        <v>63</v>
      </c>
      <c r="I189" s="22" t="s">
        <v>27</v>
      </c>
      <c r="J189" s="22" t="s">
        <v>906</v>
      </c>
      <c r="K189" s="22" t="s">
        <v>24</v>
      </c>
      <c r="L189" s="2" t="str">
        <f t="shared" si="2"/>
        <v>insert into CHB_DATACHECK_RULE (CHECKRULEID,DATATYPE,CHECKCLASS,CHECKMETHOD,SRCPROPERTY,COMPARETO,OBJVALUE,REMARK,STATUS,NULLABLE) values ('W23E4A49-6810-5AWM-E050-007F01006A40','CHB_ASSET_INFO','com.joyintech.tams.common.svreport.datacheck.service.BaseCheckLib','isCustomizedString','ISSUE_PARTY_NAME','','^[\u4e00-\u9fa5\ue815-\ue864\uff01-\uff5e\uffe0-\uffe5\u3000-\u3003\u3005-\u3017\u301d-\u301e\u2010\u2013-\u2016\u2018-\u2019\u201c-\u201d\u2025-\u2026\u2030\u2032-\u2033\u2035\u203b\u00b7\u0030-\u0039\u0041-\u005a\u0061-\u007a\u2160-\u216b\u0020-\u0026\u0028-\u007B\u007D\u007E]{0,}$','发行机构必须填写白名单中的文字。','E','Y');</v>
      </c>
    </row>
    <row r="190" spans="1:12" x14ac:dyDescent="0.15">
      <c r="A190" s="9">
        <v>187</v>
      </c>
      <c r="B190" s="21" t="s">
        <v>163</v>
      </c>
      <c r="C190" s="23" t="s">
        <v>1484</v>
      </c>
      <c r="D190" s="22" t="s">
        <v>21</v>
      </c>
      <c r="E190" s="22" t="s">
        <v>48</v>
      </c>
      <c r="F190" s="22" t="s">
        <v>907</v>
      </c>
      <c r="G190" s="22"/>
      <c r="H190" s="21" t="s">
        <v>63</v>
      </c>
      <c r="I190" s="22" t="s">
        <v>27</v>
      </c>
      <c r="J190" s="22" t="s">
        <v>908</v>
      </c>
      <c r="K190" s="22" t="s">
        <v>24</v>
      </c>
      <c r="L190" s="2" t="str">
        <f t="shared" si="2"/>
        <v>insert into CHB_DATACHECK_RULE (CHECKRULEID,DATATYPE,CHECKCLASS,CHECKMETHOD,SRCPROPERTY,COMPARETO,OBJVALUE,REMARK,STATUS,NULLABLE) values ('W23E4A49-6810-5AWM-E050-007F01006A41','CHB_ASSET_INFO','com.joyintech.tams.common.svreport.datacheck.service.BaseCheckLib','isCustomizedString','PARTY_GRADE','','^[\u4e00-\u9fa5\ue815-\ue864\uff01-\uff5e\uffe0-\uffe5\u3000-\u3003\u3005-\u3017\u301d-\u301e\u2010\u2013-\u2016\u2018-\u2019\u201c-\u201d\u2025-\u2026\u2030\u2032-\u2033\u2035\u203b\u00b7\u0030-\u0039\u0041-\u005a\u0061-\u007a\u2160-\u216b\u0020-\u0026\u0028-\u007B\u007D\u007E]{0,}$','发行机构主体信用评级必须填写白名单中的文字。','E','Y');</v>
      </c>
    </row>
    <row r="191" spans="1:12" x14ac:dyDescent="0.15">
      <c r="A191" s="17">
        <v>188</v>
      </c>
      <c r="B191" s="21" t="s">
        <v>164</v>
      </c>
      <c r="C191" s="23" t="s">
        <v>1484</v>
      </c>
      <c r="D191" s="22" t="s">
        <v>21</v>
      </c>
      <c r="E191" s="22" t="s">
        <v>48</v>
      </c>
      <c r="F191" s="22" t="s">
        <v>807</v>
      </c>
      <c r="G191" s="22"/>
      <c r="H191" s="21" t="s">
        <v>63</v>
      </c>
      <c r="I191" s="22" t="s">
        <v>27</v>
      </c>
      <c r="J191" s="22" t="s">
        <v>909</v>
      </c>
      <c r="K191" s="22" t="s">
        <v>24</v>
      </c>
      <c r="L191" s="2" t="str">
        <f t="shared" si="2"/>
        <v>insert into CHB_DATACHECK_RULE (CHECKRULEID,DATATYPE,CHECKCLASS,CHECKMETHOD,SRCPROPERTY,COMPARETO,OBJVALUE,REMARK,STATUS,NULLABLE) values ('W23E4A49-6811-5A9E-E152-007F01006A26','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资管计划名称必须填写白名单中的文字。','E','Y');</v>
      </c>
    </row>
    <row r="192" spans="1:12" x14ac:dyDescent="0.15">
      <c r="A192" s="9">
        <v>189</v>
      </c>
      <c r="B192" s="21" t="s">
        <v>1626</v>
      </c>
      <c r="C192" s="23" t="s">
        <v>1484</v>
      </c>
      <c r="D192" s="22" t="s">
        <v>21</v>
      </c>
      <c r="E192" s="22" t="s">
        <v>38</v>
      </c>
      <c r="F192" s="22" t="s">
        <v>769</v>
      </c>
      <c r="G192" s="22" t="s">
        <v>25</v>
      </c>
      <c r="H192" s="21" t="s">
        <v>767</v>
      </c>
      <c r="I192" s="22" t="s">
        <v>27</v>
      </c>
      <c r="J192" s="22" t="s">
        <v>770</v>
      </c>
      <c r="K192" s="22" t="s">
        <v>24</v>
      </c>
      <c r="L192" s="2" t="str">
        <f t="shared" si="2"/>
        <v>insert into CHB_DATACHECK_RULE (CHECKRULEID,DATATYPE,CHECKCLASS,CHECKMETHOD,SRCPROPERTY,COMPARETO,OBJVALUE,REMARK,STATUS,NULLABLE) values ('W33E4A49-6810-5A9E-E050-007F01006A68','CHB_ASSET_INFO','com.joyintech.tams.common.svreport.datacheck.service.BaseCheckLib','isValidDate','MDATE','==','yyyy-MM-dd','到期日要素必填且必须为日期格式（YYYY-MM-DD）。','E','Y');</v>
      </c>
    </row>
    <row r="193" spans="1:12" x14ac:dyDescent="0.15">
      <c r="A193" s="17">
        <v>190</v>
      </c>
      <c r="B193" s="21" t="s">
        <v>250</v>
      </c>
      <c r="C193" s="23" t="s">
        <v>1484</v>
      </c>
      <c r="D193" s="22" t="s">
        <v>21</v>
      </c>
      <c r="E193" s="22" t="s">
        <v>22</v>
      </c>
      <c r="F193" s="22" t="s">
        <v>892</v>
      </c>
      <c r="G193" s="22"/>
      <c r="H193" s="21"/>
      <c r="I193" s="22" t="s">
        <v>23</v>
      </c>
      <c r="J193" s="22" t="s">
        <v>989</v>
      </c>
      <c r="K193" s="22" t="s">
        <v>24</v>
      </c>
      <c r="L193" s="2" t="str">
        <f t="shared" si="2"/>
        <v>insert into CHB_DATACHECK_RULE (CHECKRULEID,DATATYPE,CHECKCLASS,CHECKMETHOD,SRCPROPERTY,COMPARETO,OBJVALUE,REMARK,STATUS,NULLABLE) values ('W43E4A49-6810-5A9E-E050-007F01006A00','CHB_ASSET_INFO','com.joyintech.tams.common.svreport.datacheck.service.BaseCheckLib','isNotEmpty','INVEST_STAGE','','','投资阶段要素必填。','E','N');</v>
      </c>
    </row>
    <row r="194" spans="1:12" x14ac:dyDescent="0.15">
      <c r="A194" s="9">
        <v>191</v>
      </c>
      <c r="B194" s="21" t="s">
        <v>251</v>
      </c>
      <c r="C194" s="23" t="s">
        <v>1484</v>
      </c>
      <c r="D194" s="22" t="s">
        <v>21</v>
      </c>
      <c r="E194" s="22" t="s">
        <v>22</v>
      </c>
      <c r="F194" s="22" t="s">
        <v>1011</v>
      </c>
      <c r="G194" s="22"/>
      <c r="H194" s="21"/>
      <c r="I194" s="22" t="s">
        <v>23</v>
      </c>
      <c r="J194" s="22" t="s">
        <v>1012</v>
      </c>
      <c r="K194" s="22" t="s">
        <v>24</v>
      </c>
      <c r="L194" s="2" t="str">
        <f t="shared" si="2"/>
        <v>insert into CHB_DATACHECK_RULE (CHECKRULEID,DATATYPE,CHECKCLASS,CHECKMETHOD,SRCPROPERTY,COMPARETO,OBJVALUE,REMARK,STATUS,NULLABLE) values ('W43E4A49-6810-5A9E-E050-007F01006A01','CHB_ASSET_INFO','com.joyintech.tams.common.svreport.datacheck.service.BaseCheckLib','isNotEmpty','SHARES_TYPE1','','','投资企业类型（按规模划分）要素不可为空。','E','N');</v>
      </c>
    </row>
    <row r="195" spans="1:12" x14ac:dyDescent="0.15">
      <c r="A195" s="17">
        <v>192</v>
      </c>
      <c r="B195" s="21" t="s">
        <v>252</v>
      </c>
      <c r="C195" s="23" t="s">
        <v>1484</v>
      </c>
      <c r="D195" s="22" t="s">
        <v>21</v>
      </c>
      <c r="E195" s="22" t="s">
        <v>30</v>
      </c>
      <c r="F195" s="22" t="s">
        <v>1011</v>
      </c>
      <c r="G195" s="22" t="s">
        <v>25</v>
      </c>
      <c r="H195" s="21" t="s">
        <v>1013</v>
      </c>
      <c r="I195" s="22" t="s">
        <v>27</v>
      </c>
      <c r="J195" s="22" t="s">
        <v>1014</v>
      </c>
      <c r="K195" s="22" t="s">
        <v>24</v>
      </c>
      <c r="L195" s="2" t="str">
        <f t="shared" si="2"/>
        <v>insert into CHB_DATACHECK_RULE (CHECKRULEID,DATATYPE,CHECKCLASS,CHECKMETHOD,SRCPROPERTY,COMPARETO,OBJVALUE,REMARK,STATUS,NULLABLE) values ('W43E4A49-6810-5A9E-E050-007F01006A02','CHB_ASSET_INFO','com.joyintech.tams.common.svreport.datacheck.service.BaseCheckLib','inDatadict','SHARES_TYPE1','==','SVR_PARTY_TYPE1','投资企业类型（按规模划分）不在值域范围内。','E','Y');</v>
      </c>
    </row>
    <row r="196" spans="1:12" x14ac:dyDescent="0.15">
      <c r="A196" s="9">
        <v>193</v>
      </c>
      <c r="B196" s="21" t="s">
        <v>253</v>
      </c>
      <c r="C196" s="23" t="s">
        <v>1484</v>
      </c>
      <c r="D196" s="22" t="s">
        <v>21</v>
      </c>
      <c r="E196" s="22" t="s">
        <v>22</v>
      </c>
      <c r="F196" s="22" t="s">
        <v>1015</v>
      </c>
      <c r="G196" s="22"/>
      <c r="H196" s="21"/>
      <c r="I196" s="22" t="s">
        <v>23</v>
      </c>
      <c r="J196" s="22" t="s">
        <v>1016</v>
      </c>
      <c r="K196" s="22" t="s">
        <v>24</v>
      </c>
      <c r="L196" s="2" t="str">
        <f t="shared" si="2"/>
        <v>insert into CHB_DATACHECK_RULE (CHECKRULEID,DATATYPE,CHECKCLASS,CHECKMETHOD,SRCPROPERTY,COMPARETO,OBJVALUE,REMARK,STATUS,NULLABLE) values ('W43E4A49-6810-5A9E-E050-007F01006A05','CHB_ASSET_INFO','com.joyintech.tams.common.svreport.datacheck.service.BaseCheckLib','isNotEmpty','SHARES_TYPE2','','','投资企业类型（按经济类型划分）要素不可为空。','E','N');</v>
      </c>
    </row>
    <row r="197" spans="1:12" x14ac:dyDescent="0.15">
      <c r="A197" s="17">
        <v>194</v>
      </c>
      <c r="B197" s="21" t="s">
        <v>254</v>
      </c>
      <c r="C197" s="23" t="s">
        <v>1484</v>
      </c>
      <c r="D197" s="22" t="s">
        <v>21</v>
      </c>
      <c r="E197" s="22" t="s">
        <v>30</v>
      </c>
      <c r="F197" s="22" t="s">
        <v>1015</v>
      </c>
      <c r="G197" s="22"/>
      <c r="H197" s="21" t="s">
        <v>1017</v>
      </c>
      <c r="I197" s="22" t="s">
        <v>27</v>
      </c>
      <c r="J197" s="22" t="s">
        <v>1018</v>
      </c>
      <c r="K197" s="22" t="s">
        <v>24</v>
      </c>
      <c r="L197" s="2" t="str">
        <f t="shared" ref="L197:L260" si="3">CONCATENATE("insert into CHB_DATACHECK_RULE (CHECKRULEID,DATATYPE,CHECKCLASS,CHECKMETHOD,SRCPROPERTY,COMPARETO,OBJVALUE,REMARK,STATUS,NULLABLE) values ('",B197,"','",C197,"','",D197,"','",E197,"','",F197,"','",G197,"','",H197,"','",J197,"','",K197,"','",I197,"');")</f>
        <v>insert into CHB_DATACHECK_RULE (CHECKRULEID,DATATYPE,CHECKCLASS,CHECKMETHOD,SRCPROPERTY,COMPARETO,OBJVALUE,REMARK,STATUS,NULLABLE) values ('W43E4A49-6810-5A9E-E050-007F01006A06','CHB_ASSET_INFO','com.joyintech.tams.common.svreport.datacheck.service.BaseCheckLib','inDatadict','SHARES_TYPE2','','SVR_PARTY_TYPE2','投资企业类型（按经济类型划分）不在值域范围内。','E','Y');</v>
      </c>
    </row>
    <row r="198" spans="1:12" x14ac:dyDescent="0.15">
      <c r="A198" s="9">
        <v>195</v>
      </c>
      <c r="B198" s="21" t="s">
        <v>255</v>
      </c>
      <c r="C198" s="23" t="s">
        <v>1484</v>
      </c>
      <c r="D198" s="22" t="s">
        <v>21</v>
      </c>
      <c r="E198" s="22" t="s">
        <v>22</v>
      </c>
      <c r="F198" s="22" t="s">
        <v>1019</v>
      </c>
      <c r="G198" s="22"/>
      <c r="H198" s="21"/>
      <c r="I198" s="22" t="s">
        <v>23</v>
      </c>
      <c r="J198" s="22" t="s">
        <v>1020</v>
      </c>
      <c r="K198" s="22" t="s">
        <v>24</v>
      </c>
      <c r="L198" s="2" t="str">
        <f t="shared" si="3"/>
        <v>insert into CHB_DATACHECK_RULE (CHECKRULEID,DATATYPE,CHECKCLASS,CHECKMETHOD,SRCPROPERTY,COMPARETO,OBJVALUE,REMARK,STATUS,NULLABLE) values ('W43E4A49-6810-5A9E-E050-007F01006A12','CHB_ASSET_INFO','com.joyintech.tams.common.svreport.datacheck.service.BaseCheckLib','isNotEmpty','SHARES_TYPE3','','','投资企业类型（按技术领域划分）要素不可为空。','E','N');</v>
      </c>
    </row>
    <row r="199" spans="1:12" x14ac:dyDescent="0.15">
      <c r="A199" s="17">
        <v>196</v>
      </c>
      <c r="B199" s="21" t="s">
        <v>256</v>
      </c>
      <c r="C199" s="23" t="s">
        <v>1484</v>
      </c>
      <c r="D199" s="22" t="s">
        <v>21</v>
      </c>
      <c r="E199" s="22" t="s">
        <v>22</v>
      </c>
      <c r="F199" s="22" t="s">
        <v>8</v>
      </c>
      <c r="G199" s="22"/>
      <c r="H199" s="21" t="s">
        <v>26</v>
      </c>
      <c r="I199" s="22" t="s">
        <v>23</v>
      </c>
      <c r="J199" s="22" t="s">
        <v>43</v>
      </c>
      <c r="K199" s="22" t="s">
        <v>24</v>
      </c>
      <c r="L199" s="2" t="str">
        <f t="shared" si="3"/>
        <v>insert into CHB_DATACHECK_RULE (CHECKRULEID,DATATYPE,CHECKCLASS,CHECKMETHOD,SRCPROPERTY,COMPARETO,OBJVALUE,REMARK,STATUS,NULLABLE) values ('W43E4A49-6810-5A9E-E050-007F01006A13','CHB_ASSET_INFO','com.joyintech.tams.common.svreport.datacheck.service.BaseCheckLib','isNotEmpty','REMARK','','0','备注要素不可为空','E','N');</v>
      </c>
    </row>
    <row r="200" spans="1:12" x14ac:dyDescent="0.15">
      <c r="A200" s="9">
        <v>197</v>
      </c>
      <c r="B200" s="21" t="s">
        <v>257</v>
      </c>
      <c r="C200" s="23" t="s">
        <v>1484</v>
      </c>
      <c r="D200" s="22" t="s">
        <v>21</v>
      </c>
      <c r="E200" s="22" t="s">
        <v>22</v>
      </c>
      <c r="F200" s="22" t="s">
        <v>805</v>
      </c>
      <c r="G200" s="22"/>
      <c r="H200" s="21"/>
      <c r="I200" s="22" t="s">
        <v>23</v>
      </c>
      <c r="J200" s="22" t="s">
        <v>977</v>
      </c>
      <c r="K200" s="22" t="s">
        <v>24</v>
      </c>
      <c r="L200" s="2" t="str">
        <f t="shared" si="3"/>
        <v>insert into CHB_DATACHECK_RULE (CHECKRULEID,DATATYPE,CHECKCLASS,CHECKMETHOD,SRCPROPERTY,COMPARETO,OBJVALUE,REMARK,STATUS,NULLABLE) values ('W43E4A49-6810-5A9E-E050-007F01006A18','CHB_ASSET_INFO','com.joyintech.tams.common.svreport.datacheck.service.BaseCheckLib','isNotEmpty','ASSET_ID','','','基金代码要素不可为空','E','N');</v>
      </c>
    </row>
    <row r="201" spans="1:12" x14ac:dyDescent="0.15">
      <c r="A201" s="17">
        <v>198</v>
      </c>
      <c r="B201" s="21" t="s">
        <v>258</v>
      </c>
      <c r="C201" s="23" t="s">
        <v>1484</v>
      </c>
      <c r="D201" s="22" t="s">
        <v>21</v>
      </c>
      <c r="E201" s="22" t="s">
        <v>62</v>
      </c>
      <c r="F201" s="22" t="s">
        <v>807</v>
      </c>
      <c r="G201" s="22"/>
      <c r="H201" s="21" t="s">
        <v>2330</v>
      </c>
      <c r="I201" s="22" t="s">
        <v>23</v>
      </c>
      <c r="J201" s="22" t="s">
        <v>978</v>
      </c>
      <c r="K201" s="22" t="s">
        <v>24</v>
      </c>
      <c r="L201" s="2" t="str">
        <f t="shared" si="3"/>
        <v>insert into CHB_DATACHECK_RULE (CHECKRULEID,DATATYPE,CHECKCLASS,CHECKMETHOD,SRCPROPERTY,COMPARETO,OBJVALUE,REMARK,STATUS,NULLABLE) values ('W43E4A49-6810-5A9E-E050-007F01006A19','CHB_ASSET_INFO','com.joyintech.tams.common.svreport.datacheck.service.BaseCheckLib','lessThanCharLength','ASSET_NAME','','201','基金名称不可为空且不能过长。','E','N');</v>
      </c>
    </row>
    <row r="202" spans="1:12" x14ac:dyDescent="0.15">
      <c r="A202" s="9">
        <v>199</v>
      </c>
      <c r="B202" s="21" t="s">
        <v>259</v>
      </c>
      <c r="C202" s="23" t="s">
        <v>1484</v>
      </c>
      <c r="D202" s="22" t="s">
        <v>21</v>
      </c>
      <c r="E202" s="22" t="s">
        <v>22</v>
      </c>
      <c r="F202" s="22" t="s">
        <v>811</v>
      </c>
      <c r="G202" s="22"/>
      <c r="H202" s="21"/>
      <c r="I202" s="22" t="s">
        <v>23</v>
      </c>
      <c r="J202" s="22" t="s">
        <v>1021</v>
      </c>
      <c r="K202" s="22" t="s">
        <v>24</v>
      </c>
      <c r="L202" s="2" t="str">
        <f t="shared" si="3"/>
        <v>insert into CHB_DATACHECK_RULE (CHECKRULEID,DATATYPE,CHECKCLASS,CHECKMETHOD,SRCPROPERTY,COMPARETO,OBJVALUE,REMARK,STATUS,NULLABLE) values ('W43E4A49-6810-5A9E-E050-007F01006A20','CHB_ASSET_INFO','com.joyintech.tams.common.svreport.datacheck.service.BaseCheckLib','isNotEmpty','INDUSTRY_SHARES2','','','行业要素不可为空','E','N');</v>
      </c>
    </row>
    <row r="203" spans="1:12" x14ac:dyDescent="0.15">
      <c r="A203" s="17">
        <v>200</v>
      </c>
      <c r="B203" s="21" t="s">
        <v>260</v>
      </c>
      <c r="C203" s="23" t="s">
        <v>1484</v>
      </c>
      <c r="D203" s="22" t="s">
        <v>21</v>
      </c>
      <c r="E203" s="22" t="s">
        <v>30</v>
      </c>
      <c r="F203" s="22" t="s">
        <v>979</v>
      </c>
      <c r="G203" s="22" t="s">
        <v>25</v>
      </c>
      <c r="H203" s="21" t="s">
        <v>1022</v>
      </c>
      <c r="I203" s="22" t="s">
        <v>27</v>
      </c>
      <c r="J203" s="22" t="s">
        <v>1023</v>
      </c>
      <c r="K203" s="22" t="s">
        <v>24</v>
      </c>
      <c r="L203" s="2" t="str">
        <f t="shared" si="3"/>
        <v>insert into CHB_DATACHECK_RULE (CHECKRULEID,DATATYPE,CHECKCLASS,CHECKMETHOD,SRCPROPERTY,COMPARETO,OBJVALUE,REMARK,STATUS,NULLABLE) values ('W43E4A49-6810-5A9E-E050-007F01006A21','CHB_ASSET_INFO','com.joyintech.tams.common.svreport.datacheck.service.BaseCheckLib','inDatadict','REGIST_ORG1','==','SVR_REGIST_ORG2','登记备案机构不在值域范围内。','E','Y');</v>
      </c>
    </row>
    <row r="204" spans="1:12" x14ac:dyDescent="0.15">
      <c r="A204" s="9">
        <v>201</v>
      </c>
      <c r="B204" s="21" t="s">
        <v>261</v>
      </c>
      <c r="C204" s="23" t="s">
        <v>1484</v>
      </c>
      <c r="D204" s="22" t="s">
        <v>21</v>
      </c>
      <c r="E204" s="22" t="s">
        <v>30</v>
      </c>
      <c r="F204" s="22" t="s">
        <v>981</v>
      </c>
      <c r="G204" s="22" t="s">
        <v>25</v>
      </c>
      <c r="H204" s="21" t="s">
        <v>814</v>
      </c>
      <c r="I204" s="22" t="s">
        <v>27</v>
      </c>
      <c r="J204" s="22" t="s">
        <v>1024</v>
      </c>
      <c r="K204" s="22" t="s">
        <v>24</v>
      </c>
      <c r="L204" s="2" t="str">
        <f t="shared" si="3"/>
        <v>insert into CHB_DATACHECK_RULE (CHECKRULEID,DATATYPE,CHECKCLASS,CHECKMETHOD,SRCPROPERTY,COMPARETO,OBJVALUE,REMARK,STATUS,NULLABLE) values ('W43E4A49-6810-5A9E-E050-007F01006A22','CHB_ASSET_INFO','com.joyintech.tams.common.svreport.datacheck.service.BaseCheckLib','inDatadict','IS_GOVERN_FUND','==','SVR_YES_OR_NO','是否属于政府投资基金不在值域范围内。','E','Y');</v>
      </c>
    </row>
    <row r="205" spans="1:12" x14ac:dyDescent="0.15">
      <c r="A205" s="17">
        <v>202</v>
      </c>
      <c r="B205" s="21" t="s">
        <v>262</v>
      </c>
      <c r="C205" s="23" t="s">
        <v>1484</v>
      </c>
      <c r="D205" s="22" t="s">
        <v>21</v>
      </c>
      <c r="E205" s="22" t="s">
        <v>62</v>
      </c>
      <c r="F205" s="22" t="s">
        <v>884</v>
      </c>
      <c r="G205" s="22"/>
      <c r="H205" s="21" t="s">
        <v>2330</v>
      </c>
      <c r="I205" s="22" t="s">
        <v>23</v>
      </c>
      <c r="J205" s="22" t="s">
        <v>986</v>
      </c>
      <c r="K205" s="22" t="s">
        <v>24</v>
      </c>
      <c r="L205" s="2" t="str">
        <f t="shared" si="3"/>
        <v>insert into CHB_DATACHECK_RULE (CHECKRULEID,DATATYPE,CHECKCLASS,CHECKMETHOD,SRCPROPERTY,COMPARETO,OBJVALUE,REMARK,STATUS,NULLABLE) values ('W43E4A49-6810-5A9E-E050-007F01006A24','CHB_ASSET_INFO','com.joyintech.tams.common.svreport.datacheck.service.BaseCheckLib','lessThanCharLength','MNG_ORG_NAME','','201','基金管理机构名称不可为空且不能过长。','E','N');</v>
      </c>
    </row>
    <row r="206" spans="1:12" x14ac:dyDescent="0.15">
      <c r="A206" s="9">
        <v>203</v>
      </c>
      <c r="B206" s="21" t="s">
        <v>263</v>
      </c>
      <c r="C206" s="23" t="s">
        <v>1484</v>
      </c>
      <c r="D206" s="22" t="s">
        <v>21</v>
      </c>
      <c r="E206" s="22" t="s">
        <v>62</v>
      </c>
      <c r="F206" s="22" t="s">
        <v>886</v>
      </c>
      <c r="G206" s="22"/>
      <c r="H206" s="21" t="s">
        <v>2330</v>
      </c>
      <c r="I206" s="22" t="s">
        <v>23</v>
      </c>
      <c r="J206" s="22" t="s">
        <v>987</v>
      </c>
      <c r="K206" s="22" t="s">
        <v>24</v>
      </c>
      <c r="L206" s="2" t="str">
        <f t="shared" si="3"/>
        <v>insert into CHB_DATACHECK_RULE (CHECKRULEID,DATATYPE,CHECKCLASS,CHECKMETHOD,SRCPROPERTY,COMPARETO,OBJVALUE,REMARK,STATUS,NULLABLE) values ('W43E4A49-6810-5A9E-E050-007F01006A25','CHB_ASSET_INFO','com.joyintech.tams.common.svreport.datacheck.service.BaseCheckLib','lessThanCharLength','TRU_ORG_NAME','','201','基金托管机构名称不可为空且不能过长。','E','N');</v>
      </c>
    </row>
    <row r="207" spans="1:12" x14ac:dyDescent="0.15">
      <c r="A207" s="17">
        <v>204</v>
      </c>
      <c r="B207" s="21" t="s">
        <v>264</v>
      </c>
      <c r="C207" s="23" t="s">
        <v>1484</v>
      </c>
      <c r="D207" s="22" t="s">
        <v>21</v>
      </c>
      <c r="E207" s="22" t="s">
        <v>62</v>
      </c>
      <c r="F207" s="22" t="s">
        <v>891</v>
      </c>
      <c r="G207" s="22"/>
      <c r="H207" s="21" t="s">
        <v>2339</v>
      </c>
      <c r="I207" s="22" t="s">
        <v>27</v>
      </c>
      <c r="J207" s="22" t="s">
        <v>1025</v>
      </c>
      <c r="K207" s="22" t="s">
        <v>24</v>
      </c>
      <c r="L207" s="2" t="str">
        <f t="shared" si="3"/>
        <v>insert into CHB_DATACHECK_RULE (CHECKRULEID,DATATYPE,CHECKCLASS,CHECKMETHOD,SRCPROPERTY,COMPARETO,OBJVALUE,REMARK,STATUS,NULLABLE) values ('W43E4A49-6810-5A9E-E050-007F01006A26','CHB_ASSET_INFO','com.joyintech.tams.common.svreport.datacheck.service.BaseCheckLib','lessThanCharLength','FUND_INVEST_ASSET','','401','基金投资资产过长','E','Y');</v>
      </c>
    </row>
    <row r="208" spans="1:12" x14ac:dyDescent="0.15">
      <c r="A208" s="9">
        <v>205</v>
      </c>
      <c r="B208" s="21" t="s">
        <v>265</v>
      </c>
      <c r="C208" s="23" t="s">
        <v>1484</v>
      </c>
      <c r="D208" s="22" t="s">
        <v>21</v>
      </c>
      <c r="E208" s="22" t="s">
        <v>62</v>
      </c>
      <c r="F208" s="22" t="s">
        <v>807</v>
      </c>
      <c r="G208" s="22"/>
      <c r="H208" s="21" t="s">
        <v>2330</v>
      </c>
      <c r="I208" s="22" t="s">
        <v>23</v>
      </c>
      <c r="J208" s="22" t="s">
        <v>960</v>
      </c>
      <c r="K208" s="22" t="s">
        <v>24</v>
      </c>
      <c r="L208" s="2" t="str">
        <f t="shared" si="3"/>
        <v>insert into CHB_DATACHECK_RULE (CHECKRULEID,DATATYPE,CHECKCLASS,CHECKMETHOD,SRCPROPERTY,COMPARETO,OBJVALUE,REMARK,STATUS,NULLABLE) values ('W43E4A49-6810-5A9E-E050-007F01006A27','CHB_ASSET_INFO','com.joyintech.tams.common.svreport.datacheck.service.BaseCheckLib','lessThanCharLength','ASSET_NAME','','201','名称不可为空且不能过长。','E','N');</v>
      </c>
    </row>
    <row r="209" spans="1:12" x14ac:dyDescent="0.15">
      <c r="A209" s="17">
        <v>206</v>
      </c>
      <c r="B209" s="21" t="s">
        <v>266</v>
      </c>
      <c r="C209" s="23" t="s">
        <v>1484</v>
      </c>
      <c r="D209" s="22" t="s">
        <v>21</v>
      </c>
      <c r="E209" s="22" t="s">
        <v>30</v>
      </c>
      <c r="F209" s="22" t="s">
        <v>1026</v>
      </c>
      <c r="G209" s="22" t="s">
        <v>25</v>
      </c>
      <c r="H209" s="21" t="s">
        <v>1027</v>
      </c>
      <c r="I209" s="22" t="s">
        <v>27</v>
      </c>
      <c r="J209" s="22" t="s">
        <v>1028</v>
      </c>
      <c r="K209" s="22" t="s">
        <v>24</v>
      </c>
      <c r="L209" s="2" t="str">
        <f t="shared" si="3"/>
        <v>insert into CHB_DATACHECK_RULE (CHECKRULEID,DATATYPE,CHECKCLASS,CHECKMETHOD,SRCPROPERTY,COMPARETO,OBJVALUE,REMARK,STATUS,NULLABLE) values ('W43E4A49-6810-5A9E-E050-007F01006A28','CHB_ASSET_INFO','com.joyintech.tams.common.svreport.datacheck.service.BaseCheckLib','inDatadict','IN_ASSET_TYPE','==','SVR_BANK_IN_ASSET_TYPE','行内资产类别不在值域范围内','E','Y');</v>
      </c>
    </row>
    <row r="210" spans="1:12" x14ac:dyDescent="0.15">
      <c r="A210" s="9">
        <v>207</v>
      </c>
      <c r="B210" s="21" t="s">
        <v>267</v>
      </c>
      <c r="C210" s="23" t="s">
        <v>1484</v>
      </c>
      <c r="D210" s="22" t="s">
        <v>21</v>
      </c>
      <c r="E210" s="22" t="s">
        <v>22</v>
      </c>
      <c r="F210" s="22" t="s">
        <v>888</v>
      </c>
      <c r="G210" s="22"/>
      <c r="H210" s="21"/>
      <c r="I210" s="22" t="s">
        <v>23</v>
      </c>
      <c r="J210" s="22" t="s">
        <v>1029</v>
      </c>
      <c r="K210" s="22" t="s">
        <v>24</v>
      </c>
      <c r="L210" s="2" t="str">
        <f t="shared" si="3"/>
        <v>insert into CHB_DATACHECK_RULE (CHECKRULEID,DATATYPE,CHECKCLASS,CHECKMETHOD,SRCPROPERTY,COMPARETO,OBJVALUE,REMARK,STATUS,NULLABLE) values ('W43E4A49-6810-5A9E-E050-007F01006A29','CHB_ASSET_INFO','com.joyintech.tams.common.svreport.datacheck.service.BaseCheckLib','isNotEmpty','IN_ASSET_TYPE_CMM','','','行内资产类别说明要素不可为空。','E','N');</v>
      </c>
    </row>
    <row r="211" spans="1:12" x14ac:dyDescent="0.15">
      <c r="A211" s="17">
        <v>208</v>
      </c>
      <c r="B211" s="21" t="s">
        <v>268</v>
      </c>
      <c r="C211" s="23" t="s">
        <v>1484</v>
      </c>
      <c r="D211" s="22" t="s">
        <v>21</v>
      </c>
      <c r="E211" s="22" t="s">
        <v>32</v>
      </c>
      <c r="F211" s="22" t="s">
        <v>763</v>
      </c>
      <c r="G211" s="22"/>
      <c r="H211" s="21" t="s">
        <v>36</v>
      </c>
      <c r="I211" s="22" t="s">
        <v>27</v>
      </c>
      <c r="J211" s="22" t="s">
        <v>1030</v>
      </c>
      <c r="K211" s="22" t="s">
        <v>24</v>
      </c>
      <c r="L211" s="2" t="str">
        <f t="shared" si="3"/>
        <v>insert into CHB_DATACHECK_RULE (CHECKRULEID,DATATYPE,CHECKCLASS,CHECKMETHOD,SRCPROPERTY,COMPARETO,OBJVALUE,REMARK,STATUS,NULLABLE) values ('W43E4A49-6810-5A9E-E050-007F01006A30','CHB_ASSET_INFO','com.joyintech.tams.common.svreport.datacheck.service.BaseCheckLib','isNumber2','AMT','','15,2','金额必须为n(15,2)格式。','E','Y');</v>
      </c>
    </row>
    <row r="212" spans="1:12" x14ac:dyDescent="0.15">
      <c r="A212" s="9">
        <v>209</v>
      </c>
      <c r="B212" s="21" t="s">
        <v>269</v>
      </c>
      <c r="C212" s="23" t="s">
        <v>1484</v>
      </c>
      <c r="D212" s="22" t="s">
        <v>21</v>
      </c>
      <c r="E212" s="22" t="s">
        <v>34</v>
      </c>
      <c r="F212" s="22" t="s">
        <v>763</v>
      </c>
      <c r="G212" s="22" t="s">
        <v>35</v>
      </c>
      <c r="H212" s="21" t="s">
        <v>26</v>
      </c>
      <c r="I212" s="22" t="s">
        <v>27</v>
      </c>
      <c r="J212" s="22" t="s">
        <v>1031</v>
      </c>
      <c r="K212" s="22" t="s">
        <v>24</v>
      </c>
      <c r="L212" s="2" t="str">
        <f t="shared" si="3"/>
        <v>insert into CHB_DATACHECK_RULE (CHECKRULEID,DATATYPE,CHECKCLASS,CHECKMETHOD,SRCPROPERTY,COMPARETO,OBJVALUE,REMARK,STATUS,NULLABLE) values ('W43E4A49-6810-5A9E-E050-007F01006A31','CHB_ASSET_INFO','com.joyintech.tams.common.svreport.datacheck.service.BaseCheckLib','compareValueAsNumber','AMT','&gt;=','0','金额必须大于等于0','E','Y');</v>
      </c>
    </row>
    <row r="213" spans="1:12" x14ac:dyDescent="0.15">
      <c r="A213" s="17">
        <v>210</v>
      </c>
      <c r="B213" s="21" t="s">
        <v>270</v>
      </c>
      <c r="C213" s="23" t="s">
        <v>1484</v>
      </c>
      <c r="D213" s="22" t="s">
        <v>21</v>
      </c>
      <c r="E213" s="22" t="s">
        <v>38</v>
      </c>
      <c r="F213" s="22" t="s">
        <v>766</v>
      </c>
      <c r="G213" s="22" t="s">
        <v>25</v>
      </c>
      <c r="H213" s="21" t="s">
        <v>767</v>
      </c>
      <c r="I213" s="22" t="s">
        <v>27</v>
      </c>
      <c r="J213" s="22" t="s">
        <v>788</v>
      </c>
      <c r="K213" s="22" t="s">
        <v>24</v>
      </c>
      <c r="L213" s="2" t="str">
        <f t="shared" si="3"/>
        <v>insert into CHB_DATACHECK_RULE (CHECKRULEID,DATATYPE,CHECKCLASS,CHECKMETHOD,SRCPROPERTY,COMPARETO,OBJVALUE,REMARK,STATUS,NULLABLE) values ('W43E4A49-6810-5A9E-E050-007F01006A32','CHB_ASSET_INFO','com.joyintech.tams.common.svreport.datacheck.service.BaseCheckLib','isValidDate','VDATE','==','yyyy-MM-dd','起息日必须为日期格式（YYYY-MM-DD）。','E','Y');</v>
      </c>
    </row>
    <row r="214" spans="1:12" x14ac:dyDescent="0.15">
      <c r="A214" s="9">
        <v>211</v>
      </c>
      <c r="B214" s="21" t="s">
        <v>271</v>
      </c>
      <c r="C214" s="23" t="s">
        <v>1484</v>
      </c>
      <c r="D214" s="22" t="s">
        <v>21</v>
      </c>
      <c r="E214" s="22" t="s">
        <v>38</v>
      </c>
      <c r="F214" s="22" t="s">
        <v>769</v>
      </c>
      <c r="G214" s="22" t="s">
        <v>25</v>
      </c>
      <c r="H214" s="21" t="s">
        <v>767</v>
      </c>
      <c r="I214" s="22" t="s">
        <v>27</v>
      </c>
      <c r="J214" s="22" t="s">
        <v>770</v>
      </c>
      <c r="K214" s="22" t="s">
        <v>24</v>
      </c>
      <c r="L214" s="2" t="str">
        <f t="shared" si="3"/>
        <v>insert into CHB_DATACHECK_RULE (CHECKRULEID,DATATYPE,CHECKCLASS,CHECKMETHOD,SRCPROPERTY,COMPARETO,OBJVALUE,REMARK,STATUS,NULLABLE) values ('W43E4A49-6810-5A9E-E050-007F01006A33','CHB_ASSET_INFO','com.joyintech.tams.common.svreport.datacheck.service.BaseCheckLib','isValidDate','MDATE','==','yyyy-MM-dd','到期日要素必填且必须为日期格式（YYYY-MM-DD）。','E','Y');</v>
      </c>
    </row>
    <row r="215" spans="1:12" x14ac:dyDescent="0.15">
      <c r="A215" s="17">
        <v>212</v>
      </c>
      <c r="B215" s="21" t="s">
        <v>272</v>
      </c>
      <c r="C215" s="23" t="s">
        <v>1484</v>
      </c>
      <c r="D215" s="22" t="s">
        <v>21</v>
      </c>
      <c r="E215" s="22" t="s">
        <v>39</v>
      </c>
      <c r="F215" s="22" t="s">
        <v>769</v>
      </c>
      <c r="G215" s="22" t="s">
        <v>35</v>
      </c>
      <c r="H215" s="21" t="s">
        <v>766</v>
      </c>
      <c r="I215" s="22" t="s">
        <v>27</v>
      </c>
      <c r="J215" s="22" t="s">
        <v>771</v>
      </c>
      <c r="K215" s="22" t="s">
        <v>24</v>
      </c>
      <c r="L215" s="2" t="str">
        <f t="shared" si="3"/>
        <v>insert into CHB_DATACHECK_RULE (CHECKRULEID,DATATYPE,CHECKCLASS,CHECKMETHOD,SRCPROPERTY,COMPARETO,OBJVALUE,REMARK,STATUS,NULLABLE) values ('W43E4A49-6810-5A9E-E050-007F01006A34','CHB_ASSET_INFO','com.joyintech.tams.common.svreport.datacheck.service.BaseCheckLib','compareProperty','MDATE','&gt;=','VDATE','到期日必须大于等于起息日。','E','Y');</v>
      </c>
    </row>
    <row r="216" spans="1:12" x14ac:dyDescent="0.15">
      <c r="A216" s="9">
        <v>213</v>
      </c>
      <c r="B216" s="21" t="s">
        <v>273</v>
      </c>
      <c r="C216" s="23" t="s">
        <v>1484</v>
      </c>
      <c r="D216" s="22" t="s">
        <v>21</v>
      </c>
      <c r="E216" s="22" t="s">
        <v>30</v>
      </c>
      <c r="F216" s="22" t="s">
        <v>803</v>
      </c>
      <c r="G216" s="22" t="s">
        <v>25</v>
      </c>
      <c r="H216" s="21" t="s">
        <v>58</v>
      </c>
      <c r="I216" s="22" t="s">
        <v>23</v>
      </c>
      <c r="J216" s="22" t="s">
        <v>804</v>
      </c>
      <c r="K216" s="22" t="s">
        <v>24</v>
      </c>
      <c r="L216" s="2" t="str">
        <f t="shared" si="3"/>
        <v>insert into CHB_DATACHECK_RULE (CHECKRULEID,DATATYPE,CHECKCLASS,CHECKMETHOD,SRCPROPERTY,COMPARETO,OBJVALUE,REMARK,STATUS,NULLABLE) values ('W43E4A49-6810-5A9E-E050-007F01006A35','CHB_ASSET_INFO','com.joyintech.tams.common.svreport.datacheck.service.BaseCheckLib','inDatadict','COUNTRY_AREA','==','SVR_COUNTRY_AREA','所属国家或地区必填或不在值域范围内。','E','N');</v>
      </c>
    </row>
    <row r="217" spans="1:12" x14ac:dyDescent="0.15">
      <c r="A217" s="17">
        <v>214</v>
      </c>
      <c r="B217" s="21" t="s">
        <v>274</v>
      </c>
      <c r="C217" s="23" t="s">
        <v>1484</v>
      </c>
      <c r="D217" s="22" t="s">
        <v>21</v>
      </c>
      <c r="E217" s="22" t="s">
        <v>22</v>
      </c>
      <c r="F217" s="22" t="s">
        <v>1032</v>
      </c>
      <c r="G217" s="22"/>
      <c r="H217" s="21"/>
      <c r="I217" s="22" t="s">
        <v>23</v>
      </c>
      <c r="J217" s="22" t="s">
        <v>1033</v>
      </c>
      <c r="K217" s="22" t="s">
        <v>24</v>
      </c>
      <c r="L217" s="2" t="str">
        <f t="shared" si="3"/>
        <v>insert into CHB_DATACHECK_RULE (CHECKRULEID,DATATYPE,CHECKCLASS,CHECKMETHOD,SRCPROPERTY,COMPARETO,OBJVALUE,REMARK,STATUS,NULLABLE) values ('W43E4A49-6810-5A9E-E050-007F01006A36','CHB_ASSET_INFO','com.joyintech.tams.common.svreport.datacheck.service.BaseCheckLib','isNotEmpty','RATE_FLAG','','','是否有预期收益率不可为空','E','N');</v>
      </c>
    </row>
    <row r="218" spans="1:12" x14ac:dyDescent="0.15">
      <c r="A218" s="9">
        <v>215</v>
      </c>
      <c r="B218" s="21" t="s">
        <v>275</v>
      </c>
      <c r="C218" s="23" t="s">
        <v>1484</v>
      </c>
      <c r="D218" s="22" t="s">
        <v>21</v>
      </c>
      <c r="E218" s="22" t="s">
        <v>32</v>
      </c>
      <c r="F218" s="22" t="s">
        <v>772</v>
      </c>
      <c r="G218" s="22"/>
      <c r="H218" s="21" t="s">
        <v>33</v>
      </c>
      <c r="I218" s="22" t="s">
        <v>27</v>
      </c>
      <c r="J218" s="22" t="s">
        <v>1034</v>
      </c>
      <c r="K218" s="22" t="s">
        <v>24</v>
      </c>
      <c r="L218" s="2" t="str">
        <f t="shared" si="3"/>
        <v>insert into CHB_DATACHECK_RULE (CHECKRULEID,DATATYPE,CHECKCLASS,CHECKMETHOD,SRCPROPERTY,COMPARETO,OBJVALUE,REMARK,STATUS,NULLABLE) values ('W43E4A49-6810-5A9E-E050-007F01006A37','CHB_ASSET_INFO','com.joyintech.tams.common.svreport.datacheck.service.BaseCheckLib','isNumber2','ASSET_YIELD','','8,5','项目收益率（利率）%以百分数形式表示时必须为n（8,5）格式。','E','Y');</v>
      </c>
    </row>
    <row r="219" spans="1:12" x14ac:dyDescent="0.15">
      <c r="A219" s="17">
        <v>216</v>
      </c>
      <c r="B219" s="21" t="s">
        <v>276</v>
      </c>
      <c r="C219" s="23" t="s">
        <v>1484</v>
      </c>
      <c r="D219" s="22" t="s">
        <v>21</v>
      </c>
      <c r="E219" s="22" t="s">
        <v>62</v>
      </c>
      <c r="F219" s="22" t="s">
        <v>772</v>
      </c>
      <c r="G219" s="22" t="s">
        <v>25</v>
      </c>
      <c r="H219" s="21" t="s">
        <v>26</v>
      </c>
      <c r="I219" s="22" t="s">
        <v>27</v>
      </c>
      <c r="J219" s="22" t="s">
        <v>1035</v>
      </c>
      <c r="K219" s="22" t="s">
        <v>24</v>
      </c>
      <c r="L219" s="2" t="str">
        <f t="shared" si="3"/>
        <v>insert into CHB_DATACHECK_RULE (CHECKRULEID,DATATYPE,CHECKCLASS,CHECKMETHOD,SRCPROPERTY,COMPARETO,OBJVALUE,REMARK,STATUS,NULLABLE) values ('W43E4A49-6810-5A9E-E050-007F01006A38','CHB_ASSET_INFO','com.joyintech.tams.common.svreport.datacheck.service.BaseCheckLib','lessThanCharLength','ASSET_YIELD','==','0','项目收益率（利率）%要素必须为空。','E','Y');</v>
      </c>
    </row>
    <row r="220" spans="1:12" x14ac:dyDescent="0.15">
      <c r="A220" s="9">
        <v>217</v>
      </c>
      <c r="B220" s="21" t="s">
        <v>277</v>
      </c>
      <c r="C220" s="23" t="s">
        <v>1484</v>
      </c>
      <c r="D220" s="22" t="s">
        <v>21</v>
      </c>
      <c r="E220" s="22" t="s">
        <v>2490</v>
      </c>
      <c r="F220" s="22" t="s">
        <v>926</v>
      </c>
      <c r="G220" s="22"/>
      <c r="H220" s="21" t="s">
        <v>927</v>
      </c>
      <c r="I220" s="22" t="s">
        <v>27</v>
      </c>
      <c r="J220" s="22" t="s">
        <v>928</v>
      </c>
      <c r="K220" s="22" t="s">
        <v>24</v>
      </c>
      <c r="L220" s="2" t="str">
        <f t="shared" si="3"/>
        <v>insert into CHB_DATACHECK_RULE (CHECKRULEID,DATATYPE,CHECKCLASS,CHECKMETHOD,SRCPROPERTY,COMPARETO,OBJVALUE,REMARK,STATUS,NULLABLE) values ('W43E4A49-6810-5A9E-E050-007F01006A39','CHB_ASSET_INFO','com.joyintech.tams.common.svreport.datacheck.service.BaseCheckLib','isNumber2','INTPAY_CYCLE','','2,0','付息频率（个月/次）必须为n..2格式。','E','Y');</v>
      </c>
    </row>
    <row r="221" spans="1:12" x14ac:dyDescent="0.15">
      <c r="A221" s="17">
        <v>218</v>
      </c>
      <c r="B221" s="21" t="s">
        <v>278</v>
      </c>
      <c r="C221" s="23" t="s">
        <v>1484</v>
      </c>
      <c r="D221" s="22" t="s">
        <v>21</v>
      </c>
      <c r="E221" s="22" t="s">
        <v>34</v>
      </c>
      <c r="F221" s="22" t="s">
        <v>926</v>
      </c>
      <c r="G221" s="22" t="s">
        <v>35</v>
      </c>
      <c r="H221" s="21" t="s">
        <v>26</v>
      </c>
      <c r="I221" s="22" t="s">
        <v>27</v>
      </c>
      <c r="J221" s="22" t="s">
        <v>929</v>
      </c>
      <c r="K221" s="22" t="s">
        <v>24</v>
      </c>
      <c r="L221" s="2" t="str">
        <f t="shared" si="3"/>
        <v>insert into CHB_DATACHECK_RULE (CHECKRULEID,DATATYPE,CHECKCLASS,CHECKMETHOD,SRCPROPERTY,COMPARETO,OBJVALUE,REMARK,STATUS,NULLABLE) values ('W43E4A49-6810-5A9E-E050-007F01006A40','CHB_ASSET_INFO','com.joyintech.tams.common.svreport.datacheck.service.BaseCheckLib','compareValueAsNumber','INTPAY_CYCLE','&gt;=','0','付息频率（个月/次）必须大于等于0。','E','Y');</v>
      </c>
    </row>
    <row r="222" spans="1:12" x14ac:dyDescent="0.15">
      <c r="A222" s="9">
        <v>219</v>
      </c>
      <c r="B222" s="21" t="s">
        <v>279</v>
      </c>
      <c r="C222" s="23" t="s">
        <v>1484</v>
      </c>
      <c r="D222" s="22" t="s">
        <v>21</v>
      </c>
      <c r="E222" s="22" t="s">
        <v>62</v>
      </c>
      <c r="F222" s="22" t="s">
        <v>846</v>
      </c>
      <c r="G222" s="22"/>
      <c r="H222" s="21" t="s">
        <v>2330</v>
      </c>
      <c r="I222" s="22" t="s">
        <v>23</v>
      </c>
      <c r="J222" s="22" t="s">
        <v>1036</v>
      </c>
      <c r="K222" s="22" t="s">
        <v>24</v>
      </c>
      <c r="L222" s="2" t="str">
        <f t="shared" si="3"/>
        <v>insert into CHB_DATACHECK_RULE (CHECKRULEID,DATATYPE,CHECKCLASS,CHECKMETHOD,SRCPROPERTY,COMPARETO,OBJVALUE,REMARK,STATUS,NULLABLE) values ('W43E4A49-6810-5A9E-E050-007F01006A41','CHB_ASSET_INFO','com.joyintech.tams.common.svreport.datacheck.service.BaseCheckLib','lessThanCharLength','FINANCIE','','201','融资人要素不可为空，且长度不超过200','E','N');</v>
      </c>
    </row>
    <row r="223" spans="1:12" x14ac:dyDescent="0.15">
      <c r="A223" s="17">
        <v>220</v>
      </c>
      <c r="B223" s="21" t="s">
        <v>280</v>
      </c>
      <c r="C223" s="23" t="s">
        <v>1484</v>
      </c>
      <c r="D223" s="22" t="s">
        <v>21</v>
      </c>
      <c r="E223" s="22" t="s">
        <v>22</v>
      </c>
      <c r="F223" s="22" t="s">
        <v>1037</v>
      </c>
      <c r="G223" s="22"/>
      <c r="H223" s="21"/>
      <c r="I223" s="22" t="s">
        <v>23</v>
      </c>
      <c r="J223" s="22" t="s">
        <v>1038</v>
      </c>
      <c r="K223" s="22" t="s">
        <v>24</v>
      </c>
      <c r="L223" s="2" t="str">
        <f t="shared" si="3"/>
        <v>insert into CHB_DATACHECK_RULE (CHECKRULEID,DATATYPE,CHECKCLASS,CHECKMETHOD,SRCPROPERTY,COMPARETO,OBJVALUE,REMARK,STATUS,NULLABLE) values ('W43E4A49-6810-5A9E-E050-007F01006A42','CHB_ASSET_INFO','com.joyintech.tams.common.svreport.datacheck.service.BaseCheckLib','isNotEmpty','FIN_ORG_CODE','','','融资人组织机构代码不可为空。','E','N');</v>
      </c>
    </row>
    <row r="224" spans="1:12" x14ac:dyDescent="0.15">
      <c r="A224" s="9">
        <v>221</v>
      </c>
      <c r="B224" s="21" t="s">
        <v>281</v>
      </c>
      <c r="C224" s="23" t="s">
        <v>1484</v>
      </c>
      <c r="D224" s="22" t="s">
        <v>21</v>
      </c>
      <c r="E224" s="22" t="s">
        <v>62</v>
      </c>
      <c r="F224" s="22" t="s">
        <v>850</v>
      </c>
      <c r="G224" s="22"/>
      <c r="H224" s="21" t="s">
        <v>2330</v>
      </c>
      <c r="I224" s="22" t="s">
        <v>27</v>
      </c>
      <c r="J224" s="22" t="s">
        <v>1039</v>
      </c>
      <c r="K224" s="22" t="s">
        <v>24</v>
      </c>
      <c r="L224" s="2" t="str">
        <f t="shared" si="3"/>
        <v>insert into CHB_DATACHECK_RULE (CHECKRULEID,DATATYPE,CHECKCLASS,CHECKMETHOD,SRCPROPERTY,COMPARETO,OBJVALUE,REMARK,STATUS,NULLABLE) values ('W43E4A49-6810-5A9E-E050-007F01006A43','CHB_ASSET_INFO','com.joyintech.tams.common.svreport.datacheck.service.BaseCheckLib','lessThanCharLength','FCR_GRADE_OUT','','201','外部评级机构名称及对融资人评级结果过长','E','Y');</v>
      </c>
    </row>
    <row r="225" spans="1:12" x14ac:dyDescent="0.15">
      <c r="A225" s="17">
        <v>222</v>
      </c>
      <c r="B225" s="21" t="s">
        <v>282</v>
      </c>
      <c r="C225" s="23" t="s">
        <v>1484</v>
      </c>
      <c r="D225" s="22" t="s">
        <v>21</v>
      </c>
      <c r="E225" s="22" t="s">
        <v>30</v>
      </c>
      <c r="F225" s="22" t="s">
        <v>1040</v>
      </c>
      <c r="G225" s="22" t="s">
        <v>25</v>
      </c>
      <c r="H225" s="21" t="s">
        <v>1013</v>
      </c>
      <c r="I225" s="22" t="s">
        <v>23</v>
      </c>
      <c r="J225" s="22" t="s">
        <v>1041</v>
      </c>
      <c r="K225" s="22" t="s">
        <v>24</v>
      </c>
      <c r="L225" s="2" t="str">
        <f t="shared" si="3"/>
        <v>insert into CHB_DATACHECK_RULE (CHECKRULEID,DATATYPE,CHECKCLASS,CHECKMETHOD,SRCPROPERTY,COMPARETO,OBJVALUE,REMARK,STATUS,NULLABLE) values ('W43E4A49-6810-5A9E-E050-007F01006A44','CHB_ASSET_INFO','com.joyintech.tams.common.svreport.datacheck.service.BaseCheckLib','inDatadict','FINANCIER_TYPE1','==','SVR_PARTY_TYPE1','融资人类型（按规模划分）要素不可为空,且必须在值域范围内。','E','N');</v>
      </c>
    </row>
    <row r="226" spans="1:12" x14ac:dyDescent="0.15">
      <c r="A226" s="9">
        <v>223</v>
      </c>
      <c r="B226" s="21" t="s">
        <v>283</v>
      </c>
      <c r="C226" s="23" t="s">
        <v>1484</v>
      </c>
      <c r="D226" s="22" t="s">
        <v>21</v>
      </c>
      <c r="E226" s="22" t="s">
        <v>30</v>
      </c>
      <c r="F226" s="22" t="s">
        <v>1042</v>
      </c>
      <c r="G226" s="22" t="s">
        <v>25</v>
      </c>
      <c r="H226" s="21" t="s">
        <v>1043</v>
      </c>
      <c r="I226" s="22" t="s">
        <v>23</v>
      </c>
      <c r="J226" s="22" t="s">
        <v>1044</v>
      </c>
      <c r="K226" s="22" t="s">
        <v>24</v>
      </c>
      <c r="L226" s="2" t="str">
        <f t="shared" si="3"/>
        <v>insert into CHB_DATACHECK_RULE (CHECKRULEID,DATATYPE,CHECKCLASS,CHECKMETHOD,SRCPROPERTY,COMPARETO,OBJVALUE,REMARK,STATUS,NULLABLE) values ('W43E4A49-6810-5A9E-E050-007F01006A45','CHB_ASSET_INFO','com.joyintech.tams.common.svreport.datacheck.service.BaseCheckLib','inDatadict','FINANCIER_TYPE2','==','SVR_PARTY_TYPE3','融资人类型（按技术领域划分）要素不可为空，且必须在值域范围内。','E','N');</v>
      </c>
    </row>
    <row r="227" spans="1:12" x14ac:dyDescent="0.15">
      <c r="A227" s="17">
        <v>224</v>
      </c>
      <c r="B227" s="21" t="s">
        <v>284</v>
      </c>
      <c r="C227" s="23" t="s">
        <v>1484</v>
      </c>
      <c r="D227" s="22" t="s">
        <v>21</v>
      </c>
      <c r="E227" s="22" t="s">
        <v>30</v>
      </c>
      <c r="F227" s="22" t="s">
        <v>1045</v>
      </c>
      <c r="G227" s="22" t="s">
        <v>25</v>
      </c>
      <c r="H227" s="21" t="s">
        <v>1017</v>
      </c>
      <c r="I227" s="22" t="s">
        <v>23</v>
      </c>
      <c r="J227" s="22" t="s">
        <v>1046</v>
      </c>
      <c r="K227" s="22" t="s">
        <v>24</v>
      </c>
      <c r="L227" s="2" t="str">
        <f t="shared" si="3"/>
        <v>insert into CHB_DATACHECK_RULE (CHECKRULEID,DATATYPE,CHECKCLASS,CHECKMETHOD,SRCPROPERTY,COMPARETO,OBJVALUE,REMARK,STATUS,NULLABLE) values ('W43E4A49-6810-5A9E-E050-007F01006A46','CHB_ASSET_INFO','com.joyintech.tams.common.svreport.datacheck.service.BaseCheckLib','inDatadict','FINANCIER_TYPE3','==','SVR_PARTY_TYPE2','融资人类型（按经济类型划分）要素不可为空，且必须在值域范围内。','E','N');</v>
      </c>
    </row>
    <row r="228" spans="1:12" x14ac:dyDescent="0.15">
      <c r="A228" s="9">
        <v>225</v>
      </c>
      <c r="B228" s="21" t="s">
        <v>285</v>
      </c>
      <c r="C228" s="23" t="s">
        <v>1484</v>
      </c>
      <c r="D228" s="22" t="s">
        <v>21</v>
      </c>
      <c r="E228" s="22" t="s">
        <v>62</v>
      </c>
      <c r="F228" s="22" t="s">
        <v>852</v>
      </c>
      <c r="G228" s="22"/>
      <c r="H228" s="21" t="s">
        <v>2330</v>
      </c>
      <c r="I228" s="22" t="s">
        <v>23</v>
      </c>
      <c r="J228" s="22" t="s">
        <v>1047</v>
      </c>
      <c r="K228" s="22" t="s">
        <v>24</v>
      </c>
      <c r="L228" s="2" t="str">
        <f t="shared" si="3"/>
        <v>insert into CHB_DATACHECK_RULE (CHECKRULEID,DATATYPE,CHECKCLASS,CHECKMETHOD,SRCPROPERTY,COMPARETO,OBJVALUE,REMARK,STATUS,NULLABLE) values ('W43E4A49-6810-5A9E-E050-007F01006A47','CHB_ASSET_INFO','com.joyintech.tams.common.svreport.datacheck.service.BaseCheckLib','lessThanCharLength','FINANCE_PROJ','','201','融资项目要素不可为空且不可过长','E','N');</v>
      </c>
    </row>
    <row r="229" spans="1:12" x14ac:dyDescent="0.15">
      <c r="A229" s="17">
        <v>226</v>
      </c>
      <c r="B229" s="21" t="s">
        <v>286</v>
      </c>
      <c r="C229" s="23" t="s">
        <v>1484</v>
      </c>
      <c r="D229" s="22" t="s">
        <v>21</v>
      </c>
      <c r="E229" s="22" t="s">
        <v>22</v>
      </c>
      <c r="F229" s="22" t="s">
        <v>1048</v>
      </c>
      <c r="G229" s="22"/>
      <c r="H229" s="21"/>
      <c r="I229" s="22" t="s">
        <v>23</v>
      </c>
      <c r="J229" s="22" t="s">
        <v>1049</v>
      </c>
      <c r="K229" s="22" t="s">
        <v>24</v>
      </c>
      <c r="L229" s="2" t="str">
        <f t="shared" si="3"/>
        <v>insert into CHB_DATACHECK_RULE (CHECKRULEID,DATATYPE,CHECKCLASS,CHECKMETHOD,SRCPROPERTY,COMPARETO,OBJVALUE,REMARK,STATUS,NULLABLE) values ('W43E4A49-6810-5A9E-E050-007F01006A48','CHB_ASSET_INFO','com.joyintech.tams.common.svreport.datacheck.service.BaseCheckLib','isNotEmpty','INDUSTRY_LEVEL2_TYPE','','','融资人所属行业（其他）要素不可为空','E','N');</v>
      </c>
    </row>
    <row r="230" spans="1:12" x14ac:dyDescent="0.15">
      <c r="A230" s="9">
        <v>227</v>
      </c>
      <c r="B230" s="21" t="s">
        <v>287</v>
      </c>
      <c r="C230" s="23" t="s">
        <v>1484</v>
      </c>
      <c r="D230" s="22" t="s">
        <v>21</v>
      </c>
      <c r="E230" s="22" t="s">
        <v>22</v>
      </c>
      <c r="F230" s="22" t="s">
        <v>1050</v>
      </c>
      <c r="G230" s="22"/>
      <c r="H230" s="21"/>
      <c r="I230" s="22" t="s">
        <v>23</v>
      </c>
      <c r="J230" s="22" t="s">
        <v>1051</v>
      </c>
      <c r="K230" s="22" t="s">
        <v>24</v>
      </c>
      <c r="L230" s="2" t="str">
        <f t="shared" si="3"/>
        <v>insert into CHB_DATACHECK_RULE (CHECKRULEID,DATATYPE,CHECKCLASS,CHECKMETHOD,SRCPROPERTY,COMPARETO,OBJVALUE,REMARK,STATUS,NULLABLE) values ('W43E4A49-6810-5A9E-E050-007F01006A49','CHB_ASSET_INFO','com.joyintech.tams.common.svreport.datacheck.service.BaseCheckLib','isNotEmpty','PRO_INDUSTRY_LEVEL2','','','融资项目所属行业要素不可为空。','E','N');</v>
      </c>
    </row>
    <row r="231" spans="1:12" x14ac:dyDescent="0.15">
      <c r="A231" s="17">
        <v>228</v>
      </c>
      <c r="B231" s="21" t="s">
        <v>288</v>
      </c>
      <c r="C231" s="23" t="s">
        <v>1484</v>
      </c>
      <c r="D231" s="22" t="s">
        <v>21</v>
      </c>
      <c r="E231" s="22" t="s">
        <v>30</v>
      </c>
      <c r="F231" s="22" t="s">
        <v>1052</v>
      </c>
      <c r="G231" s="22" t="s">
        <v>25</v>
      </c>
      <c r="H231" s="21" t="s">
        <v>814</v>
      </c>
      <c r="I231" s="22" t="s">
        <v>23</v>
      </c>
      <c r="J231" s="22" t="s">
        <v>1053</v>
      </c>
      <c r="K231" s="22" t="s">
        <v>24</v>
      </c>
      <c r="L231" s="2" t="str">
        <f t="shared" si="3"/>
        <v>insert into CHB_DATACHECK_RULE (CHECKRULEID,DATATYPE,CHECKCLASS,CHECKMETHOD,SRCPROPERTY,COMPARETO,OBJVALUE,REMARK,STATUS,NULLABLE) values ('W43E4A49-6810-5A9E-E050-007F01006A50','CHB_ASSET_INFO','com.joyintech.tams.common.svreport.datacheck.service.BaseCheckLib','inDatadict','INDUSTRY_FLAG','==','SVR_YES_OR_NO','项目是否属于重点监控行业和领域要素不可为空，且必须在值域范围内。','E','N');</v>
      </c>
    </row>
    <row r="232" spans="1:12" x14ac:dyDescent="0.15">
      <c r="A232" s="9">
        <v>229</v>
      </c>
      <c r="B232" s="21" t="s">
        <v>289</v>
      </c>
      <c r="C232" s="23" t="s">
        <v>1484</v>
      </c>
      <c r="D232" s="22" t="s">
        <v>21</v>
      </c>
      <c r="E232" s="22" t="s">
        <v>22</v>
      </c>
      <c r="F232" s="22" t="s">
        <v>1054</v>
      </c>
      <c r="G232" s="22"/>
      <c r="H232" s="21"/>
      <c r="I232" s="22" t="s">
        <v>23</v>
      </c>
      <c r="J232" s="22" t="s">
        <v>1055</v>
      </c>
      <c r="K232" s="22" t="s">
        <v>24</v>
      </c>
      <c r="L232" s="2" t="str">
        <f t="shared" si="3"/>
        <v>insert into CHB_DATACHECK_RULE (CHECKRULEID,DATATYPE,CHECKCLASS,CHECKMETHOD,SRCPROPERTY,COMPARETO,OBJVALUE,REMARK,STATUS,NULLABLE) values ('W43E4A49-6810-5A9E-E050-007F01006A51','CHB_ASSET_INFO','com.joyintech.tams.common.svreport.datacheck.service.BaseCheckLib','isNotEmpty','MONIT_TYPE','','','重点监控行业和领域类别要素不可为空。','E','N');</v>
      </c>
    </row>
    <row r="233" spans="1:12" x14ac:dyDescent="0.15">
      <c r="A233" s="17">
        <v>230</v>
      </c>
      <c r="B233" s="21" t="s">
        <v>290</v>
      </c>
      <c r="C233" s="23" t="s">
        <v>1484</v>
      </c>
      <c r="D233" s="22" t="s">
        <v>21</v>
      </c>
      <c r="E233" s="22" t="s">
        <v>62</v>
      </c>
      <c r="F233" s="22" t="s">
        <v>1054</v>
      </c>
      <c r="G233" s="22" t="s">
        <v>25</v>
      </c>
      <c r="H233" s="21" t="s">
        <v>26</v>
      </c>
      <c r="I233" s="22" t="s">
        <v>27</v>
      </c>
      <c r="J233" s="22" t="s">
        <v>1056</v>
      </c>
      <c r="K233" s="22" t="s">
        <v>24</v>
      </c>
      <c r="L233" s="2" t="str">
        <f t="shared" si="3"/>
        <v>insert into CHB_DATACHECK_RULE (CHECKRULEID,DATATYPE,CHECKCLASS,CHECKMETHOD,SRCPROPERTY,COMPARETO,OBJVALUE,REMARK,STATUS,NULLABLE) values ('W43E4A49-6810-5A9E-E050-007F01006A52','CHB_ASSET_INFO','com.joyintech.tams.common.svreport.datacheck.service.BaseCheckLib','lessThanCharLength','MONIT_TYPE','==','0','重点监控行业和领域类别要素必须为空。','E','Y');</v>
      </c>
    </row>
    <row r="234" spans="1:12" x14ac:dyDescent="0.15">
      <c r="A234" s="9">
        <v>231</v>
      </c>
      <c r="B234" s="21" t="s">
        <v>291</v>
      </c>
      <c r="C234" s="23" t="s">
        <v>1484</v>
      </c>
      <c r="D234" s="22" t="s">
        <v>21</v>
      </c>
      <c r="E234" s="22" t="s">
        <v>22</v>
      </c>
      <c r="F234" s="22" t="s">
        <v>900</v>
      </c>
      <c r="G234" s="22"/>
      <c r="H234" s="21"/>
      <c r="I234" s="22" t="s">
        <v>23</v>
      </c>
      <c r="J234" s="22" t="s">
        <v>1057</v>
      </c>
      <c r="K234" s="22" t="s">
        <v>24</v>
      </c>
      <c r="L234" s="2" t="str">
        <f t="shared" si="3"/>
        <v>insert into CHB_DATACHECK_RULE (CHECKRULEID,DATATYPE,CHECKCLASS,CHECKMETHOD,SRCPROPERTY,COMPARETO,OBJVALUE,REMARK,STATUS,NULLABLE) values ('W43E4A49-6810-5A9E-E050-007F01006A53','CHB_ASSET_INFO','com.joyintech.tams.common.svreport.datacheck.service.BaseCheckLib','isNotEmpty','MON_TYPE_COMM','','','重点监控行业和领域类别说明要素不可为空。','E','N');</v>
      </c>
    </row>
    <row r="235" spans="1:12" x14ac:dyDescent="0.15">
      <c r="A235" s="17">
        <v>232</v>
      </c>
      <c r="B235" s="21" t="s">
        <v>292</v>
      </c>
      <c r="C235" s="23" t="s">
        <v>1484</v>
      </c>
      <c r="D235" s="22" t="s">
        <v>21</v>
      </c>
      <c r="E235" s="22" t="s">
        <v>30</v>
      </c>
      <c r="F235" s="22" t="s">
        <v>1058</v>
      </c>
      <c r="G235" s="22"/>
      <c r="H235" s="21" t="s">
        <v>1059</v>
      </c>
      <c r="I235" s="22" t="s">
        <v>23</v>
      </c>
      <c r="J235" s="22" t="s">
        <v>1060</v>
      </c>
      <c r="K235" s="22" t="s">
        <v>24</v>
      </c>
      <c r="L235" s="2" t="str">
        <f t="shared" si="3"/>
        <v>insert into CHB_DATACHECK_RULE (CHECKRULEID,DATATYPE,CHECKCLASS,CHECKMETHOD,SRCPROPERTY,COMPARETO,OBJVALUE,REMARK,STATUS,NULLABLE) values ('W43E4A49-6810-5A9E-E050-007F01006A55','CHB_ASSET_INFO','com.joyintech.tams.common.svreport.datacheck.service.BaseCheckLib','inDatadict','OUT_GRADE','','SVR_MAIN_GRADE','资产外部评级要素不可为空，且必须在值域范围内','E','N');</v>
      </c>
    </row>
    <row r="236" spans="1:12" s="15" customFormat="1" x14ac:dyDescent="0.15">
      <c r="A236" s="9">
        <v>233</v>
      </c>
      <c r="B236" s="21" t="s">
        <v>2292</v>
      </c>
      <c r="C236" s="23" t="s">
        <v>1484</v>
      </c>
      <c r="D236" s="22" t="s">
        <v>21</v>
      </c>
      <c r="E236" s="22" t="s">
        <v>38</v>
      </c>
      <c r="F236" s="22" t="s">
        <v>769</v>
      </c>
      <c r="G236" s="22" t="s">
        <v>25</v>
      </c>
      <c r="H236" s="21" t="s">
        <v>767</v>
      </c>
      <c r="I236" s="22" t="s">
        <v>27</v>
      </c>
      <c r="J236" s="22" t="s">
        <v>770</v>
      </c>
      <c r="K236" s="22" t="s">
        <v>24</v>
      </c>
      <c r="L236" s="14" t="str">
        <f t="shared" si="3"/>
        <v>insert into CHB_DATACHECK_RULE (CHECKRULEID,DATATYPE,CHECKCLASS,CHECKMETHOD,SRCPROPERTY,COMPARETO,OBJVALUE,REMARK,STATUS,NULLABLE) values ('W43E4A49-6810-5A9E-E050-007F01006A68','CHB_ASSET_INFO','com.joyintech.tams.common.svreport.datacheck.service.BaseCheckLib','isValidDate','MDATE','==','yyyy-MM-dd','到期日要素必填且必须为日期格式（YYYY-MM-DD）。','E','Y');</v>
      </c>
    </row>
    <row r="237" spans="1:12" s="15" customFormat="1" x14ac:dyDescent="0.15">
      <c r="A237" s="17">
        <v>234</v>
      </c>
      <c r="B237" s="21" t="s">
        <v>293</v>
      </c>
      <c r="C237" s="23" t="s">
        <v>1484</v>
      </c>
      <c r="D237" s="22" t="s">
        <v>21</v>
      </c>
      <c r="E237" s="22" t="s">
        <v>62</v>
      </c>
      <c r="F237" s="22" t="s">
        <v>2472</v>
      </c>
      <c r="G237" s="22"/>
      <c r="H237" s="21" t="s">
        <v>2331</v>
      </c>
      <c r="I237" s="22" t="s">
        <v>27</v>
      </c>
      <c r="J237" s="22" t="s">
        <v>1061</v>
      </c>
      <c r="K237" s="22" t="s">
        <v>24</v>
      </c>
      <c r="L237" s="14" t="str">
        <f t="shared" si="3"/>
        <v>insert into CHB_DATACHECK_RULE (CHECKRULEID,DATATYPE,CHECKCLASS,CHECKMETHOD,SRCPROPERTY,COMPARETO,OBJVALUE,REMARK,STATUS,NULLABLE) values ('W43E4A49-6810-5A9E-E050-007F01006B41','CHB_ASSET_INFO','com.joyintech.tams.common.svreport.datacheck.service.BaseCheckLib','lessThanCharLength','IN_ASSET_TYPE_CMM','','257','行内资产类别说明过长','E','Y');</v>
      </c>
    </row>
    <row r="238" spans="1:12" x14ac:dyDescent="0.15">
      <c r="A238" s="9">
        <v>235</v>
      </c>
      <c r="B238" s="21" t="s">
        <v>294</v>
      </c>
      <c r="C238" s="23" t="s">
        <v>1484</v>
      </c>
      <c r="D238" s="22" t="s">
        <v>21</v>
      </c>
      <c r="E238" s="22" t="s">
        <v>30</v>
      </c>
      <c r="F238" s="22" t="s">
        <v>1019</v>
      </c>
      <c r="G238" s="22"/>
      <c r="H238" s="21" t="s">
        <v>1043</v>
      </c>
      <c r="I238" s="22" t="s">
        <v>27</v>
      </c>
      <c r="J238" s="22" t="s">
        <v>1062</v>
      </c>
      <c r="K238" s="22" t="s">
        <v>24</v>
      </c>
      <c r="L238" s="2" t="str">
        <f t="shared" si="3"/>
        <v>insert into CHB_DATACHECK_RULE (CHECKRULEID,DATATYPE,CHECKCLASS,CHECKMETHOD,SRCPROPERTY,COMPARETO,OBJVALUE,REMARK,STATUS,NULLABLE) values ('W43E4A49-6810-5A9E-E050-107F01006A12','CHB_ASSET_INFO','com.joyintech.tams.common.svreport.datacheck.service.BaseCheckLib','inDatadict','SHARES_TYPE3','','SVR_PARTY_TYPE3','投资企业类型（按技术领域划分）不在值域范围内。','E','Y');</v>
      </c>
    </row>
    <row r="239" spans="1:12" x14ac:dyDescent="0.15">
      <c r="A239" s="17">
        <v>236</v>
      </c>
      <c r="B239" s="21" t="s">
        <v>295</v>
      </c>
      <c r="C239" s="23" t="s">
        <v>1484</v>
      </c>
      <c r="D239" s="22" t="s">
        <v>21</v>
      </c>
      <c r="E239" s="22" t="s">
        <v>62</v>
      </c>
      <c r="F239" s="22" t="s">
        <v>805</v>
      </c>
      <c r="G239" s="22"/>
      <c r="H239" s="21" t="s">
        <v>2332</v>
      </c>
      <c r="I239" s="22" t="s">
        <v>27</v>
      </c>
      <c r="J239" s="22" t="s">
        <v>992</v>
      </c>
      <c r="K239" s="22" t="s">
        <v>24</v>
      </c>
      <c r="L239" s="2" t="str">
        <f t="shared" si="3"/>
        <v>insert into CHB_DATACHECK_RULE (CHECKRULEID,DATATYPE,CHECKCLASS,CHECKMETHOD,SRCPROPERTY,COMPARETO,OBJVALUE,REMARK,STATUS,NULLABLE) values ('W43E4A49-6810-5A9E-E050-107F01006A18','CHB_ASSET_INFO','com.joyintech.tams.common.svreport.datacheck.service.BaseCheckLib','lessThanCharLength','ASSET_ID','','21','基金代码过长','E','Y');</v>
      </c>
    </row>
    <row r="240" spans="1:12" x14ac:dyDescent="0.15">
      <c r="A240" s="9">
        <v>237</v>
      </c>
      <c r="B240" s="21" t="s">
        <v>2396</v>
      </c>
      <c r="C240" s="23" t="s">
        <v>1484</v>
      </c>
      <c r="D240" s="22" t="s">
        <v>21</v>
      </c>
      <c r="E240" s="22" t="s">
        <v>48</v>
      </c>
      <c r="F240" s="22" t="s">
        <v>807</v>
      </c>
      <c r="G240" s="22"/>
      <c r="H240" s="21" t="s">
        <v>63</v>
      </c>
      <c r="I240" s="22" t="s">
        <v>27</v>
      </c>
      <c r="J240" s="22" t="s">
        <v>840</v>
      </c>
      <c r="K240" s="22" t="s">
        <v>24</v>
      </c>
      <c r="L240" s="2" t="str">
        <f t="shared" si="3"/>
        <v>insert into CHB_DATACHECK_RULE (CHECKRULEID,DATATYPE,CHECKCLASS,CHECKMETHOD,SRCPROPERTY,COMPARETO,OBJVALUE,REMARK,STATUS,NULLABLE) values ('W43E4A49-6810-5A9E-E050-107F01006A27','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41" spans="1:12" x14ac:dyDescent="0.15">
      <c r="A241" s="17">
        <v>238</v>
      </c>
      <c r="B241" s="21" t="s">
        <v>297</v>
      </c>
      <c r="C241" s="23" t="s">
        <v>1484</v>
      </c>
      <c r="D241" s="22" t="s">
        <v>21</v>
      </c>
      <c r="E241" s="22" t="s">
        <v>22</v>
      </c>
      <c r="F241" s="22" t="s">
        <v>1026</v>
      </c>
      <c r="G241" s="22"/>
      <c r="H241" s="21"/>
      <c r="I241" s="22" t="s">
        <v>23</v>
      </c>
      <c r="J241" s="22" t="s">
        <v>1063</v>
      </c>
      <c r="K241" s="22" t="s">
        <v>24</v>
      </c>
      <c r="L241" s="2" t="str">
        <f t="shared" si="3"/>
        <v>insert into CHB_DATACHECK_RULE (CHECKRULEID,DATATYPE,CHECKCLASS,CHECKMETHOD,SRCPROPERTY,COMPARETO,OBJVALUE,REMARK,STATUS,NULLABLE) values ('W43E4A49-6810-5A9E-E050-107F01006A28','CHB_ASSET_INFO','com.joyintech.tams.common.svreport.datacheck.service.BaseCheckLib','isNotEmpty','IN_ASSET_TYPE','','','行内资产类别不可为空','E','N');</v>
      </c>
    </row>
    <row r="242" spans="1:12" x14ac:dyDescent="0.15">
      <c r="A242" s="9">
        <v>239</v>
      </c>
      <c r="B242" s="21" t="s">
        <v>298</v>
      </c>
      <c r="C242" s="23" t="s">
        <v>1484</v>
      </c>
      <c r="D242" s="22" t="s">
        <v>21</v>
      </c>
      <c r="E242" s="22" t="s">
        <v>22</v>
      </c>
      <c r="F242" s="22" t="s">
        <v>1037</v>
      </c>
      <c r="G242" s="22"/>
      <c r="H242" s="21"/>
      <c r="I242" s="22" t="s">
        <v>23</v>
      </c>
      <c r="J242" s="22" t="s">
        <v>1038</v>
      </c>
      <c r="K242" s="22" t="s">
        <v>24</v>
      </c>
      <c r="L242" s="2" t="str">
        <f t="shared" si="3"/>
        <v>insert into CHB_DATACHECK_RULE (CHECKRULEID,DATATYPE,CHECKCLASS,CHECKMETHOD,SRCPROPERTY,COMPARETO,OBJVALUE,REMARK,STATUS,NULLABLE) values ('W43E4A49-6810-5A9E-E050-107F01006A42','CHB_ASSET_INFO','com.joyintech.tams.common.svreport.datacheck.service.BaseCheckLib','isNotEmpty','FIN_ORG_CODE','','','融资人组织机构代码不可为空。','E','N');</v>
      </c>
    </row>
    <row r="243" spans="1:12" x14ac:dyDescent="0.15">
      <c r="A243" s="17">
        <v>240</v>
      </c>
      <c r="B243" s="21" t="s">
        <v>299</v>
      </c>
      <c r="C243" s="23" t="s">
        <v>1484</v>
      </c>
      <c r="D243" s="22" t="s">
        <v>21</v>
      </c>
      <c r="E243" s="22" t="s">
        <v>62</v>
      </c>
      <c r="F243" s="22" t="s">
        <v>850</v>
      </c>
      <c r="G243" s="22"/>
      <c r="H243" s="21" t="s">
        <v>2330</v>
      </c>
      <c r="I243" s="22" t="s">
        <v>27</v>
      </c>
      <c r="J243" s="22" t="s">
        <v>1039</v>
      </c>
      <c r="K243" s="22" t="s">
        <v>24</v>
      </c>
      <c r="L243" s="2" t="str">
        <f t="shared" si="3"/>
        <v>insert into CHB_DATACHECK_RULE (CHECKRULEID,DATATYPE,CHECKCLASS,CHECKMETHOD,SRCPROPERTY,COMPARETO,OBJVALUE,REMARK,STATUS,NULLABLE) values ('W43E4A49-6810-5A9E-E050-107F01006A43','CHB_ASSET_INFO','com.joyintech.tams.common.svreport.datacheck.service.BaseCheckLib','lessThanCharLength','FCR_GRADE_OUT','','201','外部评级机构名称及对融资人评级结果过长','E','Y');</v>
      </c>
    </row>
    <row r="244" spans="1:12" x14ac:dyDescent="0.15">
      <c r="A244" s="9">
        <v>241</v>
      </c>
      <c r="B244" s="21" t="s">
        <v>300</v>
      </c>
      <c r="C244" s="23" t="s">
        <v>1484</v>
      </c>
      <c r="D244" s="22" t="s">
        <v>21</v>
      </c>
      <c r="E244" s="22" t="s">
        <v>30</v>
      </c>
      <c r="F244" s="22" t="s">
        <v>1048</v>
      </c>
      <c r="G244" s="22"/>
      <c r="H244" s="21" t="s">
        <v>820</v>
      </c>
      <c r="I244" s="22" t="s">
        <v>27</v>
      </c>
      <c r="J244" s="22" t="s">
        <v>1064</v>
      </c>
      <c r="K244" s="22" t="s">
        <v>24</v>
      </c>
      <c r="L244" s="2" t="str">
        <f t="shared" si="3"/>
        <v>insert into CHB_DATACHECK_RULE (CHECKRULEID,DATATYPE,CHECKCLASS,CHECKMETHOD,SRCPROPERTY,COMPARETO,OBJVALUE,REMARK,STATUS,NULLABLE) values ('W43E4A49-6810-5A9E-E050-107F01006A48','CHB_ASSET_INFO','com.joyintech.tams.common.svreport.datacheck.service.BaseCheckLib','inDatadict','INDUSTRY_LEVEL2_TYPE','','INSTITUTION_INDUSTRY_SECOND_LEVEL','融资人所属行业（其他）不在值域范围内','E','Y');</v>
      </c>
    </row>
    <row r="245" spans="1:12" x14ac:dyDescent="0.15">
      <c r="A245" s="17">
        <v>242</v>
      </c>
      <c r="B245" s="21" t="s">
        <v>301</v>
      </c>
      <c r="C245" s="23" t="s">
        <v>1484</v>
      </c>
      <c r="D245" s="22" t="s">
        <v>21</v>
      </c>
      <c r="E245" s="22" t="s">
        <v>30</v>
      </c>
      <c r="F245" s="22" t="s">
        <v>1050</v>
      </c>
      <c r="G245" s="22"/>
      <c r="H245" s="21" t="s">
        <v>820</v>
      </c>
      <c r="I245" s="22" t="s">
        <v>27</v>
      </c>
      <c r="J245" s="22" t="s">
        <v>1065</v>
      </c>
      <c r="K245" s="22" t="s">
        <v>24</v>
      </c>
      <c r="L245" s="2" t="str">
        <f t="shared" si="3"/>
        <v>insert into CHB_DATACHECK_RULE (CHECKRULEID,DATATYPE,CHECKCLASS,CHECKMETHOD,SRCPROPERTY,COMPARETO,OBJVALUE,REMARK,STATUS,NULLABLE) values ('W43E4A49-6810-5A9E-E050-107F01006A49','CHB_ASSET_INFO','com.joyintech.tams.common.svreport.datacheck.service.BaseCheckLib','inDatadict','PRO_INDUSTRY_LEVEL2','','INSTITUTION_INDUSTRY_SECOND_LEVEL','融资项目所属行业不在值域范围内。','E','Y');</v>
      </c>
    </row>
    <row r="246" spans="1:12" x14ac:dyDescent="0.15">
      <c r="A246" s="9">
        <v>243</v>
      </c>
      <c r="B246" s="21" t="s">
        <v>302</v>
      </c>
      <c r="C246" s="23" t="s">
        <v>1484</v>
      </c>
      <c r="D246" s="22" t="s">
        <v>21</v>
      </c>
      <c r="E246" s="22" t="s">
        <v>30</v>
      </c>
      <c r="F246" s="22" t="s">
        <v>1054</v>
      </c>
      <c r="G246" s="22"/>
      <c r="H246" s="21" t="s">
        <v>1066</v>
      </c>
      <c r="I246" s="22" t="s">
        <v>27</v>
      </c>
      <c r="J246" s="22" t="s">
        <v>1067</v>
      </c>
      <c r="K246" s="22" t="s">
        <v>24</v>
      </c>
      <c r="L246" s="2" t="str">
        <f t="shared" si="3"/>
        <v>insert into CHB_DATACHECK_RULE (CHECKRULEID,DATATYPE,CHECKCLASS,CHECKMETHOD,SRCPROPERTY,COMPARETO,OBJVALUE,REMARK,STATUS,NULLABLE) values ('W43E4A49-6810-5A9E-E050-107F01006A51','CHB_ASSET_INFO','com.joyintech.tams.common.svreport.datacheck.service.BaseCheckLib','inDatadict','MONIT_TYPE','','SVR_MOINT_TYPE','重点监控行业和领域类别不在值域范围内。','E','Y');</v>
      </c>
    </row>
    <row r="247" spans="1:12" x14ac:dyDescent="0.15">
      <c r="A247" s="17">
        <v>244</v>
      </c>
      <c r="B247" s="21" t="s">
        <v>303</v>
      </c>
      <c r="C247" s="23" t="s">
        <v>1484</v>
      </c>
      <c r="D247" s="22" t="s">
        <v>21</v>
      </c>
      <c r="E247" s="22" t="s">
        <v>62</v>
      </c>
      <c r="F247" s="22" t="s">
        <v>900</v>
      </c>
      <c r="G247" s="22"/>
      <c r="H247" s="21" t="s">
        <v>2331</v>
      </c>
      <c r="I247" s="22" t="s">
        <v>27</v>
      </c>
      <c r="J247" s="22" t="s">
        <v>1068</v>
      </c>
      <c r="K247" s="22" t="s">
        <v>24</v>
      </c>
      <c r="L247" s="2" t="str">
        <f t="shared" si="3"/>
        <v>insert into CHB_DATACHECK_RULE (CHECKRULEID,DATATYPE,CHECKCLASS,CHECKMETHOD,SRCPROPERTY,COMPARETO,OBJVALUE,REMARK,STATUS,NULLABLE) values ('W43E4A49-6810-5A9E-E050-107F01006A53','CHB_ASSET_INFO','com.joyintech.tams.common.svreport.datacheck.service.BaseCheckLib','lessThanCharLength','MON_TYPE_COMM','','257','重点监控行业和领域类别说明过长。','E','Y');</v>
      </c>
    </row>
    <row r="248" spans="1:12" x14ac:dyDescent="0.15">
      <c r="A248" s="9">
        <v>245</v>
      </c>
      <c r="B248" s="21" t="s">
        <v>304</v>
      </c>
      <c r="C248" s="23" t="s">
        <v>1484</v>
      </c>
      <c r="D248" s="22" t="s">
        <v>21</v>
      </c>
      <c r="E248" s="22" t="s">
        <v>22</v>
      </c>
      <c r="F248" s="22" t="s">
        <v>8</v>
      </c>
      <c r="G248" s="22"/>
      <c r="H248" s="21" t="s">
        <v>26</v>
      </c>
      <c r="I248" s="22" t="s">
        <v>23</v>
      </c>
      <c r="J248" s="22" t="s">
        <v>43</v>
      </c>
      <c r="K248" s="22" t="s">
        <v>24</v>
      </c>
      <c r="L248" s="2" t="str">
        <f t="shared" si="3"/>
        <v>insert into CHB_DATACHECK_RULE (CHECKRULEID,DATATYPE,CHECKCLASS,CHECKMETHOD,SRCPROPERTY,COMPARETO,OBJVALUE,REMARK,STATUS,NULLABLE) values ('W43E4A49-6810-5A9E-E050-117F01006A13','CHB_ASSET_INFO','com.joyintech.tams.common.svreport.datacheck.service.BaseCheckLib','isNotEmpty','REMARK','','0','备注要素不可为空','E','N');</v>
      </c>
    </row>
    <row r="249" spans="1:12" x14ac:dyDescent="0.15">
      <c r="A249" s="17">
        <v>246</v>
      </c>
      <c r="B249" s="21" t="s">
        <v>305</v>
      </c>
      <c r="C249" s="23" t="s">
        <v>1484</v>
      </c>
      <c r="D249" s="22" t="s">
        <v>21</v>
      </c>
      <c r="E249" s="22" t="s">
        <v>62</v>
      </c>
      <c r="F249" s="22" t="s">
        <v>900</v>
      </c>
      <c r="G249" s="22" t="s">
        <v>25</v>
      </c>
      <c r="H249" s="21" t="s">
        <v>26</v>
      </c>
      <c r="I249" s="22" t="s">
        <v>27</v>
      </c>
      <c r="J249" s="22" t="s">
        <v>1069</v>
      </c>
      <c r="K249" s="22" t="s">
        <v>24</v>
      </c>
      <c r="L249" s="2" t="str">
        <f t="shared" si="3"/>
        <v>insert into CHB_DATACHECK_RULE (CHECKRULEID,DATATYPE,CHECKCLASS,CHECKMETHOD,SRCPROPERTY,COMPARETO,OBJVALUE,REMARK,STATUS,NULLABLE) values ('W43E4A49-6810-5A9E-E050-207F01006A53','CHB_ASSET_INFO','com.joyintech.tams.common.svreport.datacheck.service.BaseCheckLib','lessThanCharLength','MON_TYPE_COMM','==','0','重点监控行业和领域类别说明要素必须为空。','E','Y');</v>
      </c>
    </row>
    <row r="250" spans="1:12" x14ac:dyDescent="0.15">
      <c r="A250" s="9">
        <v>247</v>
      </c>
      <c r="B250" s="21" t="s">
        <v>306</v>
      </c>
      <c r="C250" s="23" t="s">
        <v>1484</v>
      </c>
      <c r="D250" s="22" t="s">
        <v>21</v>
      </c>
      <c r="E250" s="22" t="s">
        <v>48</v>
      </c>
      <c r="F250" s="22" t="s">
        <v>1037</v>
      </c>
      <c r="G250" s="22"/>
      <c r="H250" s="21" t="s">
        <v>1070</v>
      </c>
      <c r="I250" s="22" t="s">
        <v>27</v>
      </c>
      <c r="J250" s="22" t="s">
        <v>1071</v>
      </c>
      <c r="K250" s="22" t="s">
        <v>24</v>
      </c>
      <c r="L250" s="2" t="str">
        <f t="shared" si="3"/>
        <v>insert into CHB_DATACHECK_RULE (CHECKRULEID,DATATYPE,CHECKCLASS,CHECKMETHOD,SRCPROPERTY,COMPARETO,OBJVALUE,REMARK,STATUS,NULLABLE) values ('W43E4A49-6810-5A9E-E151-007F01006A42','CHB_ASSET_INFO','com.joyintech.tams.common.svreport.datacheck.service.BaseCheckLib','isCustomizedString','FIN_ORG_CODE','','^[A-Z0-9]{18}$|^[A-Z0-9]{9}$','融资人组织机构代码不合格(应为9或18位大写字母或数字组合，如无则填写“000000000”)。','E','Y');</v>
      </c>
    </row>
    <row r="251" spans="1:12" x14ac:dyDescent="0.15">
      <c r="A251" s="17">
        <v>248</v>
      </c>
      <c r="B251" s="21" t="s">
        <v>307</v>
      </c>
      <c r="C251" s="23" t="s">
        <v>1484</v>
      </c>
      <c r="D251" s="22" t="s">
        <v>21</v>
      </c>
      <c r="E251" s="22" t="s">
        <v>22</v>
      </c>
      <c r="F251" s="22" t="s">
        <v>1032</v>
      </c>
      <c r="G251" s="22"/>
      <c r="H251" s="21"/>
      <c r="I251" s="22" t="s">
        <v>23</v>
      </c>
      <c r="J251" s="22" t="s">
        <v>1033</v>
      </c>
      <c r="K251" s="22" t="s">
        <v>24</v>
      </c>
      <c r="L251" s="2" t="str">
        <f t="shared" si="3"/>
        <v>insert into CHB_DATACHECK_RULE (CHECKRULEID,DATATYPE,CHECKCLASS,CHECKMETHOD,SRCPROPERTY,COMPARETO,OBJVALUE,REMARK,STATUS,NULLABLE) values ('W43E4A59-6810-5A9E-E050-007F01006A36','CHB_ASSET_INFO','com.joyintech.tams.common.svreport.datacheck.service.BaseCheckLib','isNotEmpty','RATE_FLAG','','','是否有预期收益率不可为空','E','N');</v>
      </c>
    </row>
    <row r="252" spans="1:12" x14ac:dyDescent="0.15">
      <c r="A252" s="9">
        <v>249</v>
      </c>
      <c r="B252" s="21" t="s">
        <v>2294</v>
      </c>
      <c r="C252" s="23" t="s">
        <v>1484</v>
      </c>
      <c r="D252" s="22" t="s">
        <v>21</v>
      </c>
      <c r="E252" s="22" t="s">
        <v>38</v>
      </c>
      <c r="F252" s="22" t="s">
        <v>769</v>
      </c>
      <c r="G252" s="22" t="s">
        <v>25</v>
      </c>
      <c r="H252" s="21" t="s">
        <v>767</v>
      </c>
      <c r="I252" s="22" t="s">
        <v>27</v>
      </c>
      <c r="J252" s="22" t="s">
        <v>770</v>
      </c>
      <c r="K252" s="22" t="s">
        <v>24</v>
      </c>
      <c r="L252" s="2" t="str">
        <f t="shared" si="3"/>
        <v>insert into CHB_DATACHECK_RULE (CHECKRULEID,DATATYPE,CHECKCLASS,CHECKMETHOD,SRCPROPERTY,COMPARETO,OBJVALUE,REMARK,STATUS,NULLABLE) values ('W53E4A49-6810-5A9E-E050-007F01006A68','CHB_ASSET_INFO','com.joyintech.tams.common.svreport.datacheck.service.BaseCheckLib','isValidDate','MDATE','==','yyyy-MM-dd','到期日要素必填且必须为日期格式（YYYY-MM-DD）。','E','Y');</v>
      </c>
    </row>
    <row r="253" spans="1:12" x14ac:dyDescent="0.15">
      <c r="A253" s="17">
        <v>250</v>
      </c>
      <c r="B253" s="21" t="s">
        <v>308</v>
      </c>
      <c r="C253" s="23" t="s">
        <v>1484</v>
      </c>
      <c r="D253" s="22" t="s">
        <v>21</v>
      </c>
      <c r="E253" s="22" t="s">
        <v>22</v>
      </c>
      <c r="F253" s="22" t="s">
        <v>904</v>
      </c>
      <c r="G253" s="22"/>
      <c r="H253" s="21"/>
      <c r="I253" s="22" t="s">
        <v>23</v>
      </c>
      <c r="J253" s="22" t="s">
        <v>1072</v>
      </c>
      <c r="K253" s="22" t="s">
        <v>24</v>
      </c>
      <c r="L253" s="2" t="str">
        <f t="shared" si="3"/>
        <v>insert into CHB_DATACHECK_RULE (CHECKRULEID,DATATYPE,CHECKCLASS,CHECKMETHOD,SRCPROPERTY,COMPARETO,OBJVALUE,REMARK,STATUS,NULLABLE) values ('W84804E5-DF7F-D920-E050-007F010077FD','CHB_ASSET_INFO','com.joyintech.tams.common.svreport.datacheck.service.BaseCheckLib','isNotEmpty','CHOSE','','','选择权必填，如无则填写“无”。','E','N');</v>
      </c>
    </row>
    <row r="254" spans="1:12" x14ac:dyDescent="0.15">
      <c r="A254" s="9">
        <v>251</v>
      </c>
      <c r="B254" s="21" t="s">
        <v>309</v>
      </c>
      <c r="C254" s="23" t="s">
        <v>1484</v>
      </c>
      <c r="D254" s="22" t="s">
        <v>21</v>
      </c>
      <c r="E254" s="22" t="s">
        <v>62</v>
      </c>
      <c r="F254" s="22" t="s">
        <v>904</v>
      </c>
      <c r="G254" s="22"/>
      <c r="H254" s="21" t="s">
        <v>2340</v>
      </c>
      <c r="I254" s="22" t="s">
        <v>27</v>
      </c>
      <c r="J254" s="22" t="s">
        <v>1073</v>
      </c>
      <c r="K254" s="22" t="s">
        <v>24</v>
      </c>
      <c r="L254" s="2" t="str">
        <f t="shared" si="3"/>
        <v>insert into CHB_DATACHECK_RULE (CHECKRULEID,DATATYPE,CHECKCLASS,CHECKMETHOD,SRCPROPERTY,COMPARETO,OBJVALUE,REMARK,STATUS,NULLABLE) values ('W84804E5-DF7F-D920-E050-107F010077FD','CHB_ASSET_INFO','com.joyintech.tams.common.svreport.datacheck.service.BaseCheckLib','lessThanCharLength','CHOSE','','61','选择权过长','E','Y');</v>
      </c>
    </row>
    <row r="255" spans="1:12" x14ac:dyDescent="0.15">
      <c r="A255" s="17">
        <v>252</v>
      </c>
      <c r="B255" s="21" t="s">
        <v>310</v>
      </c>
      <c r="C255" s="23" t="s">
        <v>1484</v>
      </c>
      <c r="D255" s="22" t="s">
        <v>21</v>
      </c>
      <c r="E255" s="22" t="s">
        <v>62</v>
      </c>
      <c r="F255" s="22" t="s">
        <v>834</v>
      </c>
      <c r="G255" s="22"/>
      <c r="H255" s="21" t="s">
        <v>2337</v>
      </c>
      <c r="I255" s="22" t="s">
        <v>27</v>
      </c>
      <c r="J255" s="22" t="s">
        <v>1074</v>
      </c>
      <c r="K255" s="22" t="s">
        <v>24</v>
      </c>
      <c r="L255" s="2" t="str">
        <f t="shared" si="3"/>
        <v>insert into CHB_DATACHECK_RULE (CHECKRULEID,DATATYPE,CHECKCLASS,CHECKMETHOD,SRCPROPERTY,COMPARETO,OBJVALUE,REMARK,STATUS,NULLABLE) values ('W84807E5-DF1A-D920-E050-007F010077FD','CHB_ASSET_INFO','com.joyintech.tams.common.svreport.datacheck.service.BaseCheckLib','lessThanCharLength','ASSET_CODE','','41','行内资产/负债编码过长','E','Y');</v>
      </c>
    </row>
    <row r="256" spans="1:12" x14ac:dyDescent="0.15">
      <c r="A256" s="9">
        <v>253</v>
      </c>
      <c r="B256" s="21" t="s">
        <v>311</v>
      </c>
      <c r="C256" s="23" t="s">
        <v>1484</v>
      </c>
      <c r="D256" s="22" t="s">
        <v>21</v>
      </c>
      <c r="E256" s="22" t="s">
        <v>30</v>
      </c>
      <c r="F256" s="22" t="s">
        <v>1075</v>
      </c>
      <c r="G256" s="22"/>
      <c r="H256" s="21" t="s">
        <v>1076</v>
      </c>
      <c r="I256" s="22" t="s">
        <v>27</v>
      </c>
      <c r="J256" s="22" t="s">
        <v>1077</v>
      </c>
      <c r="K256" s="22" t="s">
        <v>24</v>
      </c>
      <c r="L256" s="2" t="str">
        <f t="shared" si="3"/>
        <v>insert into CHB_DATACHECK_RULE (CHECKRULEID,DATATYPE,CHECKCLASS,CHECKMETHOD,SRCPROPERTY,COMPARETO,OBJVALUE,REMARK,STATUS,NULLABLE) values ('W84807E5-DF1B-D920-E050-007F010077FD','CHB_ASSET_INFO','com.joyintech.tams.common.svreport.datacheck.service.BaseCheckLib','inDatadict','ASSET_TYPE','','SVR_ASSETDEBT_TYPE','资产/负债类别不在值域范围内','E','Y');</v>
      </c>
    </row>
    <row r="257" spans="1:12" x14ac:dyDescent="0.15">
      <c r="A257" s="17">
        <v>254</v>
      </c>
      <c r="B257" s="21" t="s">
        <v>312</v>
      </c>
      <c r="C257" s="23" t="s">
        <v>1484</v>
      </c>
      <c r="D257" s="22" t="s">
        <v>21</v>
      </c>
      <c r="E257" s="22" t="s">
        <v>22</v>
      </c>
      <c r="F257" s="22" t="s">
        <v>1078</v>
      </c>
      <c r="G257" s="22"/>
      <c r="H257" s="21"/>
      <c r="I257" s="22" t="s">
        <v>23</v>
      </c>
      <c r="J257" s="22" t="s">
        <v>1079</v>
      </c>
      <c r="K257" s="22" t="s">
        <v>24</v>
      </c>
      <c r="L257" s="2" t="str">
        <f t="shared" si="3"/>
        <v>insert into CHB_DATACHECK_RULE (CHECKRULEID,DATATYPE,CHECKCLASS,CHECKMETHOD,SRCPROPERTY,COMPARETO,OBJVALUE,REMARK,STATUS,NULLABLE) values ('W84807E5-DF1C-D920-E050-007F010077FD','CHB_ASSET_INFO','com.joyintech.tams.common.svreport.datacheck.service.BaseCheckLib','isNotEmpty','CCY','','','币种要素不可为空','E','N');</v>
      </c>
    </row>
    <row r="258" spans="1:12" x14ac:dyDescent="0.15">
      <c r="A258" s="9">
        <v>255</v>
      </c>
      <c r="B258" s="21" t="s">
        <v>165</v>
      </c>
      <c r="C258" s="23" t="s">
        <v>1484</v>
      </c>
      <c r="D258" s="22" t="s">
        <v>21</v>
      </c>
      <c r="E258" s="22" t="s">
        <v>30</v>
      </c>
      <c r="F258" s="22" t="s">
        <v>910</v>
      </c>
      <c r="G258" s="22" t="s">
        <v>25</v>
      </c>
      <c r="H258" s="21" t="s">
        <v>911</v>
      </c>
      <c r="I258" s="22" t="s">
        <v>27</v>
      </c>
      <c r="J258" s="22" t="s">
        <v>912</v>
      </c>
      <c r="K258" s="22" t="s">
        <v>24</v>
      </c>
      <c r="L258" s="2" t="str">
        <f t="shared" si="3"/>
        <v>insert into CHB_DATACHECK_RULE (CHECKRULEID,DATATYPE,CHECKCLASS,CHECKMETHOD,SRCPROPERTY,COMPARETO,OBJVALUE,REMARK,STATUS,NULLABLE) values ('W84807E5-DF1C-D920-E050-007F010177FD','CHB_ASSET_INFO','com.joyintech.tams.common.svreport.datacheck.service.BaseCheckLib','inDatadict','ASSET_TYPE2','==','SVR_ASSET_TYPE_SECOND_LEVEL','资产/负债二级类别要素必须在值域范围内','E','Y');</v>
      </c>
    </row>
    <row r="259" spans="1:12" x14ac:dyDescent="0.15">
      <c r="A259" s="17">
        <v>256</v>
      </c>
      <c r="B259" s="21" t="s">
        <v>313</v>
      </c>
      <c r="C259" s="23" t="s">
        <v>1484</v>
      </c>
      <c r="D259" s="22" t="s">
        <v>21</v>
      </c>
      <c r="E259" s="22" t="s">
        <v>30</v>
      </c>
      <c r="F259" s="22" t="s">
        <v>1078</v>
      </c>
      <c r="G259" s="22" t="s">
        <v>25</v>
      </c>
      <c r="H259" s="21" t="s">
        <v>59</v>
      </c>
      <c r="I259" s="22" t="s">
        <v>27</v>
      </c>
      <c r="J259" s="22" t="s">
        <v>1081</v>
      </c>
      <c r="K259" s="22" t="s">
        <v>24</v>
      </c>
      <c r="L259" s="2" t="str">
        <f t="shared" si="3"/>
        <v>insert into CHB_DATACHECK_RULE (CHECKRULEID,DATATYPE,CHECKCLASS,CHECKMETHOD,SRCPROPERTY,COMPARETO,OBJVALUE,REMARK,STATUS,NULLABLE) values ('W84807E5-DF1C-D921-E050-007F010077FD','CHB_ASSET_INFO','com.joyintech.tams.common.svreport.datacheck.service.BaseCheckLib','inDatadict','CCY','==','CURRENCY_CHB','币种不在值域范围内','E','Y');</v>
      </c>
    </row>
    <row r="260" spans="1:12" x14ac:dyDescent="0.15">
      <c r="A260" s="9">
        <v>257</v>
      </c>
      <c r="B260" s="21" t="s">
        <v>314</v>
      </c>
      <c r="C260" s="23" t="s">
        <v>1484</v>
      </c>
      <c r="D260" s="22" t="s">
        <v>21</v>
      </c>
      <c r="E260" s="22" t="s">
        <v>22</v>
      </c>
      <c r="F260" s="22" t="s">
        <v>8</v>
      </c>
      <c r="G260" s="22"/>
      <c r="H260" s="21" t="s">
        <v>26</v>
      </c>
      <c r="I260" s="22" t="s">
        <v>23</v>
      </c>
      <c r="J260" s="22" t="s">
        <v>43</v>
      </c>
      <c r="K260" s="22" t="s">
        <v>24</v>
      </c>
      <c r="L260" s="2" t="str">
        <f t="shared" si="3"/>
        <v>insert into CHB_DATACHECK_RULE (CHECKRULEID,DATATYPE,CHECKCLASS,CHECKMETHOD,SRCPROPERTY,COMPARETO,OBJVALUE,REMARK,STATUS,NULLABLE) values ('W84807E5-DF1E-D920-E050-007F010077FD','CHB_ASSET_INFO','com.joyintech.tams.common.svreport.datacheck.service.BaseCheckLib','isNotEmpty','REMARK','','0','备注要素不可为空','E','N');</v>
      </c>
    </row>
    <row r="261" spans="1:12" x14ac:dyDescent="0.15">
      <c r="A261" s="17">
        <v>258</v>
      </c>
      <c r="B261" s="21" t="s">
        <v>315</v>
      </c>
      <c r="C261" s="23" t="s">
        <v>1484</v>
      </c>
      <c r="D261" s="22" t="s">
        <v>21</v>
      </c>
      <c r="E261" s="22" t="s">
        <v>22</v>
      </c>
      <c r="F261" s="22" t="s">
        <v>8</v>
      </c>
      <c r="G261" s="22"/>
      <c r="H261" s="21" t="s">
        <v>26</v>
      </c>
      <c r="I261" s="22" t="s">
        <v>23</v>
      </c>
      <c r="J261" s="22" t="s">
        <v>43</v>
      </c>
      <c r="K261" s="22" t="s">
        <v>24</v>
      </c>
      <c r="L261" s="2" t="str">
        <f t="shared" ref="L261:L324" si="4">CONCATENATE("insert into CHB_DATACHECK_RULE (CHECKRULEID,DATATYPE,CHECKCLASS,CHECKMETHOD,SRCPROPERTY,COMPARETO,OBJVALUE,REMARK,STATUS,NULLABLE) values ('",B261,"','",C261,"','",D261,"','",E261,"','",F261,"','",G261,"','",H261,"','",J261,"','",K261,"','",I261,"');")</f>
        <v>insert into CHB_DATACHECK_RULE (CHECKRULEID,DATATYPE,CHECKCLASS,CHECKMETHOD,SRCPROPERTY,COMPARETO,OBJVALUE,REMARK,STATUS,NULLABLE) values ('W84807E5-DF1E-D920-E050-107F010077FD','CHB_ASSET_INFO','com.joyintech.tams.common.svreport.datacheck.service.BaseCheckLib','isNotEmpty','REMARK','','0','备注要素不可为空','E','N');</v>
      </c>
    </row>
    <row r="262" spans="1:12" x14ac:dyDescent="0.15">
      <c r="A262" s="9">
        <v>259</v>
      </c>
      <c r="B262" s="21" t="s">
        <v>316</v>
      </c>
      <c r="C262" s="23" t="s">
        <v>1484</v>
      </c>
      <c r="D262" s="22" t="s">
        <v>21</v>
      </c>
      <c r="E262" s="22" t="s">
        <v>22</v>
      </c>
      <c r="F262" s="22" t="s">
        <v>8</v>
      </c>
      <c r="G262" s="22"/>
      <c r="H262" s="21" t="s">
        <v>26</v>
      </c>
      <c r="I262" s="22" t="s">
        <v>23</v>
      </c>
      <c r="J262" s="22" t="s">
        <v>43</v>
      </c>
      <c r="K262" s="22" t="s">
        <v>24</v>
      </c>
      <c r="L262" s="2" t="str">
        <f t="shared" si="4"/>
        <v>insert into CHB_DATACHECK_RULE (CHECKRULEID,DATATYPE,CHECKCLASS,CHECKMETHOD,SRCPROPERTY,COMPARETO,OBJVALUE,REMARK,STATUS,NULLABLE) values ('W84807E5-DF1E-D920-E050-117F010077FD','CHB_ASSET_INFO','com.joyintech.tams.common.svreport.datacheck.service.BaseCheckLib','isNotEmpty','REMARK','','0','备注要素不可为空','E','N');</v>
      </c>
    </row>
    <row r="263" spans="1:12" x14ac:dyDescent="0.15">
      <c r="A263" s="17">
        <v>260</v>
      </c>
      <c r="B263" s="21" t="s">
        <v>317</v>
      </c>
      <c r="C263" s="23" t="s">
        <v>1484</v>
      </c>
      <c r="D263" s="22" t="s">
        <v>21</v>
      </c>
      <c r="E263" s="22" t="s">
        <v>22</v>
      </c>
      <c r="F263" s="22" t="s">
        <v>8</v>
      </c>
      <c r="G263" s="22"/>
      <c r="H263" s="21" t="s">
        <v>26</v>
      </c>
      <c r="I263" s="22" t="s">
        <v>23</v>
      </c>
      <c r="J263" s="22" t="s">
        <v>43</v>
      </c>
      <c r="K263" s="22" t="s">
        <v>24</v>
      </c>
      <c r="L263" s="2" t="str">
        <f t="shared" si="4"/>
        <v>insert into CHB_DATACHECK_RULE (CHECKRULEID,DATATYPE,CHECKCLASS,CHECKMETHOD,SRCPROPERTY,COMPARETO,OBJVALUE,REMARK,STATUS,NULLABLE) values ('W84807E5-DF1E-D920-E050-207F010077FD','CHB_ASSET_INFO','com.joyintech.tams.common.svreport.datacheck.service.BaseCheckLib','isNotEmpty','REMARK','','0','备注要素不可为空','E','N');</v>
      </c>
    </row>
    <row r="264" spans="1:12" x14ac:dyDescent="0.15">
      <c r="A264" s="9">
        <v>261</v>
      </c>
      <c r="B264" s="21" t="s">
        <v>318</v>
      </c>
      <c r="C264" s="23" t="s">
        <v>1484</v>
      </c>
      <c r="D264" s="22" t="s">
        <v>21</v>
      </c>
      <c r="E264" s="22" t="s">
        <v>62</v>
      </c>
      <c r="F264" s="22" t="s">
        <v>805</v>
      </c>
      <c r="G264" s="22"/>
      <c r="H264" s="21" t="s">
        <v>2074</v>
      </c>
      <c r="I264" s="22" t="s">
        <v>27</v>
      </c>
      <c r="J264" s="22" t="s">
        <v>1082</v>
      </c>
      <c r="K264" s="22" t="s">
        <v>24</v>
      </c>
      <c r="L264" s="2" t="str">
        <f t="shared" si="4"/>
        <v>insert into CHB_DATACHECK_RULE (CHECKRULEID,DATATYPE,CHECKCLASS,CHECKMETHOD,SRCPROPERTY,COMPARETO,OBJVALUE,REMARK,STATUS,NULLABLE) values ('W84807E5-DF1F-D920-E050-007F010077FD','CHB_ASSET_INFO','com.joyintech.tams.common.svreport.datacheck.service.BaseCheckLib','lessThanCharLength','ASSET_ID','','16','代码过长（最大15字节）。','E','Y');</v>
      </c>
    </row>
    <row r="265" spans="1:12" x14ac:dyDescent="0.15">
      <c r="A265" s="17">
        <v>262</v>
      </c>
      <c r="B265" s="21" t="s">
        <v>319</v>
      </c>
      <c r="C265" s="23" t="s">
        <v>1484</v>
      </c>
      <c r="D265" s="22" t="s">
        <v>21</v>
      </c>
      <c r="E265" s="22" t="s">
        <v>62</v>
      </c>
      <c r="F265" s="22" t="s">
        <v>807</v>
      </c>
      <c r="G265" s="22"/>
      <c r="H265" s="21" t="s">
        <v>2330</v>
      </c>
      <c r="I265" s="22" t="s">
        <v>23</v>
      </c>
      <c r="J265" s="22" t="s">
        <v>960</v>
      </c>
      <c r="K265" s="22" t="s">
        <v>24</v>
      </c>
      <c r="L265" s="2" t="str">
        <f t="shared" si="4"/>
        <v>insert into CHB_DATACHECK_RULE (CHECKRULEID,DATATYPE,CHECKCLASS,CHECKMETHOD,SRCPROPERTY,COMPARETO,OBJVALUE,REMARK,STATUS,NULLABLE) values ('W84807E5-DF20-D920-E050-007F010077FD','CHB_ASSET_INFO','com.joyintech.tams.common.svreport.datacheck.service.BaseCheckLib','lessThanCharLength','ASSET_NAME','','201','名称不可为空且不能过长。','E','N');</v>
      </c>
    </row>
    <row r="266" spans="1:12" x14ac:dyDescent="0.15">
      <c r="A266" s="9">
        <v>263</v>
      </c>
      <c r="B266" s="21" t="s">
        <v>320</v>
      </c>
      <c r="C266" s="23" t="s">
        <v>1484</v>
      </c>
      <c r="D266" s="22" t="s">
        <v>21</v>
      </c>
      <c r="E266" s="22" t="s">
        <v>1083</v>
      </c>
      <c r="F266" s="22" t="s">
        <v>1084</v>
      </c>
      <c r="G266" s="22" t="s">
        <v>25</v>
      </c>
      <c r="H266" s="21" t="s">
        <v>1085</v>
      </c>
      <c r="I266" s="22" t="s">
        <v>23</v>
      </c>
      <c r="J266" s="22" t="s">
        <v>1086</v>
      </c>
      <c r="K266" s="22" t="s">
        <v>24</v>
      </c>
      <c r="L266" s="2" t="str">
        <f t="shared" si="4"/>
        <v>insert into CHB_DATACHECK_RULE (CHECKRULEID,DATATYPE,CHECKCLASS,CHECKMETHOD,SRCPROPERTY,COMPARETO,OBJVALUE,REMARK,STATUS,NULLABLE) values ('W84807E5-DF21-D920-E050-007F010077FD','CHB_ASSET_INFO','com.joyintech.tams.common.svreport.datacheck.service.BaseCheckLib','inArray','CHB_SECTYPE','==','01,02,03,04,05,06,07,08,09,10,99','具体类别要素不可为空且必须选择01-10或 99中的一项','E','N');</v>
      </c>
    </row>
    <row r="267" spans="1:12" x14ac:dyDescent="0.15">
      <c r="A267" s="17">
        <v>264</v>
      </c>
      <c r="B267" s="21" t="s">
        <v>321</v>
      </c>
      <c r="C267" s="23" t="s">
        <v>1484</v>
      </c>
      <c r="D267" s="22" t="s">
        <v>21</v>
      </c>
      <c r="E267" s="22" t="s">
        <v>1083</v>
      </c>
      <c r="F267" s="22" t="s">
        <v>1084</v>
      </c>
      <c r="G267" s="22" t="s">
        <v>25</v>
      </c>
      <c r="H267" s="21" t="s">
        <v>1087</v>
      </c>
      <c r="I267" s="22" t="s">
        <v>23</v>
      </c>
      <c r="J267" s="22" t="s">
        <v>1088</v>
      </c>
      <c r="K267" s="22" t="s">
        <v>24</v>
      </c>
      <c r="L267" s="2" t="str">
        <f t="shared" si="4"/>
        <v>insert into CHB_DATACHECK_RULE (CHECKRULEID,DATATYPE,CHECKCLASS,CHECKMETHOD,SRCPROPERTY,COMPARETO,OBJVALUE,REMARK,STATUS,NULLABLE) values ('W84807E5-DF22-D920-E050-007F010077FD','CHB_ASSET_INFO','com.joyintech.tams.common.svreport.datacheck.service.BaseCheckLib','inArray','CHB_SECTYPE','==','11,12,99','具体类别要素不可为空且必须选择11、12、99中的一项','E','N');</v>
      </c>
    </row>
    <row r="268" spans="1:12" x14ac:dyDescent="0.15">
      <c r="A268" s="9">
        <v>265</v>
      </c>
      <c r="B268" s="21" t="s">
        <v>322</v>
      </c>
      <c r="C268" s="23" t="s">
        <v>1484</v>
      </c>
      <c r="D268" s="22" t="s">
        <v>21</v>
      </c>
      <c r="E268" s="22" t="s">
        <v>1083</v>
      </c>
      <c r="F268" s="22" t="s">
        <v>1084</v>
      </c>
      <c r="G268" s="22" t="s">
        <v>25</v>
      </c>
      <c r="H268" s="21" t="s">
        <v>1089</v>
      </c>
      <c r="I268" s="22" t="s">
        <v>23</v>
      </c>
      <c r="J268" s="22" t="s">
        <v>1090</v>
      </c>
      <c r="K268" s="22" t="s">
        <v>24</v>
      </c>
      <c r="L268" s="2" t="str">
        <f t="shared" si="4"/>
        <v>insert into CHB_DATACHECK_RULE (CHECKRULEID,DATATYPE,CHECKCLASS,CHECKMETHOD,SRCPROPERTY,COMPARETO,OBJVALUE,REMARK,STATUS,NULLABLE) values ('W84807E5-DF23-D920-E050-007F010077FD','CHB_ASSET_INFO','com.joyintech.tams.common.svreport.datacheck.service.BaseCheckLib','inArray','CHB_SECTYPE','==','13,14,15,99','具体类别要素不可为空且必须选择13-15、99中的一项','E','N');</v>
      </c>
    </row>
    <row r="269" spans="1:12" x14ac:dyDescent="0.15">
      <c r="A269" s="17">
        <v>266</v>
      </c>
      <c r="B269" s="21" t="s">
        <v>323</v>
      </c>
      <c r="C269" s="23" t="s">
        <v>1484</v>
      </c>
      <c r="D269" s="22" t="s">
        <v>21</v>
      </c>
      <c r="E269" s="22" t="s">
        <v>1083</v>
      </c>
      <c r="F269" s="22" t="s">
        <v>1084</v>
      </c>
      <c r="G269" s="22" t="s">
        <v>25</v>
      </c>
      <c r="H269" s="21" t="s">
        <v>1091</v>
      </c>
      <c r="I269" s="22" t="s">
        <v>23</v>
      </c>
      <c r="J269" s="22" t="s">
        <v>1092</v>
      </c>
      <c r="K269" s="22" t="s">
        <v>24</v>
      </c>
      <c r="L269" s="2" t="str">
        <f t="shared" si="4"/>
        <v>insert into CHB_DATACHECK_RULE (CHECKRULEID,DATATYPE,CHECKCLASS,CHECKMETHOD,SRCPROPERTY,COMPARETO,OBJVALUE,REMARK,STATUS,NULLABLE) values ('W84807E5-DF24-D920-E050-007F010077FD','CHB_ASSET_INFO','com.joyintech.tams.common.svreport.datacheck.service.BaseCheckLib','inArray','CHB_SECTYPE','==','16,17,18,19,20,21,99','具体类别要素不可为空且必须选择16-21、99中的一项','E','N');</v>
      </c>
    </row>
    <row r="270" spans="1:12" x14ac:dyDescent="0.15">
      <c r="A270" s="9">
        <v>267</v>
      </c>
      <c r="B270" s="21" t="s">
        <v>324</v>
      </c>
      <c r="C270" s="23" t="s">
        <v>1484</v>
      </c>
      <c r="D270" s="22" t="s">
        <v>21</v>
      </c>
      <c r="E270" s="22" t="s">
        <v>1083</v>
      </c>
      <c r="F270" s="22" t="s">
        <v>1084</v>
      </c>
      <c r="G270" s="22" t="s">
        <v>25</v>
      </c>
      <c r="H270" s="21" t="s">
        <v>1093</v>
      </c>
      <c r="I270" s="22" t="s">
        <v>23</v>
      </c>
      <c r="J270" s="22" t="s">
        <v>1094</v>
      </c>
      <c r="K270" s="22" t="s">
        <v>24</v>
      </c>
      <c r="L270" s="2" t="str">
        <f t="shared" si="4"/>
        <v>insert into CHB_DATACHECK_RULE (CHECKRULEID,DATATYPE,CHECKCLASS,CHECKMETHOD,SRCPROPERTY,COMPARETO,OBJVALUE,REMARK,STATUS,NULLABLE) values ('W84807E5-DF25-D920-E050-007F010077FD','CHB_ASSET_INFO','com.joyintech.tams.common.svreport.datacheck.service.BaseCheckLib','inArray','CHB_SECTYPE','==','22,23,24,99','具体类别要素不可为空且必须选择22-24、99中的一项','E','N');</v>
      </c>
    </row>
    <row r="271" spans="1:12" x14ac:dyDescent="0.15">
      <c r="A271" s="17">
        <v>268</v>
      </c>
      <c r="B271" s="21" t="s">
        <v>325</v>
      </c>
      <c r="C271" s="23" t="s">
        <v>1484</v>
      </c>
      <c r="D271" s="22" t="s">
        <v>21</v>
      </c>
      <c r="E271" s="22" t="s">
        <v>1083</v>
      </c>
      <c r="F271" s="22" t="s">
        <v>1084</v>
      </c>
      <c r="G271" s="22" t="s">
        <v>25</v>
      </c>
      <c r="H271" s="21" t="s">
        <v>1095</v>
      </c>
      <c r="I271" s="22" t="s">
        <v>23</v>
      </c>
      <c r="J271" s="22" t="s">
        <v>1096</v>
      </c>
      <c r="K271" s="22" t="s">
        <v>24</v>
      </c>
      <c r="L271" s="2" t="str">
        <f t="shared" si="4"/>
        <v>insert into CHB_DATACHECK_RULE (CHECKRULEID,DATATYPE,CHECKCLASS,CHECKMETHOD,SRCPROPERTY,COMPARETO,OBJVALUE,REMARK,STATUS,NULLABLE) values ('W84807E5-DF26-D920-E050-007F010077FD','CHB_ASSET_INFO','com.joyintech.tams.common.svreport.datacheck.service.BaseCheckLib','inArray','CHB_SECTYPE','==','25,26,27,28,99','具体类别要素不可为空且必须选择25-28、99中的一项','E','N');</v>
      </c>
    </row>
    <row r="272" spans="1:12" x14ac:dyDescent="0.15">
      <c r="A272" s="9">
        <v>269</v>
      </c>
      <c r="B272" s="21" t="s">
        <v>326</v>
      </c>
      <c r="C272" s="23" t="s">
        <v>1484</v>
      </c>
      <c r="D272" s="22" t="s">
        <v>21</v>
      </c>
      <c r="E272" s="22" t="s">
        <v>30</v>
      </c>
      <c r="F272" s="22" t="s">
        <v>1097</v>
      </c>
      <c r="G272" s="22"/>
      <c r="H272" s="21" t="s">
        <v>1098</v>
      </c>
      <c r="I272" s="22" t="s">
        <v>23</v>
      </c>
      <c r="J272" s="22" t="s">
        <v>1099</v>
      </c>
      <c r="K272" s="22" t="s">
        <v>24</v>
      </c>
      <c r="L272" s="2" t="str">
        <f t="shared" si="4"/>
        <v>insert into CHB_DATACHECK_RULE (CHECKRULEID,DATATYPE,CHECKCLASS,CHECKMETHOD,SRCPROPERTY,COMPARETO,OBJVALUE,REMARK,STATUS,NULLABLE) values ('W84807E5-DF27-D920-E050-007F010077FD','CHB_ASSET_INFO','com.joyintech.tams.common.svreport.datacheck.service.BaseCheckLib','inDatadict','ISSUE_MODE','','SVR_ISSUE_MODE_FUND','发行方式不可为空，且必须在值域范围内','E','N');</v>
      </c>
    </row>
    <row r="273" spans="1:12" x14ac:dyDescent="0.15">
      <c r="A273" s="17">
        <v>270</v>
      </c>
      <c r="B273" s="21" t="s">
        <v>327</v>
      </c>
      <c r="C273" s="23" t="s">
        <v>1484</v>
      </c>
      <c r="D273" s="22" t="s">
        <v>21</v>
      </c>
      <c r="E273" s="22" t="s">
        <v>30</v>
      </c>
      <c r="F273" s="22" t="s">
        <v>1100</v>
      </c>
      <c r="G273" s="22"/>
      <c r="H273" s="21" t="s">
        <v>1059</v>
      </c>
      <c r="I273" s="22" t="s">
        <v>23</v>
      </c>
      <c r="J273" s="22" t="s">
        <v>1101</v>
      </c>
      <c r="K273" s="22" t="s">
        <v>24</v>
      </c>
      <c r="L273" s="2" t="str">
        <f t="shared" si="4"/>
        <v>insert into CHB_DATACHECK_RULE (CHECKRULEID,DATATYPE,CHECKCLASS,CHECKMETHOD,SRCPROPERTY,COMPARETO,OBJVALUE,REMARK,STATUS,NULLABLE) values ('W84807E5-DF28-D920-E050-007F010077FD','CHB_ASSET_INFO','com.joyintech.tams.common.svreport.datacheck.service.BaseCheckLib','inDatadict','SEC_MAIN_GRADE','','SVR_MAIN_GRADE','主体评级不可为空，且必须在值域范围内','E','N');</v>
      </c>
    </row>
    <row r="274" spans="1:12" x14ac:dyDescent="0.15">
      <c r="A274" s="9">
        <v>271</v>
      </c>
      <c r="B274" s="21" t="s">
        <v>245</v>
      </c>
      <c r="C274" s="23" t="s">
        <v>1484</v>
      </c>
      <c r="D274" s="22" t="s">
        <v>21</v>
      </c>
      <c r="E274" s="22" t="s">
        <v>30</v>
      </c>
      <c r="F274" s="22" t="s">
        <v>1002</v>
      </c>
      <c r="G274" s="22" t="s">
        <v>25</v>
      </c>
      <c r="H274" s="21" t="s">
        <v>814</v>
      </c>
      <c r="I274" s="22" t="s">
        <v>27</v>
      </c>
      <c r="J274" s="22" t="s">
        <v>1003</v>
      </c>
      <c r="K274" s="22" t="s">
        <v>24</v>
      </c>
      <c r="L274" s="2" t="str">
        <f t="shared" si="4"/>
        <v>insert into CHB_DATACHECK_RULE (CHECKRULEID,DATATYPE,CHECKCLASS,CHECKMETHOD,SRCPROPERTY,COMPARETO,OBJVALUE,REMARK,STATUS,NULLABLE) values ('W84807E5-DF28-D920-E050-007F010088FD','CHB_ASSET_INFO','com.joyintech.tams.common.svreport.datacheck.service.BaseCheckLib','inDatadict','ISUI_BOND','==','SVR_YES_OR_NO','是否城投债（债券类资产）要素不在值域范围内。','E','Y');</v>
      </c>
    </row>
    <row r="275" spans="1:12" x14ac:dyDescent="0.15">
      <c r="A275" s="17">
        <v>272</v>
      </c>
      <c r="B275" s="21" t="s">
        <v>246</v>
      </c>
      <c r="C275" s="23" t="s">
        <v>1484</v>
      </c>
      <c r="D275" s="22" t="s">
        <v>21</v>
      </c>
      <c r="E275" s="22" t="s">
        <v>30</v>
      </c>
      <c r="F275" s="22" t="s">
        <v>1004</v>
      </c>
      <c r="G275" s="22" t="s">
        <v>25</v>
      </c>
      <c r="H275" s="21" t="s">
        <v>814</v>
      </c>
      <c r="I275" s="22" t="s">
        <v>27</v>
      </c>
      <c r="J275" s="22" t="s">
        <v>1005</v>
      </c>
      <c r="K275" s="22" t="s">
        <v>24</v>
      </c>
      <c r="L275" s="2" t="str">
        <f t="shared" si="4"/>
        <v>insert into CHB_DATACHECK_RULE (CHECKRULEID,DATATYPE,CHECKCLASS,CHECKMETHOD,SRCPROPERTY,COMPARETO,OBJVALUE,REMARK,STATUS,NULLABLE) values ('W84807E5-DF28-D920-E050-007F010098FD','CHB_ASSET_INFO','com.joyintech.tams.common.svreport.datacheck.service.BaseCheckLib','inDatadict','PRIVATE_FLAG','==','SVR_YES_OR_NO','投向地方政府融资平台要素不在值域范围内。','E','Y');</v>
      </c>
    </row>
    <row r="276" spans="1:12" x14ac:dyDescent="0.15">
      <c r="A276" s="9">
        <v>273</v>
      </c>
      <c r="B276" s="21" t="s">
        <v>247</v>
      </c>
      <c r="C276" s="23" t="s">
        <v>1484</v>
      </c>
      <c r="D276" s="22" t="s">
        <v>21</v>
      </c>
      <c r="E276" s="22" t="s">
        <v>30</v>
      </c>
      <c r="F276" s="22" t="s">
        <v>1006</v>
      </c>
      <c r="G276" s="22" t="s">
        <v>25</v>
      </c>
      <c r="H276" s="21" t="s">
        <v>1007</v>
      </c>
      <c r="I276" s="22" t="s">
        <v>27</v>
      </c>
      <c r="J276" s="22" t="s">
        <v>1008</v>
      </c>
      <c r="K276" s="22" t="s">
        <v>24</v>
      </c>
      <c r="L276" s="2" t="str">
        <f t="shared" si="4"/>
        <v>insert into CHB_DATACHECK_RULE (CHECKRULEID,DATATYPE,CHECKCLASS,CHECKMETHOD,SRCPROPERTY,COMPARETO,OBJVALUE,REMARK,STATUS,NULLABLE) values ('W84807E5-DF28-D920-E050-007F010099FD','CHB_ASSET_INFO','com.joyintech.tams.common.svreport.datacheck.service.BaseCheckLib','inDatadict','INSTIT_SIZE','==','SVR_INSTIT_SIZE','人行机构规模要素不在值域范围内。','E','Y');</v>
      </c>
    </row>
    <row r="277" spans="1:12" x14ac:dyDescent="0.15">
      <c r="A277" s="17">
        <v>274</v>
      </c>
      <c r="B277" s="21" t="s">
        <v>248</v>
      </c>
      <c r="C277" s="23" t="s">
        <v>1484</v>
      </c>
      <c r="D277" s="22" t="s">
        <v>21</v>
      </c>
      <c r="E277" s="22" t="s">
        <v>22</v>
      </c>
      <c r="F277" s="22" t="s">
        <v>1006</v>
      </c>
      <c r="G277" s="22"/>
      <c r="H277" s="21"/>
      <c r="I277" s="22" t="s">
        <v>23</v>
      </c>
      <c r="J277" s="22" t="s">
        <v>1009</v>
      </c>
      <c r="K277" s="22" t="s">
        <v>24</v>
      </c>
      <c r="L277" s="2" t="str">
        <f t="shared" si="4"/>
        <v>insert into CHB_DATACHECK_RULE (CHECKRULEID,DATATYPE,CHECKCLASS,CHECKMETHOD,SRCPROPERTY,COMPARETO,OBJVALUE,REMARK,STATUS,NULLABLE) values ('W84807E5-DF28-D920-E050-007F010100FD','CHB_ASSET_INFO','com.joyintech.tams.common.svreport.datacheck.service.BaseCheckLib','isNotEmpty','INSTIT_SIZE','','','人行机构规模要素不能为空','E','N');</v>
      </c>
    </row>
    <row r="278" spans="1:12" x14ac:dyDescent="0.15">
      <c r="A278" s="9">
        <v>275</v>
      </c>
      <c r="B278" s="21" t="s">
        <v>328</v>
      </c>
      <c r="C278" s="23" t="s">
        <v>1484</v>
      </c>
      <c r="D278" s="22" t="s">
        <v>21</v>
      </c>
      <c r="E278" s="22" t="s">
        <v>22</v>
      </c>
      <c r="F278" s="22" t="s">
        <v>8</v>
      </c>
      <c r="G278" s="22"/>
      <c r="H278" s="21" t="s">
        <v>26</v>
      </c>
      <c r="I278" s="22" t="s">
        <v>23</v>
      </c>
      <c r="J278" s="22" t="s">
        <v>43</v>
      </c>
      <c r="K278" s="22" t="s">
        <v>24</v>
      </c>
      <c r="L278" s="2" t="str">
        <f t="shared" si="4"/>
        <v>insert into CHB_DATACHECK_RULE (CHECKRULEID,DATATYPE,CHECKCLASS,CHECKMETHOD,SRCPROPERTY,COMPARETO,OBJVALUE,REMARK,STATUS,NULLABLE) values ('W84807E5-DF28-D981-E051-007F01007914','CHB_ASSET_INFO','com.joyintech.tams.common.svreport.datacheck.service.BaseCheckLib','isNotEmpty','REMARK','','0','备注要素不可为空','E','N');</v>
      </c>
    </row>
    <row r="279" spans="1:12" x14ac:dyDescent="0.15">
      <c r="A279" s="17">
        <v>276</v>
      </c>
      <c r="B279" s="21" t="s">
        <v>329</v>
      </c>
      <c r="C279" s="23" t="s">
        <v>1484</v>
      </c>
      <c r="D279" s="22" t="s">
        <v>21</v>
      </c>
      <c r="E279" s="22" t="s">
        <v>30</v>
      </c>
      <c r="F279" s="22" t="s">
        <v>1102</v>
      </c>
      <c r="G279" s="22"/>
      <c r="H279" s="21" t="s">
        <v>1013</v>
      </c>
      <c r="I279" s="22" t="s">
        <v>23</v>
      </c>
      <c r="J279" s="22" t="s">
        <v>1103</v>
      </c>
      <c r="K279" s="22" t="s">
        <v>24</v>
      </c>
      <c r="L279" s="2" t="str">
        <f t="shared" si="4"/>
        <v>insert into CHB_DATACHECK_RULE (CHECKRULEID,DATATYPE,CHECKCLASS,CHECKMETHOD,SRCPROPERTY,COMPARETO,OBJVALUE,REMARK,STATUS,NULLABLE) values ('W84807E5-DF29-D920-E050-007F010077FD','CHB_ASSET_INFO','com.joyintech.tams.common.svreport.datacheck.service.BaseCheckLib','inDatadict','PARTY_TYPE1','','SVR_PARTY_TYPE1','发行机构类型（按规模划分）要素不可为空，且必须在值域范围内','E','N');</v>
      </c>
    </row>
    <row r="280" spans="1:12" x14ac:dyDescent="0.15">
      <c r="A280" s="9">
        <v>277</v>
      </c>
      <c r="B280" s="21" t="s">
        <v>330</v>
      </c>
      <c r="C280" s="23" t="s">
        <v>1484</v>
      </c>
      <c r="D280" s="22" t="s">
        <v>21</v>
      </c>
      <c r="E280" s="22" t="s">
        <v>30</v>
      </c>
      <c r="F280" s="22" t="s">
        <v>1104</v>
      </c>
      <c r="G280" s="22"/>
      <c r="H280" s="21" t="s">
        <v>1017</v>
      </c>
      <c r="I280" s="22" t="s">
        <v>23</v>
      </c>
      <c r="J280" s="22" t="s">
        <v>1105</v>
      </c>
      <c r="K280" s="22" t="s">
        <v>24</v>
      </c>
      <c r="L280" s="2" t="str">
        <f t="shared" si="4"/>
        <v>insert into CHB_DATACHECK_RULE (CHECKRULEID,DATATYPE,CHECKCLASS,CHECKMETHOD,SRCPROPERTY,COMPARETO,OBJVALUE,REMARK,STATUS,NULLABLE) values ('W84807E5-DF2A-D920-E050-007F010077FD','CHB_ASSET_INFO','com.joyintech.tams.common.svreport.datacheck.service.BaseCheckLib','inDatadict','PARTY_TYPE2','','SVR_PARTY_TYPE2','发行机构类型（按经济类型划分）要素不可为空，且必须在值域范围内','E','N');</v>
      </c>
    </row>
    <row r="281" spans="1:12" x14ac:dyDescent="0.15">
      <c r="A281" s="17">
        <v>278</v>
      </c>
      <c r="B281" s="21" t="s">
        <v>331</v>
      </c>
      <c r="C281" s="23" t="s">
        <v>1484</v>
      </c>
      <c r="D281" s="22" t="s">
        <v>21</v>
      </c>
      <c r="E281" s="22" t="s">
        <v>30</v>
      </c>
      <c r="F281" s="22" t="s">
        <v>1106</v>
      </c>
      <c r="G281" s="22"/>
      <c r="H281" s="21" t="s">
        <v>1043</v>
      </c>
      <c r="I281" s="22" t="s">
        <v>23</v>
      </c>
      <c r="J281" s="22" t="s">
        <v>1107</v>
      </c>
      <c r="K281" s="22" t="s">
        <v>24</v>
      </c>
      <c r="L281" s="2" t="str">
        <f t="shared" si="4"/>
        <v>insert into CHB_DATACHECK_RULE (CHECKRULEID,DATATYPE,CHECKCLASS,CHECKMETHOD,SRCPROPERTY,COMPARETO,OBJVALUE,REMARK,STATUS,NULLABLE) values ('W84807E5-DF2B-D920-E050-007F010077FD','CHB_ASSET_INFO','com.joyintech.tams.common.svreport.datacheck.service.BaseCheckLib','inDatadict','PARTY_TYPE3','','SVR_PARTY_TYPE3','发行机构类型（按技术领域划分）要素不可为空，且必须在值域范围内','E','N');</v>
      </c>
    </row>
    <row r="282" spans="1:12" x14ac:dyDescent="0.15">
      <c r="A282" s="9">
        <v>279</v>
      </c>
      <c r="B282" s="21" t="s">
        <v>2421</v>
      </c>
      <c r="C282" s="23" t="s">
        <v>1484</v>
      </c>
      <c r="D282" s="22" t="s">
        <v>21</v>
      </c>
      <c r="E282" s="22" t="s">
        <v>30</v>
      </c>
      <c r="F282" s="22" t="s">
        <v>917</v>
      </c>
      <c r="G282" s="22"/>
      <c r="H282" s="21" t="s">
        <v>820</v>
      </c>
      <c r="I282" s="22" t="s">
        <v>23</v>
      </c>
      <c r="J282" s="22" t="s">
        <v>918</v>
      </c>
      <c r="K282" s="22" t="s">
        <v>24</v>
      </c>
      <c r="L282" s="2" t="str">
        <f t="shared" si="4"/>
        <v>insert into CHB_DATACHECK_RULE (CHECKRULEID,DATATYPE,CHECKCLASS,CHECKMETHOD,SRCPROPERTY,COMPARETO,OBJVALUE,REMARK,STATUS,NULLABLE) values ('W84807E5-DF2C-D920-E050-007F010077FD','CHB_ASSET_INFO','com.joyintech.tams.common.svreport.datacheck.service.BaseCheckLib','inDatadict','INDUSTRY_LEVEL2','','INSTITUTION_INDUSTRY_SECOND_LEVEL','发行机构所属行业要素不可为空，且必须在值域范围内','E','N');</v>
      </c>
    </row>
    <row r="283" spans="1:12" x14ac:dyDescent="0.15">
      <c r="A283" s="17">
        <v>280</v>
      </c>
      <c r="B283" s="21" t="s">
        <v>333</v>
      </c>
      <c r="C283" s="23" t="s">
        <v>1484</v>
      </c>
      <c r="D283" s="22" t="s">
        <v>21</v>
      </c>
      <c r="E283" s="22" t="s">
        <v>30</v>
      </c>
      <c r="F283" s="22" t="s">
        <v>1108</v>
      </c>
      <c r="G283" s="22"/>
      <c r="H283" s="21" t="s">
        <v>2357</v>
      </c>
      <c r="I283" s="22" t="s">
        <v>23</v>
      </c>
      <c r="J283" s="22" t="s">
        <v>1109</v>
      </c>
      <c r="K283" s="22" t="s">
        <v>24</v>
      </c>
      <c r="L283" s="2" t="str">
        <f t="shared" si="4"/>
        <v>insert into CHB_DATACHECK_RULE (CHECKRULEID,DATATYPE,CHECKCLASS,CHECKMETHOD,SRCPROPERTY,COMPARETO,OBJVALUE,REMARK,STATUS,NULLABLE) values ('W84807E5-DF2D-D920-E050-007F010077FD','CHB_ASSET_INFO','com.joyintech.tams.common.svreport.datacheck.service.BaseCheckLib','inDatadict','REGIST_ORG','','SVR_REGIST_ORG3','登记托管机构要素不可为空，且必须在值域范围内','E','N');</v>
      </c>
    </row>
    <row r="284" spans="1:12" x14ac:dyDescent="0.15">
      <c r="A284" s="9">
        <v>281</v>
      </c>
      <c r="B284" s="21" t="s">
        <v>334</v>
      </c>
      <c r="C284" s="23" t="s">
        <v>1484</v>
      </c>
      <c r="D284" s="22" t="s">
        <v>21</v>
      </c>
      <c r="E284" s="22" t="s">
        <v>62</v>
      </c>
      <c r="F284" s="22" t="s">
        <v>841</v>
      </c>
      <c r="G284" s="22"/>
      <c r="H284" s="21" t="s">
        <v>2331</v>
      </c>
      <c r="I284" s="22" t="s">
        <v>23</v>
      </c>
      <c r="J284" s="22" t="s">
        <v>1110</v>
      </c>
      <c r="K284" s="22" t="s">
        <v>24</v>
      </c>
      <c r="L284" s="2" t="str">
        <f t="shared" si="4"/>
        <v>insert into CHB_DATACHECK_RULE (CHECKRULEID,DATATYPE,CHECKCLASS,CHECKMETHOD,SRCPROPERTY,COMPARETO,OBJVALUE,REMARK,STATUS,NULLABLE) values ('W84807E5-DF2E-D920-E050-007F010077FD','CHB_ASSET_INFO','com.joyintech.tams.common.svreport.datacheck.service.BaseCheckLib','lessThanCharLength','REGISTORG_COMMENT','','257','登记托管机构说明要素不可为空且不可过长','E','N');</v>
      </c>
    </row>
    <row r="285" spans="1:12" x14ac:dyDescent="0.15">
      <c r="A285" s="17">
        <v>282</v>
      </c>
      <c r="B285" s="21" t="s">
        <v>335</v>
      </c>
      <c r="C285" s="23" t="s">
        <v>1484</v>
      </c>
      <c r="D285" s="22" t="s">
        <v>21</v>
      </c>
      <c r="E285" s="22" t="s">
        <v>62</v>
      </c>
      <c r="F285" s="22" t="s">
        <v>841</v>
      </c>
      <c r="G285" s="22" t="s">
        <v>25</v>
      </c>
      <c r="H285" s="21" t="s">
        <v>26</v>
      </c>
      <c r="I285" s="22" t="s">
        <v>27</v>
      </c>
      <c r="J285" s="22" t="s">
        <v>1111</v>
      </c>
      <c r="K285" s="22" t="s">
        <v>24</v>
      </c>
      <c r="L285" s="2" t="str">
        <f t="shared" si="4"/>
        <v>insert into CHB_DATACHECK_RULE (CHECKRULEID,DATATYPE,CHECKCLASS,CHECKMETHOD,SRCPROPERTY,COMPARETO,OBJVALUE,REMARK,STATUS,NULLABLE) values ('W84807E5-DF2F-D920-E050-007F010077FD','CHB_ASSET_INFO','com.joyintech.tams.common.svreport.datacheck.service.BaseCheckLib','lessThanCharLength','REGISTORG_COMMENT','==','0','登记托管机构说明要素必须为空','E','Y');</v>
      </c>
    </row>
    <row r="286" spans="1:12" x14ac:dyDescent="0.15">
      <c r="A286" s="9">
        <v>283</v>
      </c>
      <c r="B286" s="21" t="s">
        <v>336</v>
      </c>
      <c r="C286" s="23" t="s">
        <v>1484</v>
      </c>
      <c r="D286" s="22" t="s">
        <v>21</v>
      </c>
      <c r="E286" s="22" t="s">
        <v>62</v>
      </c>
      <c r="F286" s="22" t="s">
        <v>807</v>
      </c>
      <c r="G286" s="22"/>
      <c r="H286" s="21" t="s">
        <v>2330</v>
      </c>
      <c r="I286" s="22" t="s">
        <v>23</v>
      </c>
      <c r="J286" s="22" t="s">
        <v>960</v>
      </c>
      <c r="K286" s="22" t="s">
        <v>24</v>
      </c>
      <c r="L286" s="2" t="str">
        <f t="shared" si="4"/>
        <v>insert into CHB_DATACHECK_RULE (CHECKRULEID,DATATYPE,CHECKCLASS,CHECKMETHOD,SRCPROPERTY,COMPARETO,OBJVALUE,REMARK,STATUS,NULLABLE) values ('W84807E5-DF34-D920-E050-007F010077FD','CHB_ASSET_INFO','com.joyintech.tams.common.svreport.datacheck.service.BaseCheckLib','lessThanCharLength','ASSET_NAME','','201','名称不可为空且不能过长。','E','N');</v>
      </c>
    </row>
    <row r="287" spans="1:12" x14ac:dyDescent="0.15">
      <c r="A287" s="17">
        <v>284</v>
      </c>
      <c r="B287" s="21" t="s">
        <v>2397</v>
      </c>
      <c r="C287" s="23" t="s">
        <v>1484</v>
      </c>
      <c r="D287" s="22" t="s">
        <v>21</v>
      </c>
      <c r="E287" s="22" t="s">
        <v>48</v>
      </c>
      <c r="F287" s="22" t="s">
        <v>807</v>
      </c>
      <c r="G287" s="22"/>
      <c r="H287" s="21" t="s">
        <v>63</v>
      </c>
      <c r="I287" s="22" t="s">
        <v>27</v>
      </c>
      <c r="J287" s="22" t="s">
        <v>840</v>
      </c>
      <c r="K287" s="22" t="s">
        <v>24</v>
      </c>
      <c r="L287" s="2" t="str">
        <f t="shared" si="4"/>
        <v>insert into CHB_DATACHECK_RULE (CHECKRULEID,DATATYPE,CHECKCLASS,CHECKMETHOD,SRCPROPERTY,COMPARETO,OBJVALUE,REMARK,STATUS,NULLABLE) values ('W84807E5-DF34-D920-E050-107F010077FD','CHB_ASSET_INFO','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88" spans="1:12" x14ac:dyDescent="0.15">
      <c r="A288" s="9">
        <v>285</v>
      </c>
      <c r="B288" s="21" t="s">
        <v>338</v>
      </c>
      <c r="C288" s="23" t="s">
        <v>1484</v>
      </c>
      <c r="D288" s="22" t="s">
        <v>21</v>
      </c>
      <c r="E288" s="22" t="s">
        <v>32</v>
      </c>
      <c r="F288" s="22" t="s">
        <v>763</v>
      </c>
      <c r="G288" s="22"/>
      <c r="H288" s="21" t="s">
        <v>36</v>
      </c>
      <c r="I288" s="22" t="s">
        <v>27</v>
      </c>
      <c r="J288" s="22" t="s">
        <v>1112</v>
      </c>
      <c r="K288" s="22" t="s">
        <v>24</v>
      </c>
      <c r="L288" s="2" t="str">
        <f t="shared" si="4"/>
        <v>insert into CHB_DATACHECK_RULE (CHECKRULEID,DATATYPE,CHECKCLASS,CHECKMETHOD,SRCPROPERTY,COMPARETO,OBJVALUE,REMARK,STATUS,NULLABLE) values ('W84807E5-DF35-D920-E050-007F010077FD','CHB_ASSET_INFO','com.joyintech.tams.common.svreport.datacheck.service.BaseCheckLib','isNumber2','AMT','','15,2','金额格式必须为n(15,2)格式。','E','Y');</v>
      </c>
    </row>
    <row r="289" spans="1:12" x14ac:dyDescent="0.15">
      <c r="A289" s="17">
        <v>286</v>
      </c>
      <c r="B289" s="21" t="s">
        <v>339</v>
      </c>
      <c r="C289" s="23" t="s">
        <v>1484</v>
      </c>
      <c r="D289" s="22" t="s">
        <v>21</v>
      </c>
      <c r="E289" s="22" t="s">
        <v>22</v>
      </c>
      <c r="F289" s="22" t="s">
        <v>8</v>
      </c>
      <c r="G289" s="22"/>
      <c r="H289" s="21" t="s">
        <v>26</v>
      </c>
      <c r="I289" s="22" t="s">
        <v>23</v>
      </c>
      <c r="J289" s="22" t="s">
        <v>43</v>
      </c>
      <c r="K289" s="22" t="s">
        <v>24</v>
      </c>
      <c r="L289" s="2" t="str">
        <f t="shared" si="4"/>
        <v>insert into CHB_DATACHECK_RULE (CHECKRULEID,DATATYPE,CHECKCLASS,CHECKMETHOD,SRCPROPERTY,COMPARETO,OBJVALUE,REMARK,STATUS,NULLABLE) values ('W84807E5-DF35-D981-E051-007F01007914','CHB_ASSET_INFO','com.joyintech.tams.common.svreport.datacheck.service.BaseCheckLib','isNotEmpty','REMARK','','0','备注要素不可为空','E','N');</v>
      </c>
    </row>
    <row r="290" spans="1:12" x14ac:dyDescent="0.15">
      <c r="A290" s="9">
        <v>287</v>
      </c>
      <c r="B290" s="21" t="s">
        <v>340</v>
      </c>
      <c r="C290" s="23" t="s">
        <v>1484</v>
      </c>
      <c r="D290" s="22" t="s">
        <v>21</v>
      </c>
      <c r="E290" s="22" t="s">
        <v>22</v>
      </c>
      <c r="F290" s="22" t="s">
        <v>8</v>
      </c>
      <c r="G290" s="22"/>
      <c r="H290" s="21" t="s">
        <v>26</v>
      </c>
      <c r="I290" s="22" t="s">
        <v>23</v>
      </c>
      <c r="J290" s="22" t="s">
        <v>43</v>
      </c>
      <c r="K290" s="22" t="s">
        <v>24</v>
      </c>
      <c r="L290" s="2" t="str">
        <f t="shared" si="4"/>
        <v>insert into CHB_DATACHECK_RULE (CHECKRULEID,DATATYPE,CHECKCLASS,CHECKMETHOD,SRCPROPERTY,COMPARETO,OBJVALUE,REMARK,STATUS,NULLABLE) values ('W84807E5-DF35-D981-E051-117F01007914','CHB_ASSET_INFO','com.joyintech.tams.common.svreport.datacheck.service.BaseCheckLib','isNotEmpty','REMARK','','0','备注要素不可为空','E','N');</v>
      </c>
    </row>
    <row r="291" spans="1:12" x14ac:dyDescent="0.15">
      <c r="A291" s="17">
        <v>288</v>
      </c>
      <c r="B291" s="21" t="s">
        <v>341</v>
      </c>
      <c r="C291" s="23" t="s">
        <v>1484</v>
      </c>
      <c r="D291" s="22" t="s">
        <v>21</v>
      </c>
      <c r="E291" s="22" t="s">
        <v>22</v>
      </c>
      <c r="F291" s="22" t="s">
        <v>763</v>
      </c>
      <c r="G291" s="22"/>
      <c r="H291" s="21"/>
      <c r="I291" s="22" t="s">
        <v>23</v>
      </c>
      <c r="J291" s="22" t="s">
        <v>1113</v>
      </c>
      <c r="K291" s="22" t="s">
        <v>24</v>
      </c>
      <c r="L291" s="2" t="str">
        <f t="shared" si="4"/>
        <v>insert into CHB_DATACHECK_RULE (CHECKRULEID,DATATYPE,CHECKCLASS,CHECKMETHOD,SRCPROPERTY,COMPARETO,OBJVALUE,REMARK,STATUS,NULLABLE) values ('W84807E5-DF36-D920-E050-007F010077FD','CHB_ASSET_INFO','com.joyintech.tams.common.svreport.datacheck.service.BaseCheckLib','isNotEmpty','AMT','','','金额要素不可为空。','E','N');</v>
      </c>
    </row>
    <row r="292" spans="1:12" x14ac:dyDescent="0.15">
      <c r="A292" s="9">
        <v>289</v>
      </c>
      <c r="B292" s="21" t="s">
        <v>342</v>
      </c>
      <c r="C292" s="23" t="s">
        <v>1484</v>
      </c>
      <c r="D292" s="22" t="s">
        <v>21</v>
      </c>
      <c r="E292" s="22" t="s">
        <v>30</v>
      </c>
      <c r="F292" s="22" t="s">
        <v>47</v>
      </c>
      <c r="G292" s="22" t="s">
        <v>25</v>
      </c>
      <c r="H292" s="21" t="s">
        <v>1114</v>
      </c>
      <c r="I292" s="22" t="s">
        <v>23</v>
      </c>
      <c r="J292" s="22" t="s">
        <v>1115</v>
      </c>
      <c r="K292" s="22" t="s">
        <v>24</v>
      </c>
      <c r="L292" s="2" t="str">
        <f t="shared" si="4"/>
        <v>insert into CHB_DATACHECK_RULE (CHECKRULEID,DATATYPE,CHECKCLASS,CHECKMETHOD,SRCPROPERTY,COMPARETO,OBJVALUE,REMARK,STATUS,NULLABLE) values ('W84807E5-DF37-D920-E050-007F010077FD','CHB_ASSET_INFO','com.joyintech.tams.common.svreport.datacheck.service.BaseCheckLib','inDatadict','PROFIT_TYPE','==','SVR_PROFIT_TYPE','收/受益权类型要素不可为空，且必须在值域范围内','E','N');</v>
      </c>
    </row>
    <row r="293" spans="1:12" x14ac:dyDescent="0.15">
      <c r="A293" s="17">
        <v>290</v>
      </c>
      <c r="B293" s="21" t="s">
        <v>343</v>
      </c>
      <c r="C293" s="23" t="s">
        <v>1484</v>
      </c>
      <c r="D293" s="22" t="s">
        <v>21</v>
      </c>
      <c r="E293" s="22" t="s">
        <v>62</v>
      </c>
      <c r="F293" s="22" t="s">
        <v>47</v>
      </c>
      <c r="G293" s="22" t="s">
        <v>25</v>
      </c>
      <c r="H293" s="21" t="s">
        <v>26</v>
      </c>
      <c r="I293" s="22" t="s">
        <v>27</v>
      </c>
      <c r="J293" s="22" t="s">
        <v>1116</v>
      </c>
      <c r="K293" s="22" t="s">
        <v>24</v>
      </c>
      <c r="L293" s="2" t="str">
        <f t="shared" si="4"/>
        <v>insert into CHB_DATACHECK_RULE (CHECKRULEID,DATATYPE,CHECKCLASS,CHECKMETHOD,SRCPROPERTY,COMPARETO,OBJVALUE,REMARK,STATUS,NULLABLE) values ('W84807E5-DF38-D920-E050-007F010077FD','CHB_ASSET_INFO','com.joyintech.tams.common.svreport.datacheck.service.BaseCheckLib','lessThanCharLength','PROFIT_TYPE','==','0','收/受益权类型要素必须为空','E','Y');</v>
      </c>
    </row>
    <row r="294" spans="1:12" x14ac:dyDescent="0.15">
      <c r="A294" s="9">
        <v>291</v>
      </c>
      <c r="B294" s="21" t="s">
        <v>344</v>
      </c>
      <c r="C294" s="23" t="s">
        <v>1484</v>
      </c>
      <c r="D294" s="22" t="s">
        <v>21</v>
      </c>
      <c r="E294" s="22" t="s">
        <v>30</v>
      </c>
      <c r="F294" s="22" t="s">
        <v>1117</v>
      </c>
      <c r="G294" s="22"/>
      <c r="H294" s="21" t="s">
        <v>814</v>
      </c>
      <c r="I294" s="22" t="s">
        <v>23</v>
      </c>
      <c r="J294" s="22" t="s">
        <v>1118</v>
      </c>
      <c r="K294" s="22" t="s">
        <v>24</v>
      </c>
      <c r="L294" s="2" t="str">
        <f t="shared" si="4"/>
        <v>insert into CHB_DATACHECK_RULE (CHECKRULEID,DATATYPE,CHECKCLASS,CHECKMETHOD,SRCPROPERTY,COMPARETO,OBJVALUE,REMARK,STATUS,NULLABLE) values ('W84807E5-DF39-D920-E050-007F010077FD','CHB_ASSET_INFO','com.joyintech.tams.common.svreport.datacheck.service.BaseCheckLib','inDatadict','IS_RESALE','','SVR_YES_OR_NO','是否属于买入返售要素不可为空，且必须在值域范围内。','E','N');</v>
      </c>
    </row>
    <row r="295" spans="1:12" x14ac:dyDescent="0.15">
      <c r="A295" s="17">
        <v>292</v>
      </c>
      <c r="B295" s="21" t="s">
        <v>345</v>
      </c>
      <c r="C295" s="23" t="s">
        <v>1484</v>
      </c>
      <c r="D295" s="22" t="s">
        <v>21</v>
      </c>
      <c r="E295" s="22" t="s">
        <v>38</v>
      </c>
      <c r="F295" s="22" t="s">
        <v>766</v>
      </c>
      <c r="G295" s="22" t="s">
        <v>25</v>
      </c>
      <c r="H295" s="21" t="s">
        <v>767</v>
      </c>
      <c r="I295" s="22" t="s">
        <v>27</v>
      </c>
      <c r="J295" s="22" t="s">
        <v>788</v>
      </c>
      <c r="K295" s="22" t="s">
        <v>24</v>
      </c>
      <c r="L295" s="2" t="str">
        <f t="shared" si="4"/>
        <v>insert into CHB_DATACHECK_RULE (CHECKRULEID,DATATYPE,CHECKCLASS,CHECKMETHOD,SRCPROPERTY,COMPARETO,OBJVALUE,REMARK,STATUS,NULLABLE) values ('W84807E5-DF3A-D920-E050-007F010077FD','CHB_ASSET_INFO','com.joyintech.tams.common.svreport.datacheck.service.BaseCheckLib','isValidDate','VDATE','==','yyyy-MM-dd','起息日必须为日期格式（YYYY-MM-DD）。','E','Y');</v>
      </c>
    </row>
    <row r="296" spans="1:12" x14ac:dyDescent="0.15">
      <c r="A296" s="9">
        <v>293</v>
      </c>
      <c r="B296" s="21" t="s">
        <v>346</v>
      </c>
      <c r="C296" s="23" t="s">
        <v>1484</v>
      </c>
      <c r="D296" s="22" t="s">
        <v>21</v>
      </c>
      <c r="E296" s="22" t="s">
        <v>38</v>
      </c>
      <c r="F296" s="22" t="s">
        <v>769</v>
      </c>
      <c r="G296" s="22"/>
      <c r="H296" s="21" t="s">
        <v>767</v>
      </c>
      <c r="I296" s="22" t="s">
        <v>27</v>
      </c>
      <c r="J296" s="22" t="s">
        <v>770</v>
      </c>
      <c r="K296" s="22" t="s">
        <v>24</v>
      </c>
      <c r="L296" s="2" t="str">
        <f t="shared" si="4"/>
        <v>insert into CHB_DATACHECK_RULE (CHECKRULEID,DATATYPE,CHECKCLASS,CHECKMETHOD,SRCPROPERTY,COMPARETO,OBJVALUE,REMARK,STATUS,NULLABLE) values ('W84807E5-DF3B-D920-E050-007F010077FD','CHB_ASSET_INFO','com.joyintech.tams.common.svreport.datacheck.service.BaseCheckLib','isValidDate','MDATE','','yyyy-MM-dd','到期日要素必填且必须为日期格式（YYYY-MM-DD）。','E','Y');</v>
      </c>
    </row>
    <row r="297" spans="1:12" s="15" customFormat="1" x14ac:dyDescent="0.15">
      <c r="A297" s="17">
        <v>294</v>
      </c>
      <c r="B297" s="21" t="s">
        <v>347</v>
      </c>
      <c r="C297" s="23" t="s">
        <v>1484</v>
      </c>
      <c r="D297" s="22" t="s">
        <v>21</v>
      </c>
      <c r="E297" s="22" t="s">
        <v>39</v>
      </c>
      <c r="F297" s="22" t="s">
        <v>769</v>
      </c>
      <c r="G297" s="22" t="s">
        <v>35</v>
      </c>
      <c r="H297" s="21" t="s">
        <v>766</v>
      </c>
      <c r="I297" s="22" t="s">
        <v>27</v>
      </c>
      <c r="J297" s="22" t="s">
        <v>771</v>
      </c>
      <c r="K297" s="22" t="s">
        <v>24</v>
      </c>
      <c r="L297" s="14" t="str">
        <f t="shared" si="4"/>
        <v>insert into CHB_DATACHECK_RULE (CHECKRULEID,DATATYPE,CHECKCLASS,CHECKMETHOD,SRCPROPERTY,COMPARETO,OBJVALUE,REMARK,STATUS,NULLABLE) values ('W84807E5-DF3C-D920-E050-007F010077FD','CHB_ASSET_INFO','com.joyintech.tams.common.svreport.datacheck.service.BaseCheckLib','compareProperty','MDATE','&gt;=','VDATE','到期日必须大于等于起息日。','E','Y');</v>
      </c>
    </row>
    <row r="298" spans="1:12" x14ac:dyDescent="0.15">
      <c r="A298" s="9">
        <v>295</v>
      </c>
      <c r="B298" s="21" t="s">
        <v>348</v>
      </c>
      <c r="C298" s="23" t="s">
        <v>1484</v>
      </c>
      <c r="D298" s="22" t="s">
        <v>21</v>
      </c>
      <c r="E298" s="22" t="s">
        <v>22</v>
      </c>
      <c r="F298" s="22" t="s">
        <v>1032</v>
      </c>
      <c r="G298" s="22"/>
      <c r="H298" s="21"/>
      <c r="I298" s="22" t="s">
        <v>23</v>
      </c>
      <c r="J298" s="22" t="s">
        <v>1033</v>
      </c>
      <c r="K298" s="22" t="s">
        <v>24</v>
      </c>
      <c r="L298" s="2" t="str">
        <f t="shared" si="4"/>
        <v>insert into CHB_DATACHECK_RULE (CHECKRULEID,DATATYPE,CHECKCLASS,CHECKMETHOD,SRCPROPERTY,COMPARETO,OBJVALUE,REMARK,STATUS,NULLABLE) values ('W84807E5-DF3E-D920-E050-007F010077FD','CHB_ASSET_INFO','com.joyintech.tams.common.svreport.datacheck.service.BaseCheckLib','isNotEmpty','RATE_FLAG','','','是否有预期收益率不可为空','E','N');</v>
      </c>
    </row>
    <row r="299" spans="1:12" x14ac:dyDescent="0.15">
      <c r="A299" s="17">
        <v>296</v>
      </c>
      <c r="B299" s="21" t="s">
        <v>349</v>
      </c>
      <c r="C299" s="23" t="s">
        <v>1484</v>
      </c>
      <c r="D299" s="22" t="s">
        <v>21</v>
      </c>
      <c r="E299" s="22" t="s">
        <v>32</v>
      </c>
      <c r="F299" s="22" t="s">
        <v>772</v>
      </c>
      <c r="G299" s="22"/>
      <c r="H299" s="21" t="s">
        <v>33</v>
      </c>
      <c r="I299" s="22" t="s">
        <v>27</v>
      </c>
      <c r="J299" s="22" t="s">
        <v>1119</v>
      </c>
      <c r="K299" s="22" t="s">
        <v>24</v>
      </c>
      <c r="L299" s="2" t="str">
        <f t="shared" si="4"/>
        <v>insert into CHB_DATACHECK_RULE (CHECKRULEID,DATATYPE,CHECKCLASS,CHECKMETHOD,SRCPROPERTY,COMPARETO,OBJVALUE,REMARK,STATUS,NULLABLE) values ('W84807E5-DF3F-D920-E050-007F010077FD','CHB_ASSET_INFO','com.joyintech.tams.common.svreport.datacheck.service.BaseCheckLib','isNumber2','ASSET_YIELD','','8,5','项目收益率%以百分数形式表示时必须为n（8,5）格式。','E','Y');</v>
      </c>
    </row>
    <row r="300" spans="1:12" x14ac:dyDescent="0.15">
      <c r="A300" s="9">
        <v>297</v>
      </c>
      <c r="B300" s="21" t="s">
        <v>350</v>
      </c>
      <c r="C300" s="23" t="s">
        <v>1484</v>
      </c>
      <c r="D300" s="22" t="s">
        <v>21</v>
      </c>
      <c r="E300" s="22" t="s">
        <v>62</v>
      </c>
      <c r="F300" s="22" t="s">
        <v>772</v>
      </c>
      <c r="G300" s="22" t="s">
        <v>25</v>
      </c>
      <c r="H300" s="21" t="s">
        <v>26</v>
      </c>
      <c r="I300" s="22" t="s">
        <v>27</v>
      </c>
      <c r="J300" s="22" t="s">
        <v>1120</v>
      </c>
      <c r="K300" s="22" t="s">
        <v>24</v>
      </c>
      <c r="L300" s="2" t="str">
        <f t="shared" si="4"/>
        <v>insert into CHB_DATACHECK_RULE (CHECKRULEID,DATATYPE,CHECKCLASS,CHECKMETHOD,SRCPROPERTY,COMPARETO,OBJVALUE,REMARK,STATUS,NULLABLE) values ('W84807E5-DF40-D920-E050-007F010077FD','CHB_ASSET_INFO','com.joyintech.tams.common.svreport.datacheck.service.BaseCheckLib','lessThanCharLength','ASSET_YIELD','==','0','项目收益率%要素必须为空。','E','Y');</v>
      </c>
    </row>
    <row r="301" spans="1:12" x14ac:dyDescent="0.15">
      <c r="A301" s="17">
        <v>298</v>
      </c>
      <c r="B301" s="21" t="s">
        <v>351</v>
      </c>
      <c r="C301" s="23" t="s">
        <v>1484</v>
      </c>
      <c r="D301" s="22" t="s">
        <v>21</v>
      </c>
      <c r="E301" s="22" t="s">
        <v>2490</v>
      </c>
      <c r="F301" s="22" t="s">
        <v>926</v>
      </c>
      <c r="G301" s="22"/>
      <c r="H301" s="21" t="s">
        <v>927</v>
      </c>
      <c r="I301" s="22" t="s">
        <v>27</v>
      </c>
      <c r="J301" s="22" t="s">
        <v>928</v>
      </c>
      <c r="K301" s="22" t="s">
        <v>24</v>
      </c>
      <c r="L301" s="2" t="str">
        <f t="shared" si="4"/>
        <v>insert into CHB_DATACHECK_RULE (CHECKRULEID,DATATYPE,CHECKCLASS,CHECKMETHOD,SRCPROPERTY,COMPARETO,OBJVALUE,REMARK,STATUS,NULLABLE) values ('W84807E5-DF41-D920-E050-007F010077FD','CHB_ASSET_INFO','com.joyintech.tams.common.svreport.datacheck.service.BaseCheckLib','isNumber2','INTPAY_CYCLE','','2,0','付息频率（个月/次）必须为n..2格式。','E','Y');</v>
      </c>
    </row>
    <row r="302" spans="1:12" x14ac:dyDescent="0.15">
      <c r="A302" s="9">
        <v>299</v>
      </c>
      <c r="B302" s="21" t="s">
        <v>352</v>
      </c>
      <c r="C302" s="23" t="s">
        <v>1484</v>
      </c>
      <c r="D302" s="22" t="s">
        <v>21</v>
      </c>
      <c r="E302" s="22" t="s">
        <v>34</v>
      </c>
      <c r="F302" s="22" t="s">
        <v>926</v>
      </c>
      <c r="G302" s="22" t="s">
        <v>35</v>
      </c>
      <c r="H302" s="21" t="s">
        <v>26</v>
      </c>
      <c r="I302" s="22" t="s">
        <v>27</v>
      </c>
      <c r="J302" s="22" t="s">
        <v>929</v>
      </c>
      <c r="K302" s="22" t="s">
        <v>24</v>
      </c>
      <c r="L302" s="2" t="str">
        <f t="shared" si="4"/>
        <v>insert into CHB_DATACHECK_RULE (CHECKRULEID,DATATYPE,CHECKCLASS,CHECKMETHOD,SRCPROPERTY,COMPARETO,OBJVALUE,REMARK,STATUS,NULLABLE) values ('W84807E5-DF42-D920-E050-007F010077FD','CHB_ASSET_INFO','com.joyintech.tams.common.svreport.datacheck.service.BaseCheckLib','compareValueAsNumber','INTPAY_CYCLE','&gt;=','0','付息频率（个月/次）必须大于等于0。','E','Y');</v>
      </c>
    </row>
    <row r="303" spans="1:12" x14ac:dyDescent="0.15">
      <c r="A303" s="17">
        <v>300</v>
      </c>
      <c r="B303" s="21" t="s">
        <v>249</v>
      </c>
      <c r="C303" s="23" t="s">
        <v>1484</v>
      </c>
      <c r="D303" s="22" t="s">
        <v>21</v>
      </c>
      <c r="E303" s="22" t="s">
        <v>62</v>
      </c>
      <c r="F303" s="22" t="s">
        <v>844</v>
      </c>
      <c r="G303" s="22" t="s">
        <v>25</v>
      </c>
      <c r="H303" s="21" t="s">
        <v>26</v>
      </c>
      <c r="I303" s="22" t="s">
        <v>27</v>
      </c>
      <c r="J303" s="22" t="s">
        <v>1010</v>
      </c>
      <c r="K303" s="22" t="s">
        <v>24</v>
      </c>
      <c r="L303" s="2" t="str">
        <f t="shared" si="4"/>
        <v>insert into CHB_DATACHECK_RULE (CHECKRULEID,DATATYPE,CHECKCLASS,CHECKMETHOD,SRCPROPERTY,COMPARETO,OBJVALUE,REMARK,STATUS,NULLABLE) values ('W84807E5-DF43-D920-E050-007F010077FD','CHB_ASSET_INFO','com.joyintech.tams.common.svreport.datacheck.service.BaseCheckLib','lessThanCharLength','REPAY_CMT','==','0','还本付息情况说明要素必须为空。','E','Y');</v>
      </c>
    </row>
    <row r="304" spans="1:12" x14ac:dyDescent="0.15">
      <c r="A304" s="9">
        <v>301</v>
      </c>
      <c r="B304" s="21" t="s">
        <v>353</v>
      </c>
      <c r="C304" s="23" t="s">
        <v>1484</v>
      </c>
      <c r="D304" s="22" t="s">
        <v>21</v>
      </c>
      <c r="E304" s="22" t="s">
        <v>30</v>
      </c>
      <c r="F304" s="22" t="s">
        <v>775</v>
      </c>
      <c r="G304" s="22"/>
      <c r="H304" s="21" t="s">
        <v>777</v>
      </c>
      <c r="I304" s="22" t="s">
        <v>23</v>
      </c>
      <c r="J304" s="22" t="s">
        <v>789</v>
      </c>
      <c r="K304" s="22" t="s">
        <v>24</v>
      </c>
      <c r="L304" s="2" t="str">
        <f t="shared" si="4"/>
        <v>insert into CHB_DATACHECK_RULE (CHECKRULEID,DATATYPE,CHECKCLASS,CHECKMETHOD,SRCPROPERTY,COMPARETO,OBJVALUE,REMARK,STATUS,NULLABLE) values ('W84807E5-DF44-D920-E050-007F010077FD','CHB_ASSET_INFO','com.joyintech.tams.common.svreport.datacheck.service.BaseCheckLib','inDatadict','BASIS','','SVR_BASIS','计息基础要素不可为空，且必须在值域范围内','E','N');</v>
      </c>
    </row>
    <row r="305" spans="1:12" x14ac:dyDescent="0.15">
      <c r="A305" s="17">
        <v>302</v>
      </c>
      <c r="B305" s="21" t="s">
        <v>354</v>
      </c>
      <c r="C305" s="23" t="s">
        <v>1484</v>
      </c>
      <c r="D305" s="22" t="s">
        <v>21</v>
      </c>
      <c r="E305" s="22" t="s">
        <v>30</v>
      </c>
      <c r="F305" s="22" t="s">
        <v>1122</v>
      </c>
      <c r="G305" s="22"/>
      <c r="H305" s="21" t="s">
        <v>1123</v>
      </c>
      <c r="I305" s="22" t="s">
        <v>27</v>
      </c>
      <c r="J305" s="22" t="s">
        <v>1124</v>
      </c>
      <c r="K305" s="22" t="s">
        <v>24</v>
      </c>
      <c r="L305" s="2" t="str">
        <f t="shared" si="4"/>
        <v>insert into CHB_DATACHECK_RULE (CHECKRULEID,DATATYPE,CHECKCLASS,CHECKMETHOD,SRCPROPERTY,COMPARETO,OBJVALUE,REMARK,STATUS,NULLABLE) values ('W84807E5-DF45-D920-E050-007F010077FD','CHB_ASSET_INFO','com.joyintech.tams.common.svreport.datacheck.service.BaseCheckLib','inDatadict','BASIS_TYPE','','SVR_BASIS_TYPE','基准利率种类不在值域范围内','E','Y');</v>
      </c>
    </row>
    <row r="306" spans="1:12" x14ac:dyDescent="0.15">
      <c r="A306" s="9">
        <v>303</v>
      </c>
      <c r="B306" s="21" t="s">
        <v>355</v>
      </c>
      <c r="C306" s="23" t="s">
        <v>1484</v>
      </c>
      <c r="D306" s="22" t="s">
        <v>21</v>
      </c>
      <c r="E306" s="22" t="s">
        <v>32</v>
      </c>
      <c r="F306" s="22" t="s">
        <v>1125</v>
      </c>
      <c r="G306" s="22"/>
      <c r="H306" s="21" t="s">
        <v>33</v>
      </c>
      <c r="I306" s="22" t="s">
        <v>27</v>
      </c>
      <c r="J306" s="22" t="s">
        <v>1126</v>
      </c>
      <c r="K306" s="22" t="s">
        <v>24</v>
      </c>
      <c r="L306" s="2" t="str">
        <f t="shared" si="4"/>
        <v>insert into CHB_DATACHECK_RULE (CHECKRULEID,DATATYPE,CHECKCLASS,CHECKMETHOD,SRCPROPERTY,COMPARETO,OBJVALUE,REMARK,STATUS,NULLABLE) values ('W84807E5-DF46-D920-E050-007F010077FD','CHB_ASSET_INFO','com.joyintech.tams.common.svreport.datacheck.service.BaseCheckLib','isNumber2','FLOAT_FACTOR','','8,5','浮动因子（%）以百分数形式表示时必须为n(8,5)格式','E','Y');</v>
      </c>
    </row>
    <row r="307" spans="1:12" x14ac:dyDescent="0.15">
      <c r="A307" s="17">
        <v>304</v>
      </c>
      <c r="B307" s="21" t="s">
        <v>356</v>
      </c>
      <c r="C307" s="23" t="s">
        <v>1484</v>
      </c>
      <c r="D307" s="22" t="s">
        <v>21</v>
      </c>
      <c r="E307" s="22" t="s">
        <v>32</v>
      </c>
      <c r="F307" s="22" t="s">
        <v>1127</v>
      </c>
      <c r="G307" s="22"/>
      <c r="H307" s="21" t="s">
        <v>33</v>
      </c>
      <c r="I307" s="22" t="s">
        <v>27</v>
      </c>
      <c r="J307" s="22" t="s">
        <v>2352</v>
      </c>
      <c r="K307" s="22" t="s">
        <v>24</v>
      </c>
      <c r="L307" s="2" t="str">
        <f t="shared" si="4"/>
        <v>insert into CHB_DATACHECK_RULE (CHECKRULEID,DATATYPE,CHECKCLASS,CHECKMETHOD,SRCPROPERTY,COMPARETO,OBJVALUE,REMARK,STATUS,NULLABLE) values ('W84807E5-DF47-D920-E050-007F010077FD','CHB_ASSET_INFO','com.joyintech.tams.common.svreport.datacheck.service.BaseCheckLib','isNumber2','SPREAD_RATE','','8,5','利差（BP）以百分数形式表示时必须为n（8,5）格式','E','Y');</v>
      </c>
    </row>
    <row r="308" spans="1:12" x14ac:dyDescent="0.15">
      <c r="A308" s="9">
        <v>305</v>
      </c>
      <c r="B308" s="21" t="s">
        <v>357</v>
      </c>
      <c r="C308" s="23" t="s">
        <v>1484</v>
      </c>
      <c r="D308" s="22" t="s">
        <v>21</v>
      </c>
      <c r="E308" s="22" t="s">
        <v>62</v>
      </c>
      <c r="F308" s="22" t="s">
        <v>846</v>
      </c>
      <c r="G308" s="22"/>
      <c r="H308" s="21" t="s">
        <v>2330</v>
      </c>
      <c r="I308" s="22" t="s">
        <v>23</v>
      </c>
      <c r="J308" s="22" t="s">
        <v>1036</v>
      </c>
      <c r="K308" s="22" t="s">
        <v>24</v>
      </c>
      <c r="L308" s="2" t="str">
        <f t="shared" si="4"/>
        <v>insert into CHB_DATACHECK_RULE (CHECKRULEID,DATATYPE,CHECKCLASS,CHECKMETHOD,SRCPROPERTY,COMPARETO,OBJVALUE,REMARK,STATUS,NULLABLE) values ('W84807E5-DF48-D920-E050-007F010077FD','CHB_ASSET_INFO','com.joyintech.tams.common.svreport.datacheck.service.BaseCheckLib','lessThanCharLength','FINANCIE','','201','融资人要素不可为空，且长度不超过200','E','N');</v>
      </c>
    </row>
    <row r="309" spans="1:12" x14ac:dyDescent="0.15">
      <c r="A309" s="17">
        <v>306</v>
      </c>
      <c r="B309" s="21" t="s">
        <v>358</v>
      </c>
      <c r="C309" s="23" t="s">
        <v>1484</v>
      </c>
      <c r="D309" s="22" t="s">
        <v>21</v>
      </c>
      <c r="E309" s="22" t="s">
        <v>62</v>
      </c>
      <c r="F309" s="22" t="s">
        <v>848</v>
      </c>
      <c r="G309" s="22"/>
      <c r="H309" s="21" t="s">
        <v>2334</v>
      </c>
      <c r="I309" s="22" t="s">
        <v>23</v>
      </c>
      <c r="J309" s="22" t="s">
        <v>1128</v>
      </c>
      <c r="K309" s="22" t="s">
        <v>24</v>
      </c>
      <c r="L309" s="2" t="str">
        <f t="shared" si="4"/>
        <v>insert into CHB_DATACHECK_RULE (CHECKRULEID,DATATYPE,CHECKCLASS,CHECKMETHOD,SRCPROPERTY,COMPARETO,OBJVALUE,REMARK,STATUS,NULLABLE) values ('W84807E5-DF49-D920-E050-007F010077FD','CHB_ASSET_INFO','com.joyintech.tams.common.svreport.datacheck.service.BaseCheckLib','lessThanCharLength','FCR_GRADE_IN','','11','融资人内部信用评级不可为空，且长度不可过长','E','N');</v>
      </c>
    </row>
    <row r="310" spans="1:12" x14ac:dyDescent="0.15">
      <c r="A310" s="9">
        <v>307</v>
      </c>
      <c r="B310" s="21" t="s">
        <v>359</v>
      </c>
      <c r="C310" s="23" t="s">
        <v>1484</v>
      </c>
      <c r="D310" s="22" t="s">
        <v>21</v>
      </c>
      <c r="E310" s="22" t="s">
        <v>30</v>
      </c>
      <c r="F310" s="22" t="s">
        <v>1040</v>
      </c>
      <c r="G310" s="22"/>
      <c r="H310" s="21" t="s">
        <v>1013</v>
      </c>
      <c r="I310" s="22" t="s">
        <v>23</v>
      </c>
      <c r="J310" s="22" t="s">
        <v>1041</v>
      </c>
      <c r="K310" s="22" t="s">
        <v>24</v>
      </c>
      <c r="L310" s="2" t="str">
        <f t="shared" si="4"/>
        <v>insert into CHB_DATACHECK_RULE (CHECKRULEID,DATATYPE,CHECKCLASS,CHECKMETHOD,SRCPROPERTY,COMPARETO,OBJVALUE,REMARK,STATUS,NULLABLE) values ('W84807E5-DF4B-D920-E050-007F010077FD','CHB_ASSET_INFO','com.joyintech.tams.common.svreport.datacheck.service.BaseCheckLib','inDatadict','FINANCIER_TYPE1','','SVR_PARTY_TYPE1','融资人类型（按规模划分）要素不可为空,且必须在值域范围内。','E','N');</v>
      </c>
    </row>
    <row r="311" spans="1:12" x14ac:dyDescent="0.15">
      <c r="A311" s="17">
        <v>308</v>
      </c>
      <c r="B311" s="21" t="s">
        <v>360</v>
      </c>
      <c r="C311" s="23" t="s">
        <v>1484</v>
      </c>
      <c r="D311" s="22" t="s">
        <v>21</v>
      </c>
      <c r="E311" s="22" t="s">
        <v>30</v>
      </c>
      <c r="F311" s="22" t="s">
        <v>1042</v>
      </c>
      <c r="G311" s="22"/>
      <c r="H311" s="21" t="s">
        <v>1043</v>
      </c>
      <c r="I311" s="22" t="s">
        <v>23</v>
      </c>
      <c r="J311" s="22" t="s">
        <v>1044</v>
      </c>
      <c r="K311" s="22" t="s">
        <v>24</v>
      </c>
      <c r="L311" s="2" t="str">
        <f t="shared" si="4"/>
        <v>insert into CHB_DATACHECK_RULE (CHECKRULEID,DATATYPE,CHECKCLASS,CHECKMETHOD,SRCPROPERTY,COMPARETO,OBJVALUE,REMARK,STATUS,NULLABLE) values ('W84807E5-DF4C-D920-E050-007F010077FD','CHB_ASSET_INFO','com.joyintech.tams.common.svreport.datacheck.service.BaseCheckLib','inDatadict','FINANCIER_TYPE2','','SVR_PARTY_TYPE3','融资人类型（按技术领域划分）要素不可为空，且必须在值域范围内。','E','N');</v>
      </c>
    </row>
    <row r="312" spans="1:12" x14ac:dyDescent="0.15">
      <c r="A312" s="9">
        <v>309</v>
      </c>
      <c r="B312" s="21" t="s">
        <v>361</v>
      </c>
      <c r="C312" s="23" t="s">
        <v>1484</v>
      </c>
      <c r="D312" s="22" t="s">
        <v>21</v>
      </c>
      <c r="E312" s="22" t="s">
        <v>30</v>
      </c>
      <c r="F312" s="22" t="s">
        <v>1045</v>
      </c>
      <c r="G312" s="22"/>
      <c r="H312" s="21" t="s">
        <v>1017</v>
      </c>
      <c r="I312" s="22" t="s">
        <v>23</v>
      </c>
      <c r="J312" s="22" t="s">
        <v>1046</v>
      </c>
      <c r="K312" s="22" t="s">
        <v>24</v>
      </c>
      <c r="L312" s="2" t="str">
        <f t="shared" si="4"/>
        <v>insert into CHB_DATACHECK_RULE (CHECKRULEID,DATATYPE,CHECKCLASS,CHECKMETHOD,SRCPROPERTY,COMPARETO,OBJVALUE,REMARK,STATUS,NULLABLE) values ('W84807E5-DF4D-D920-E050-007F010077FD','CHB_ASSET_INFO','com.joyintech.tams.common.svreport.datacheck.service.BaseCheckLib','inDatadict','FINANCIER_TYPE3','','SVR_PARTY_TYPE2','融资人类型（按经济类型划分）要素不可为空，且必须在值域范围内。','E','N');</v>
      </c>
    </row>
    <row r="313" spans="1:12" x14ac:dyDescent="0.15">
      <c r="A313" s="17">
        <v>310</v>
      </c>
      <c r="B313" s="21" t="s">
        <v>362</v>
      </c>
      <c r="C313" s="23" t="s">
        <v>1484</v>
      </c>
      <c r="D313" s="22" t="s">
        <v>21</v>
      </c>
      <c r="E313" s="22" t="s">
        <v>62</v>
      </c>
      <c r="F313" s="22" t="s">
        <v>852</v>
      </c>
      <c r="G313" s="22"/>
      <c r="H313" s="21" t="s">
        <v>2330</v>
      </c>
      <c r="I313" s="22" t="s">
        <v>23</v>
      </c>
      <c r="J313" s="22" t="s">
        <v>1047</v>
      </c>
      <c r="K313" s="22" t="s">
        <v>24</v>
      </c>
      <c r="L313" s="2" t="str">
        <f t="shared" si="4"/>
        <v>insert into CHB_DATACHECK_RULE (CHECKRULEID,DATATYPE,CHECKCLASS,CHECKMETHOD,SRCPROPERTY,COMPARETO,OBJVALUE,REMARK,STATUS,NULLABLE) values ('W84807E5-DF4E-D920-E050-007F010077FD','CHB_ASSET_INFO','com.joyintech.tams.common.svreport.datacheck.service.BaseCheckLib','lessThanCharLength','FINANCE_PROJ','','201','融资项目要素不可为空且不可过长','E','N');</v>
      </c>
    </row>
    <row r="314" spans="1:12" x14ac:dyDescent="0.15">
      <c r="A314" s="9">
        <v>311</v>
      </c>
      <c r="B314" s="21" t="s">
        <v>363</v>
      </c>
      <c r="C314" s="23" t="s">
        <v>1484</v>
      </c>
      <c r="D314" s="22" t="s">
        <v>21</v>
      </c>
      <c r="E314" s="22" t="s">
        <v>22</v>
      </c>
      <c r="F314" s="22" t="s">
        <v>1048</v>
      </c>
      <c r="G314" s="22"/>
      <c r="H314" s="21"/>
      <c r="I314" s="22" t="s">
        <v>23</v>
      </c>
      <c r="J314" s="22" t="s">
        <v>1129</v>
      </c>
      <c r="K314" s="22" t="s">
        <v>24</v>
      </c>
      <c r="L314" s="2" t="str">
        <f t="shared" si="4"/>
        <v>insert into CHB_DATACHECK_RULE (CHECKRULEID,DATATYPE,CHECKCLASS,CHECKMETHOD,SRCPROPERTY,COMPARETO,OBJVALUE,REMARK,STATUS,NULLABLE) values ('W84807E5-DF4F-D920-E050-007F010077FD','CHB_ASSET_INFO','com.joyintech.tams.common.svreport.datacheck.service.BaseCheckLib','isNotEmpty','INDUSTRY_LEVEL2_TYPE','','','融资人所属行业（新增可投资资产以及非标准化债权类资产）要素不可为空','E','N');</v>
      </c>
    </row>
    <row r="315" spans="1:12" x14ac:dyDescent="0.15">
      <c r="A315" s="17">
        <v>312</v>
      </c>
      <c r="B315" s="21" t="s">
        <v>364</v>
      </c>
      <c r="C315" s="23" t="s">
        <v>1484</v>
      </c>
      <c r="D315" s="22" t="s">
        <v>21</v>
      </c>
      <c r="E315" s="22" t="s">
        <v>30</v>
      </c>
      <c r="F315" s="22" t="s">
        <v>1048</v>
      </c>
      <c r="G315" s="22"/>
      <c r="H315" s="21" t="s">
        <v>820</v>
      </c>
      <c r="I315" s="22" t="s">
        <v>27</v>
      </c>
      <c r="J315" s="22" t="s">
        <v>1130</v>
      </c>
      <c r="K315" s="22" t="s">
        <v>24</v>
      </c>
      <c r="L315" s="2" t="str">
        <f t="shared" si="4"/>
        <v>insert into CHB_DATACHECK_RULE (CHECKRULEID,DATATYPE,CHECKCLASS,CHECKMETHOD,SRCPROPERTY,COMPARETO,OBJVALUE,REMARK,STATUS,NULLABLE) values ('W84807E5-DF4F-D920-E050-107F010077FD','CHB_ASSET_INFO','com.joyintech.tams.common.svreport.datacheck.service.BaseCheckLib','inDatadict','INDUSTRY_LEVEL2_TYPE','','INSTITUTION_INDUSTRY_SECOND_LEVEL','融资人所属行业（新增可投资资产以及非标准化债权类资产）不在值域范围内','E','Y');</v>
      </c>
    </row>
    <row r="316" spans="1:12" x14ac:dyDescent="0.15">
      <c r="A316" s="9">
        <v>313</v>
      </c>
      <c r="B316" s="21" t="s">
        <v>365</v>
      </c>
      <c r="C316" s="23" t="s">
        <v>1484</v>
      </c>
      <c r="D316" s="22" t="s">
        <v>21</v>
      </c>
      <c r="E316" s="22" t="s">
        <v>22</v>
      </c>
      <c r="F316" s="22" t="s">
        <v>1050</v>
      </c>
      <c r="G316" s="22"/>
      <c r="H316" s="21"/>
      <c r="I316" s="22" t="s">
        <v>23</v>
      </c>
      <c r="J316" s="22" t="s">
        <v>1051</v>
      </c>
      <c r="K316" s="22" t="s">
        <v>24</v>
      </c>
      <c r="L316" s="2" t="str">
        <f t="shared" si="4"/>
        <v>insert into CHB_DATACHECK_RULE (CHECKRULEID,DATATYPE,CHECKCLASS,CHECKMETHOD,SRCPROPERTY,COMPARETO,OBJVALUE,REMARK,STATUS,NULLABLE) values ('W84807E5-DF50-D920-E050-007F010077FD','CHB_ASSET_INFO','com.joyintech.tams.common.svreport.datacheck.service.BaseCheckLib','isNotEmpty','PRO_INDUSTRY_LEVEL2','','','融资项目所属行业要素不可为空。','E','N');</v>
      </c>
    </row>
    <row r="317" spans="1:12" x14ac:dyDescent="0.15">
      <c r="A317" s="17">
        <v>314</v>
      </c>
      <c r="B317" s="21" t="s">
        <v>366</v>
      </c>
      <c r="C317" s="23" t="s">
        <v>1484</v>
      </c>
      <c r="D317" s="22" t="s">
        <v>21</v>
      </c>
      <c r="E317" s="22" t="s">
        <v>30</v>
      </c>
      <c r="F317" s="22" t="s">
        <v>1050</v>
      </c>
      <c r="G317" s="22"/>
      <c r="H317" s="21" t="s">
        <v>820</v>
      </c>
      <c r="I317" s="22" t="s">
        <v>27</v>
      </c>
      <c r="J317" s="22" t="s">
        <v>1065</v>
      </c>
      <c r="K317" s="22" t="s">
        <v>24</v>
      </c>
      <c r="L317" s="2" t="str">
        <f t="shared" si="4"/>
        <v>insert into CHB_DATACHECK_RULE (CHECKRULEID,DATATYPE,CHECKCLASS,CHECKMETHOD,SRCPROPERTY,COMPARETO,OBJVALUE,REMARK,STATUS,NULLABLE) values ('W84807E5-DF50-D920-E050-107F010077FD','CHB_ASSET_INFO','com.joyintech.tams.common.svreport.datacheck.service.BaseCheckLib','inDatadict','PRO_INDUSTRY_LEVEL2','','INSTITUTION_INDUSTRY_SECOND_LEVEL','融资项目所属行业不在值域范围内。','E','Y');</v>
      </c>
    </row>
    <row r="318" spans="1:12" x14ac:dyDescent="0.15">
      <c r="A318" s="9">
        <v>315</v>
      </c>
      <c r="B318" s="21" t="s">
        <v>367</v>
      </c>
      <c r="C318" s="23" t="s">
        <v>1484</v>
      </c>
      <c r="D318" s="22" t="s">
        <v>21</v>
      </c>
      <c r="E318" s="22" t="s">
        <v>30</v>
      </c>
      <c r="F318" s="22" t="s">
        <v>1052</v>
      </c>
      <c r="G318" s="22" t="s">
        <v>25</v>
      </c>
      <c r="H318" s="21" t="s">
        <v>814</v>
      </c>
      <c r="I318" s="22" t="s">
        <v>23</v>
      </c>
      <c r="J318" s="22" t="s">
        <v>1053</v>
      </c>
      <c r="K318" s="22" t="s">
        <v>24</v>
      </c>
      <c r="L318" s="2" t="str">
        <f t="shared" si="4"/>
        <v>insert into CHB_DATACHECK_RULE (CHECKRULEID,DATATYPE,CHECKCLASS,CHECKMETHOD,SRCPROPERTY,COMPARETO,OBJVALUE,REMARK,STATUS,NULLABLE) values ('W84807E5-DF51-D920-E050-007F010077FD','CHB_ASSET_INFO','com.joyintech.tams.common.svreport.datacheck.service.BaseCheckLib','inDatadict','INDUSTRY_FLAG','==','SVR_YES_OR_NO','项目是否属于重点监控行业和领域要素不可为空，且必须在值域范围内。','E','N');</v>
      </c>
    </row>
    <row r="319" spans="1:12" x14ac:dyDescent="0.15">
      <c r="A319" s="17">
        <v>316</v>
      </c>
      <c r="B319" s="21" t="s">
        <v>368</v>
      </c>
      <c r="C319" s="23" t="s">
        <v>1484</v>
      </c>
      <c r="D319" s="22" t="s">
        <v>21</v>
      </c>
      <c r="E319" s="22" t="s">
        <v>22</v>
      </c>
      <c r="F319" s="22" t="s">
        <v>1054</v>
      </c>
      <c r="G319" s="22"/>
      <c r="H319" s="21"/>
      <c r="I319" s="22" t="s">
        <v>23</v>
      </c>
      <c r="J319" s="22" t="s">
        <v>1055</v>
      </c>
      <c r="K319" s="22" t="s">
        <v>24</v>
      </c>
      <c r="L319" s="2" t="str">
        <f t="shared" si="4"/>
        <v>insert into CHB_DATACHECK_RULE (CHECKRULEID,DATATYPE,CHECKCLASS,CHECKMETHOD,SRCPROPERTY,COMPARETO,OBJVALUE,REMARK,STATUS,NULLABLE) values ('W84807E5-DF52-D920-E050-007F010077FD','CHB_ASSET_INFO','com.joyintech.tams.common.svreport.datacheck.service.BaseCheckLib','isNotEmpty','MONIT_TYPE','','','重点监控行业和领域类别要素不可为空。','E','N');</v>
      </c>
    </row>
    <row r="320" spans="1:12" x14ac:dyDescent="0.15">
      <c r="A320" s="9">
        <v>317</v>
      </c>
      <c r="B320" s="21" t="s">
        <v>369</v>
      </c>
      <c r="C320" s="23" t="s">
        <v>1484</v>
      </c>
      <c r="D320" s="22" t="s">
        <v>21</v>
      </c>
      <c r="E320" s="22" t="s">
        <v>62</v>
      </c>
      <c r="F320" s="22" t="s">
        <v>1054</v>
      </c>
      <c r="G320" s="22" t="s">
        <v>25</v>
      </c>
      <c r="H320" s="21" t="s">
        <v>26</v>
      </c>
      <c r="I320" s="22" t="s">
        <v>27</v>
      </c>
      <c r="J320" s="22" t="s">
        <v>1131</v>
      </c>
      <c r="K320" s="22" t="s">
        <v>24</v>
      </c>
      <c r="L320" s="2" t="str">
        <f t="shared" si="4"/>
        <v>insert into CHB_DATACHECK_RULE (CHECKRULEID,DATATYPE,CHECKCLASS,CHECKMETHOD,SRCPROPERTY,COMPARETO,OBJVALUE,REMARK,STATUS,NULLABLE) values ('W84807E5-DF53-D920-E050-007F010077FD','CHB_ASSET_INFO','com.joyintech.tams.common.svreport.datacheck.service.BaseCheckLib','lessThanCharLength','MONIT_TYPE','==','0','重点监控行业和领域类别要素必须为空','E','Y');</v>
      </c>
    </row>
    <row r="321" spans="1:12" x14ac:dyDescent="0.15">
      <c r="A321" s="17">
        <v>318</v>
      </c>
      <c r="B321" s="21" t="s">
        <v>370</v>
      </c>
      <c r="C321" s="23" t="s">
        <v>1484</v>
      </c>
      <c r="D321" s="22" t="s">
        <v>21</v>
      </c>
      <c r="E321" s="22" t="s">
        <v>22</v>
      </c>
      <c r="F321" s="22" t="s">
        <v>900</v>
      </c>
      <c r="G321" s="22"/>
      <c r="H321" s="21"/>
      <c r="I321" s="22" t="s">
        <v>23</v>
      </c>
      <c r="J321" s="22" t="s">
        <v>1057</v>
      </c>
      <c r="K321" s="22" t="s">
        <v>24</v>
      </c>
      <c r="L321" s="2" t="str">
        <f t="shared" si="4"/>
        <v>insert into CHB_DATACHECK_RULE (CHECKRULEID,DATATYPE,CHECKCLASS,CHECKMETHOD,SRCPROPERTY,COMPARETO,OBJVALUE,REMARK,STATUS,NULLABLE) values ('W84807E5-DF54-D920-E050-007F010077FD','CHB_ASSET_INFO','com.joyintech.tams.common.svreport.datacheck.service.BaseCheckLib','isNotEmpty','MON_TYPE_COMM','','','重点监控行业和领域类别说明要素不可为空。','E','N');</v>
      </c>
    </row>
    <row r="322" spans="1:12" x14ac:dyDescent="0.15">
      <c r="A322" s="9">
        <v>319</v>
      </c>
      <c r="B322" s="21" t="s">
        <v>371</v>
      </c>
      <c r="C322" s="23" t="s">
        <v>1484</v>
      </c>
      <c r="D322" s="22" t="s">
        <v>21</v>
      </c>
      <c r="E322" s="22" t="s">
        <v>62</v>
      </c>
      <c r="F322" s="22" t="s">
        <v>900</v>
      </c>
      <c r="G322" s="22" t="s">
        <v>25</v>
      </c>
      <c r="H322" s="21" t="s">
        <v>26</v>
      </c>
      <c r="I322" s="22" t="s">
        <v>27</v>
      </c>
      <c r="J322" s="22" t="s">
        <v>1069</v>
      </c>
      <c r="K322" s="22" t="s">
        <v>24</v>
      </c>
      <c r="L322" s="2" t="str">
        <f t="shared" si="4"/>
        <v>insert into CHB_DATACHECK_RULE (CHECKRULEID,DATATYPE,CHECKCLASS,CHECKMETHOD,SRCPROPERTY,COMPARETO,OBJVALUE,REMARK,STATUS,NULLABLE) values ('W84807E5-DF54-D920-E050-207F010077FD','CHB_ASSET_INFO','com.joyintech.tams.common.svreport.datacheck.service.BaseCheckLib','lessThanCharLength','MON_TYPE_COMM','==','0','重点监控行业和领域类别说明要素必须为空。','E','Y');</v>
      </c>
    </row>
    <row r="323" spans="1:12" x14ac:dyDescent="0.15">
      <c r="A323" s="17">
        <v>320</v>
      </c>
      <c r="B323" s="21" t="s">
        <v>372</v>
      </c>
      <c r="C323" s="23" t="s">
        <v>1484</v>
      </c>
      <c r="D323" s="22" t="s">
        <v>21</v>
      </c>
      <c r="E323" s="22" t="s">
        <v>30</v>
      </c>
      <c r="F323" s="22" t="s">
        <v>1132</v>
      </c>
      <c r="G323" s="22"/>
      <c r="H323" s="21" t="s">
        <v>1133</v>
      </c>
      <c r="I323" s="22" t="s">
        <v>27</v>
      </c>
      <c r="J323" s="22" t="s">
        <v>1134</v>
      </c>
      <c r="K323" s="22" t="s">
        <v>24</v>
      </c>
      <c r="L323" s="2" t="str">
        <f t="shared" si="4"/>
        <v>insert into CHB_DATACHECK_RULE (CHECKRULEID,DATATYPE,CHECKCLASS,CHECKMETHOD,SRCPROPERTY,COMPARETO,OBJVALUE,REMARK,STATUS,NULLABLE) values ('W84807E5-DF56-D920-E050-007F010077FD','CHB_ASSET_INFO','com.joyintech.tams.common.svreport.datacheck.service.BaseCheckLib','inDatadict','GUA_TYPE','','SVR_GUA_TYPE','担保方式不在值域范围内','E','Y');</v>
      </c>
    </row>
    <row r="324" spans="1:12" x14ac:dyDescent="0.15">
      <c r="A324" s="9">
        <v>321</v>
      </c>
      <c r="B324" s="21" t="s">
        <v>373</v>
      </c>
      <c r="C324" s="23" t="s">
        <v>1484</v>
      </c>
      <c r="D324" s="22" t="s">
        <v>21</v>
      </c>
      <c r="E324" s="22" t="s">
        <v>62</v>
      </c>
      <c r="F324" s="22" t="s">
        <v>1132</v>
      </c>
      <c r="G324" s="22" t="s">
        <v>25</v>
      </c>
      <c r="H324" s="21" t="s">
        <v>26</v>
      </c>
      <c r="I324" s="22" t="s">
        <v>27</v>
      </c>
      <c r="J324" s="22" t="s">
        <v>1135</v>
      </c>
      <c r="K324" s="22" t="s">
        <v>24</v>
      </c>
      <c r="L324" s="2" t="str">
        <f t="shared" si="4"/>
        <v>insert into CHB_DATACHECK_RULE (CHECKRULEID,DATATYPE,CHECKCLASS,CHECKMETHOD,SRCPROPERTY,COMPARETO,OBJVALUE,REMARK,STATUS,NULLABLE) values ('W84807E5-DF56-D920-E050-107F010077FD','CHB_ASSET_INFO','com.joyintech.tams.common.svreport.datacheck.service.BaseCheckLib','lessThanCharLength','GUA_TYPE','==','0','担保方式（其他）要素必须为空','E','Y');</v>
      </c>
    </row>
    <row r="325" spans="1:12" x14ac:dyDescent="0.15">
      <c r="A325" s="17">
        <v>322</v>
      </c>
      <c r="B325" s="21" t="s">
        <v>374</v>
      </c>
      <c r="C325" s="23" t="s">
        <v>1484</v>
      </c>
      <c r="D325" s="22" t="s">
        <v>21</v>
      </c>
      <c r="E325" s="22" t="s">
        <v>22</v>
      </c>
      <c r="F325" s="22" t="s">
        <v>858</v>
      </c>
      <c r="G325" s="22"/>
      <c r="H325" s="21"/>
      <c r="I325" s="22" t="s">
        <v>23</v>
      </c>
      <c r="J325" s="22" t="s">
        <v>1136</v>
      </c>
      <c r="K325" s="22" t="s">
        <v>24</v>
      </c>
      <c r="L325" s="2" t="str">
        <f t="shared" ref="L325:L388" si="5">CONCATENATE("insert into CHB_DATACHECK_RULE (CHECKRULEID,DATATYPE,CHECKCLASS,CHECKMETHOD,SRCPROPERTY,COMPARETO,OBJVALUE,REMARK,STATUS,NULLABLE) values ('",B325,"','",C325,"','",D325,"','",E325,"','",F325,"','",G325,"','",H325,"','",J325,"','",K325,"','",I325,"');")</f>
        <v>insert into CHB_DATACHECK_RULE (CHECKRULEID,DATATYPE,CHECKCLASS,CHECKMETHOD,SRCPROPERTY,COMPARETO,OBJVALUE,REMARK,STATUS,NULLABLE) values ('W84807E5-DF57-D920-E050-007F010077FD','CHB_ASSET_INFO','com.joyintech.tams.common.svreport.datacheck.service.BaseCheckLib','isNotEmpty','GUA_TYPE_REMARK','','','担保情况说明要素不可为空','E','N');</v>
      </c>
    </row>
    <row r="326" spans="1:12" x14ac:dyDescent="0.15">
      <c r="A326" s="9">
        <v>323</v>
      </c>
      <c r="B326" s="21" t="s">
        <v>375</v>
      </c>
      <c r="C326" s="23" t="s">
        <v>1484</v>
      </c>
      <c r="D326" s="22" t="s">
        <v>21</v>
      </c>
      <c r="E326" s="22" t="s">
        <v>22</v>
      </c>
      <c r="F326" s="22" t="s">
        <v>858</v>
      </c>
      <c r="G326" s="22"/>
      <c r="H326" s="21"/>
      <c r="I326" s="22" t="s">
        <v>23</v>
      </c>
      <c r="J326" s="22" t="s">
        <v>1136</v>
      </c>
      <c r="K326" s="22" t="s">
        <v>24</v>
      </c>
      <c r="L326" s="2" t="str">
        <f t="shared" si="5"/>
        <v>insert into CHB_DATACHECK_RULE (CHECKRULEID,DATATYPE,CHECKCLASS,CHECKMETHOD,SRCPROPERTY,COMPARETO,OBJVALUE,REMARK,STATUS,NULLABLE) values ('W84807E5-DF57-D920-E050-107F010077FD','CHB_ASSET_INFO','com.joyintech.tams.common.svreport.datacheck.service.BaseCheckLib','isNotEmpty','GUA_TYPE_REMARK','','','担保情况说明要素不可为空','E','N');</v>
      </c>
    </row>
    <row r="327" spans="1:12" x14ac:dyDescent="0.15">
      <c r="A327" s="17">
        <v>324</v>
      </c>
      <c r="B327" s="21" t="s">
        <v>376</v>
      </c>
      <c r="C327" s="23" t="s">
        <v>1484</v>
      </c>
      <c r="D327" s="22" t="s">
        <v>21</v>
      </c>
      <c r="E327" s="22" t="s">
        <v>22</v>
      </c>
      <c r="F327" s="22" t="s">
        <v>858</v>
      </c>
      <c r="G327" s="22"/>
      <c r="H327" s="21"/>
      <c r="I327" s="22" t="s">
        <v>23</v>
      </c>
      <c r="J327" s="22" t="s">
        <v>1136</v>
      </c>
      <c r="K327" s="22" t="s">
        <v>24</v>
      </c>
      <c r="L327" s="2" t="str">
        <f t="shared" si="5"/>
        <v>insert into CHB_DATACHECK_RULE (CHECKRULEID,DATATYPE,CHECKCLASS,CHECKMETHOD,SRCPROPERTY,COMPARETO,OBJVALUE,REMARK,STATUS,NULLABLE) values ('W84807E5-DF57-D920-E050-117F010077FD','CHB_ASSET_INFO','com.joyintech.tams.common.svreport.datacheck.service.BaseCheckLib','isNotEmpty','GUA_TYPE_REMARK','','','担保情况说明要素不可为空','E','N');</v>
      </c>
    </row>
    <row r="328" spans="1:12" x14ac:dyDescent="0.15">
      <c r="A328" s="9">
        <v>325</v>
      </c>
      <c r="B328" s="21" t="s">
        <v>377</v>
      </c>
      <c r="C328" s="23" t="s">
        <v>1484</v>
      </c>
      <c r="D328" s="22" t="s">
        <v>21</v>
      </c>
      <c r="E328" s="22" t="s">
        <v>62</v>
      </c>
      <c r="F328" s="22" t="s">
        <v>858</v>
      </c>
      <c r="G328" s="22" t="s">
        <v>25</v>
      </c>
      <c r="H328" s="21" t="s">
        <v>26</v>
      </c>
      <c r="I328" s="22" t="s">
        <v>27</v>
      </c>
      <c r="J328" s="22" t="s">
        <v>1137</v>
      </c>
      <c r="K328" s="22" t="s">
        <v>24</v>
      </c>
      <c r="L328" s="2" t="str">
        <f t="shared" si="5"/>
        <v>insert into CHB_DATACHECK_RULE (CHECKRULEID,DATATYPE,CHECKCLASS,CHECKMETHOD,SRCPROPERTY,COMPARETO,OBJVALUE,REMARK,STATUS,NULLABLE) values ('W84807E5-DF58-D920-E050-007F010077FD','CHB_ASSET_INFO','com.joyintech.tams.common.svreport.datacheck.service.BaseCheckLib','lessThanCharLength','GUA_TYPE_REMARK','==','0','担保情况说明要素必须为空','E','Y');</v>
      </c>
    </row>
    <row r="329" spans="1:12" x14ac:dyDescent="0.15">
      <c r="A329" s="17">
        <v>326</v>
      </c>
      <c r="B329" s="21" t="s">
        <v>2296</v>
      </c>
      <c r="C329" s="23" t="s">
        <v>1484</v>
      </c>
      <c r="D329" s="22" t="s">
        <v>21</v>
      </c>
      <c r="E329" s="22" t="s">
        <v>62</v>
      </c>
      <c r="F329" s="22" t="s">
        <v>858</v>
      </c>
      <c r="G329" s="22" t="s">
        <v>25</v>
      </c>
      <c r="H329" s="21" t="s">
        <v>26</v>
      </c>
      <c r="I329" s="22" t="s">
        <v>27</v>
      </c>
      <c r="J329" s="22" t="s">
        <v>1137</v>
      </c>
      <c r="K329" s="22" t="s">
        <v>24</v>
      </c>
      <c r="L329" s="2" t="str">
        <f t="shared" si="5"/>
        <v>insert into CHB_DATACHECK_RULE (CHECKRULEID,DATATYPE,CHECKCLASS,CHECKMETHOD,SRCPROPERTY,COMPARETO,OBJVALUE,REMARK,STATUS,NULLABLE) values ('W84807E5-DF58-D920-E050-507F010077FD','CHB_ASSET_INFO','com.joyintech.tams.common.svreport.datacheck.service.BaseCheckLib','lessThanCharLength','GUA_TYPE_REMARK','==','0','担保情况说明要素必须为空','E','Y');</v>
      </c>
    </row>
    <row r="330" spans="1:12" x14ac:dyDescent="0.15">
      <c r="A330" s="9">
        <v>327</v>
      </c>
      <c r="B330" s="21" t="s">
        <v>378</v>
      </c>
      <c r="C330" s="23" t="s">
        <v>1484</v>
      </c>
      <c r="D330" s="22" t="s">
        <v>21</v>
      </c>
      <c r="E330" s="22" t="s">
        <v>30</v>
      </c>
      <c r="F330" s="22" t="s">
        <v>1138</v>
      </c>
      <c r="G330" s="22"/>
      <c r="H330" s="21" t="s">
        <v>1059</v>
      </c>
      <c r="I330" s="22" t="s">
        <v>27</v>
      </c>
      <c r="J330" s="22" t="s">
        <v>1139</v>
      </c>
      <c r="K330" s="22" t="s">
        <v>24</v>
      </c>
      <c r="L330" s="2" t="str">
        <f t="shared" si="5"/>
        <v>insert into CHB_DATACHECK_RULE (CHECKRULEID,DATATYPE,CHECKCLASS,CHECKMETHOD,SRCPROPERTY,COMPARETO,OBJVALUE,REMARK,STATUS,NULLABLE) values ('W84807E5-DF59-D920-E050-007F010077FD','CHB_ASSET_INFO','com.joyintech.tams.common.svreport.datacheck.service.BaseCheckLib','inDatadict','FINANCIER_GRADE','','SVR_MAIN_GRADE','融资人主体评级不在值域范围内。','E','Y');</v>
      </c>
    </row>
    <row r="331" spans="1:12" x14ac:dyDescent="0.15">
      <c r="A331" s="17">
        <v>328</v>
      </c>
      <c r="B331" s="21" t="s">
        <v>379</v>
      </c>
      <c r="C331" s="23" t="s">
        <v>1484</v>
      </c>
      <c r="D331" s="22" t="s">
        <v>21</v>
      </c>
      <c r="E331" s="22" t="s">
        <v>22</v>
      </c>
      <c r="F331" s="22" t="s">
        <v>1138</v>
      </c>
      <c r="G331" s="22"/>
      <c r="H331" s="21"/>
      <c r="I331" s="22" t="s">
        <v>23</v>
      </c>
      <c r="J331" s="22" t="s">
        <v>1140</v>
      </c>
      <c r="K331" s="22" t="s">
        <v>24</v>
      </c>
      <c r="L331" s="2" t="str">
        <f t="shared" si="5"/>
        <v>insert into CHB_DATACHECK_RULE (CHECKRULEID,DATATYPE,CHECKCLASS,CHECKMETHOD,SRCPROPERTY,COMPARETO,OBJVALUE,REMARK,STATUS,NULLABLE) values ('W84807E5-DF59-D920-E050-107F010077FD','CHB_ASSET_INFO','com.joyintech.tams.common.svreport.datacheck.service.BaseCheckLib','isNotEmpty','FINANCIER_GRADE','','','融资人主体评级要素不能为空。','E','N');</v>
      </c>
    </row>
    <row r="332" spans="1:12" x14ac:dyDescent="0.15">
      <c r="A332" s="9">
        <v>329</v>
      </c>
      <c r="B332" s="21" t="s">
        <v>380</v>
      </c>
      <c r="C332" s="23" t="s">
        <v>1484</v>
      </c>
      <c r="D332" s="22" t="s">
        <v>21</v>
      </c>
      <c r="E332" s="22" t="s">
        <v>22</v>
      </c>
      <c r="F332" s="22" t="s">
        <v>902</v>
      </c>
      <c r="G332" s="22"/>
      <c r="H332" s="21"/>
      <c r="I332" s="22" t="s">
        <v>23</v>
      </c>
      <c r="J332" s="22" t="s">
        <v>1141</v>
      </c>
      <c r="K332" s="22" t="s">
        <v>24</v>
      </c>
      <c r="L332" s="2" t="str">
        <f t="shared" si="5"/>
        <v>insert into CHB_DATACHECK_RULE (CHECKRULEID,DATATYPE,CHECKCLASS,CHECKMETHOD,SRCPROPERTY,COMPARETO,OBJVALUE,REMARK,STATUS,NULLABLE) values ('W84807E5-DF5A-D920-E050-007F010077FD','CHB_ASSET_INFO','com.joyintech.tams.common.svreport.datacheck.service.BaseCheckLib','isNotEmpty','IN_GRADE','','','资产内部评级要素不可为空','E','N');</v>
      </c>
    </row>
    <row r="333" spans="1:12" x14ac:dyDescent="0.15">
      <c r="A333" s="17">
        <v>330</v>
      </c>
      <c r="B333" s="21" t="s">
        <v>381</v>
      </c>
      <c r="C333" s="23" t="s">
        <v>1484</v>
      </c>
      <c r="D333" s="22" t="s">
        <v>21</v>
      </c>
      <c r="E333" s="22" t="s">
        <v>62</v>
      </c>
      <c r="F333" s="22" t="s">
        <v>902</v>
      </c>
      <c r="G333" s="22"/>
      <c r="H333" s="21" t="s">
        <v>2332</v>
      </c>
      <c r="I333" s="22" t="s">
        <v>27</v>
      </c>
      <c r="J333" s="22" t="s">
        <v>1142</v>
      </c>
      <c r="K333" s="22" t="s">
        <v>24</v>
      </c>
      <c r="L333" s="2" t="str">
        <f t="shared" si="5"/>
        <v>insert into CHB_DATACHECK_RULE (CHECKRULEID,DATATYPE,CHECKCLASS,CHECKMETHOD,SRCPROPERTY,COMPARETO,OBJVALUE,REMARK,STATUS,NULLABLE) values ('W84807E5-DF5A-D920-E050-107F010077FD','CHB_ASSET_INFO','com.joyintech.tams.common.svreport.datacheck.service.BaseCheckLib','lessThanCharLength','IN_GRADE','','21','资产内部评级过长','E','Y');</v>
      </c>
    </row>
    <row r="334" spans="1:12" x14ac:dyDescent="0.15">
      <c r="A334" s="9">
        <v>331</v>
      </c>
      <c r="B334" s="21" t="s">
        <v>382</v>
      </c>
      <c r="C334" s="23" t="s">
        <v>1484</v>
      </c>
      <c r="D334" s="22" t="s">
        <v>21</v>
      </c>
      <c r="E334" s="22" t="s">
        <v>30</v>
      </c>
      <c r="F334" s="22" t="s">
        <v>1058</v>
      </c>
      <c r="G334" s="22"/>
      <c r="H334" s="21" t="s">
        <v>1059</v>
      </c>
      <c r="I334" s="22" t="s">
        <v>23</v>
      </c>
      <c r="J334" s="22" t="s">
        <v>1060</v>
      </c>
      <c r="K334" s="22" t="s">
        <v>24</v>
      </c>
      <c r="L334" s="2" t="str">
        <f t="shared" si="5"/>
        <v>insert into CHB_DATACHECK_RULE (CHECKRULEID,DATATYPE,CHECKCLASS,CHECKMETHOD,SRCPROPERTY,COMPARETO,OBJVALUE,REMARK,STATUS,NULLABLE) values ('W84807E5-DF5B-D920-E050-007F010077FD','CHB_ASSET_INFO','com.joyintech.tams.common.svreport.datacheck.service.BaseCheckLib','inDatadict','OUT_GRADE','','SVR_MAIN_GRADE','资产外部评级要素不可为空，且必须在值域范围内','E','N');</v>
      </c>
    </row>
    <row r="335" spans="1:12" x14ac:dyDescent="0.15">
      <c r="A335" s="17">
        <v>332</v>
      </c>
      <c r="B335" s="21" t="s">
        <v>383</v>
      </c>
      <c r="C335" s="23" t="s">
        <v>1484</v>
      </c>
      <c r="D335" s="22" t="s">
        <v>21</v>
      </c>
      <c r="E335" s="22" t="s">
        <v>30</v>
      </c>
      <c r="F335" s="22" t="s">
        <v>1143</v>
      </c>
      <c r="G335" s="22"/>
      <c r="H335" s="21" t="s">
        <v>1144</v>
      </c>
      <c r="I335" s="22" t="s">
        <v>23</v>
      </c>
      <c r="J335" s="22" t="s">
        <v>1145</v>
      </c>
      <c r="K335" s="22" t="s">
        <v>24</v>
      </c>
      <c r="L335" s="2" t="str">
        <f t="shared" si="5"/>
        <v>insert into CHB_DATACHECK_RULE (CHECKRULEID,DATATYPE,CHECKCLASS,CHECKMETHOD,SRCPROPERTY,COMPARETO,OBJVALUE,REMARK,STATUS,NULLABLE) values ('W84807E5-DF5C-D920-E050-007F010077FD','CHB_ASSET_INFO','com.joyintech.tams.common.svreport.datacheck.service.BaseCheckLib','inDatadict','FIN_AREA','','ADMINISTRATIVE_TYPE2','融资人所属地区不可为空且在值域范围内','E','N');</v>
      </c>
    </row>
    <row r="336" spans="1:12" x14ac:dyDescent="0.15">
      <c r="A336" s="9">
        <v>333</v>
      </c>
      <c r="B336" s="21" t="s">
        <v>384</v>
      </c>
      <c r="C336" s="23" t="s">
        <v>1484</v>
      </c>
      <c r="D336" s="22" t="s">
        <v>21</v>
      </c>
      <c r="E336" s="22" t="s">
        <v>62</v>
      </c>
      <c r="F336" s="22" t="s">
        <v>854</v>
      </c>
      <c r="G336" s="22"/>
      <c r="H336" s="21" t="s">
        <v>2330</v>
      </c>
      <c r="I336" s="22" t="s">
        <v>23</v>
      </c>
      <c r="J336" s="22" t="s">
        <v>1146</v>
      </c>
      <c r="K336" s="22" t="s">
        <v>24</v>
      </c>
      <c r="L336" s="2" t="str">
        <f t="shared" si="5"/>
        <v>insert into CHB_DATACHECK_RULE (CHECKRULEID,DATATYPE,CHECKCLASS,CHECKMETHOD,SRCPROPERTY,COMPARETO,OBJVALUE,REMARK,STATUS,NULLABLE) values ('W84807E5-DF5D-D920-E050-007F010077FD','CHB_ASSET_INFO','com.joyintech.tams.common.svreport.datacheck.service.BaseCheckLib','lessThanCharLength','CONDITION_CMM','','201','行权条件说明要素不可为空且不可过长','E','N');</v>
      </c>
    </row>
    <row r="337" spans="1:12" x14ac:dyDescent="0.15">
      <c r="A337" s="17">
        <v>334</v>
      </c>
      <c r="B337" s="21" t="s">
        <v>385</v>
      </c>
      <c r="C337" s="23" t="s">
        <v>1484</v>
      </c>
      <c r="D337" s="22" t="s">
        <v>21</v>
      </c>
      <c r="E337" s="22" t="s">
        <v>32</v>
      </c>
      <c r="F337" s="22" t="s">
        <v>1147</v>
      </c>
      <c r="G337" s="22"/>
      <c r="H337" s="21" t="s">
        <v>33</v>
      </c>
      <c r="I337" s="22" t="s">
        <v>23</v>
      </c>
      <c r="J337" s="22" t="s">
        <v>1148</v>
      </c>
      <c r="K337" s="22" t="s">
        <v>24</v>
      </c>
      <c r="L337" s="2" t="str">
        <f t="shared" si="5"/>
        <v>insert into CHB_DATACHECK_RULE (CHECKRULEID,DATATYPE,CHECKCLASS,CHECKMETHOD,SRCPROPERTY,COMPARETO,OBJVALUE,REMARK,STATUS,NULLABLE) values ('W84807E5-DF5E-D920-E050-007F010077FD','CHB_ASSET_INFO','com.joyintech.tams.common.svreport.datacheck.service.BaseCheckLib','isNumber2','TOTAL_FEE_RATE','','8,5','融资总费率%要素不可为空且必须是(8,5)格式','E','N');</v>
      </c>
    </row>
    <row r="338" spans="1:12" x14ac:dyDescent="0.15">
      <c r="A338" s="9">
        <v>335</v>
      </c>
      <c r="B338" s="21" t="s">
        <v>386</v>
      </c>
      <c r="C338" s="23" t="s">
        <v>1484</v>
      </c>
      <c r="D338" s="22" t="s">
        <v>21</v>
      </c>
      <c r="E338" s="22" t="s">
        <v>34</v>
      </c>
      <c r="F338" s="22" t="s">
        <v>1147</v>
      </c>
      <c r="G338" s="22" t="s">
        <v>35</v>
      </c>
      <c r="H338" s="21" t="s">
        <v>26</v>
      </c>
      <c r="I338" s="22" t="s">
        <v>27</v>
      </c>
      <c r="J338" s="22" t="s">
        <v>1149</v>
      </c>
      <c r="K338" s="22" t="s">
        <v>24</v>
      </c>
      <c r="L338" s="2" t="str">
        <f t="shared" si="5"/>
        <v>insert into CHB_DATACHECK_RULE (CHECKRULEID,DATATYPE,CHECKCLASS,CHECKMETHOD,SRCPROPERTY,COMPARETO,OBJVALUE,REMARK,STATUS,NULLABLE) values ('W84807E5-DF5F-D920-E050-007F010077FD','CHB_ASSET_INFO','com.joyintech.tams.common.svreport.datacheck.service.BaseCheckLib','compareValueAsNumber','TOTAL_FEE_RATE','&gt;=','0','融资总费率%必须大于等于0','E','Y');</v>
      </c>
    </row>
    <row r="339" spans="1:12" x14ac:dyDescent="0.15">
      <c r="A339" s="17">
        <v>336</v>
      </c>
      <c r="B339" s="21" t="s">
        <v>387</v>
      </c>
      <c r="C339" s="23" t="s">
        <v>1484</v>
      </c>
      <c r="D339" s="22" t="s">
        <v>21</v>
      </c>
      <c r="E339" s="22" t="s">
        <v>22</v>
      </c>
      <c r="F339" s="22" t="s">
        <v>8</v>
      </c>
      <c r="G339" s="22"/>
      <c r="H339" s="21" t="s">
        <v>26</v>
      </c>
      <c r="I339" s="22" t="s">
        <v>23</v>
      </c>
      <c r="J339" s="22" t="s">
        <v>43</v>
      </c>
      <c r="K339" s="22" t="s">
        <v>24</v>
      </c>
      <c r="L339" s="2" t="str">
        <f t="shared" si="5"/>
        <v>insert into CHB_DATACHECK_RULE (CHECKRULEID,DATATYPE,CHECKCLASS,CHECKMETHOD,SRCPROPERTY,COMPARETO,OBJVALUE,REMARK,STATUS,NULLABLE) values ('W84807E5-DF60-D920-E050-007F010077FD','CHB_ASSET_INFO','com.joyintech.tams.common.svreport.datacheck.service.BaseCheckLib','isNotEmpty','REMARK','','0','备注要素不可为空','E','N');</v>
      </c>
    </row>
    <row r="340" spans="1:12" x14ac:dyDescent="0.15">
      <c r="A340" s="9">
        <v>337</v>
      </c>
      <c r="B340" s="21" t="s">
        <v>388</v>
      </c>
      <c r="C340" s="23" t="s">
        <v>1484</v>
      </c>
      <c r="D340" s="22" t="s">
        <v>21</v>
      </c>
      <c r="E340" s="22" t="s">
        <v>22</v>
      </c>
      <c r="F340" s="22" t="s">
        <v>8</v>
      </c>
      <c r="G340" s="22"/>
      <c r="H340" s="21" t="s">
        <v>26</v>
      </c>
      <c r="I340" s="22" t="s">
        <v>23</v>
      </c>
      <c r="J340" s="22" t="s">
        <v>43</v>
      </c>
      <c r="K340" s="22" t="s">
        <v>24</v>
      </c>
      <c r="L340" s="2" t="str">
        <f t="shared" si="5"/>
        <v>insert into CHB_DATACHECK_RULE (CHECKRULEID,DATATYPE,CHECKCLASS,CHECKMETHOD,SRCPROPERTY,COMPARETO,OBJVALUE,REMARK,STATUS,NULLABLE) values ('W84807E5-DF61-D920-E050-007F010077FD','CHB_ASSET_INFO','com.joyintech.tams.common.svreport.datacheck.service.BaseCheckLib','isNotEmpty','REMARK','','0','备注要素不可为空','E','N');</v>
      </c>
    </row>
    <row r="341" spans="1:12" x14ac:dyDescent="0.15">
      <c r="A341" s="17">
        <v>338</v>
      </c>
      <c r="B341" s="21" t="s">
        <v>389</v>
      </c>
      <c r="C341" s="23" t="s">
        <v>1484</v>
      </c>
      <c r="D341" s="22" t="s">
        <v>21</v>
      </c>
      <c r="E341" s="22" t="s">
        <v>22</v>
      </c>
      <c r="F341" s="22" t="s">
        <v>8</v>
      </c>
      <c r="G341" s="22"/>
      <c r="H341" s="21" t="s">
        <v>26</v>
      </c>
      <c r="I341" s="22" t="s">
        <v>23</v>
      </c>
      <c r="J341" s="22" t="s">
        <v>43</v>
      </c>
      <c r="K341" s="22" t="s">
        <v>24</v>
      </c>
      <c r="L341" s="2" t="str">
        <f t="shared" si="5"/>
        <v>insert into CHB_DATACHECK_RULE (CHECKRULEID,DATATYPE,CHECKCLASS,CHECKMETHOD,SRCPROPERTY,COMPARETO,OBJVALUE,REMARK,STATUS,NULLABLE) values ('W84807E5-DF62-D920-E050-007F010077FD','CHB_ASSET_INFO','com.joyintech.tams.common.svreport.datacheck.service.BaseCheckLib','isNotEmpty','REMARK','','0','备注要素不可为空','E','N');</v>
      </c>
    </row>
    <row r="342" spans="1:12" x14ac:dyDescent="0.15">
      <c r="A342" s="9">
        <v>339</v>
      </c>
      <c r="B342" s="21" t="s">
        <v>390</v>
      </c>
      <c r="C342" s="23" t="s">
        <v>1484</v>
      </c>
      <c r="D342" s="22" t="s">
        <v>21</v>
      </c>
      <c r="E342" s="22" t="s">
        <v>22</v>
      </c>
      <c r="F342" s="22" t="s">
        <v>8</v>
      </c>
      <c r="G342" s="22"/>
      <c r="H342" s="21" t="s">
        <v>26</v>
      </c>
      <c r="I342" s="22" t="s">
        <v>23</v>
      </c>
      <c r="J342" s="22" t="s">
        <v>43</v>
      </c>
      <c r="K342" s="22" t="s">
        <v>24</v>
      </c>
      <c r="L342" s="2" t="str">
        <f t="shared" si="5"/>
        <v>insert into CHB_DATACHECK_RULE (CHECKRULEID,DATATYPE,CHECKCLASS,CHECKMETHOD,SRCPROPERTY,COMPARETO,OBJVALUE,REMARK,STATUS,NULLABLE) values ('W84807E5-DF63-D920-E050-007F010077FD','CHB_ASSET_INFO','com.joyintech.tams.common.svreport.datacheck.service.BaseCheckLib','isNotEmpty','REMARK','','0','备注要素不可为空','E','N');</v>
      </c>
    </row>
    <row r="343" spans="1:12" x14ac:dyDescent="0.15">
      <c r="A343" s="17">
        <v>340</v>
      </c>
      <c r="B343" s="21" t="s">
        <v>391</v>
      </c>
      <c r="C343" s="23" t="s">
        <v>1484</v>
      </c>
      <c r="D343" s="22" t="s">
        <v>21</v>
      </c>
      <c r="E343" s="22" t="s">
        <v>22</v>
      </c>
      <c r="F343" s="22" t="s">
        <v>8</v>
      </c>
      <c r="G343" s="22"/>
      <c r="H343" s="21" t="s">
        <v>26</v>
      </c>
      <c r="I343" s="22" t="s">
        <v>23</v>
      </c>
      <c r="J343" s="22" t="s">
        <v>43</v>
      </c>
      <c r="K343" s="22" t="s">
        <v>24</v>
      </c>
      <c r="L343" s="2" t="str">
        <f t="shared" si="5"/>
        <v>insert into CHB_DATACHECK_RULE (CHECKRULEID,DATATYPE,CHECKCLASS,CHECKMETHOD,SRCPROPERTY,COMPARETO,OBJVALUE,REMARK,STATUS,NULLABLE) values ('W84807E5-DF64-D920-E050-007F010077FD','CHB_ASSET_INFO','com.joyintech.tams.common.svreport.datacheck.service.BaseCheckLib','isNotEmpty','REMARK','','0','备注要素不可为空','E','N');</v>
      </c>
    </row>
    <row r="344" spans="1:12" x14ac:dyDescent="0.15">
      <c r="A344" s="9">
        <v>341</v>
      </c>
      <c r="B344" s="21" t="s">
        <v>392</v>
      </c>
      <c r="C344" s="23" t="s">
        <v>1484</v>
      </c>
      <c r="D344" s="22" t="s">
        <v>21</v>
      </c>
      <c r="E344" s="22" t="s">
        <v>22</v>
      </c>
      <c r="F344" s="22" t="s">
        <v>8</v>
      </c>
      <c r="G344" s="22"/>
      <c r="H344" s="21"/>
      <c r="I344" s="22" t="s">
        <v>23</v>
      </c>
      <c r="J344" s="22" t="s">
        <v>1150</v>
      </c>
      <c r="K344" s="22" t="s">
        <v>24</v>
      </c>
      <c r="L344" s="2" t="str">
        <f t="shared" si="5"/>
        <v>insert into CHB_DATACHECK_RULE (CHECKRULEID,DATATYPE,CHECKCLASS,CHECKMETHOD,SRCPROPERTY,COMPARETO,OBJVALUE,REMARK,STATUS,NULLABLE) values ('W84807E5-DF65-D920-E050-007F010077FD','CHB_ASSET_INFO','com.joyintech.tams.common.svreport.datacheck.service.BaseCheckLib','isNotEmpty','REMARK','','','融资总费率计算公式需要在备注中说明','E','N');</v>
      </c>
    </row>
    <row r="345" spans="1:12" x14ac:dyDescent="0.15">
      <c r="A345" s="17">
        <v>342</v>
      </c>
      <c r="B345" s="21" t="s">
        <v>393</v>
      </c>
      <c r="C345" s="23" t="s">
        <v>1484</v>
      </c>
      <c r="D345" s="22" t="s">
        <v>21</v>
      </c>
      <c r="E345" s="22" t="s">
        <v>62</v>
      </c>
      <c r="F345" s="22" t="s">
        <v>805</v>
      </c>
      <c r="G345" s="22"/>
      <c r="H345" s="21" t="s">
        <v>2332</v>
      </c>
      <c r="I345" s="22" t="s">
        <v>23</v>
      </c>
      <c r="J345" s="22" t="s">
        <v>1151</v>
      </c>
      <c r="K345" s="22" t="s">
        <v>24</v>
      </c>
      <c r="L345" s="2" t="str">
        <f t="shared" si="5"/>
        <v>insert into CHB_DATACHECK_RULE (CHECKRULEID,DATATYPE,CHECKCLASS,CHECKMETHOD,SRCPROPERTY,COMPARETO,OBJVALUE,REMARK,STATUS,NULLABLE) values ('W84807E5-DF66-D920-E050-007F010077FD','CHB_ASSET_INFO','com.joyintech.tams.common.svreport.datacheck.service.BaseCheckLib','lessThanCharLength','ASSET_ID','','21','股票代码要素不可为空且不能过长。','E','N');</v>
      </c>
    </row>
    <row r="346" spans="1:12" x14ac:dyDescent="0.15">
      <c r="A346" s="9">
        <v>343</v>
      </c>
      <c r="B346" s="21" t="s">
        <v>394</v>
      </c>
      <c r="C346" s="23" t="s">
        <v>1484</v>
      </c>
      <c r="D346" s="22" t="s">
        <v>21</v>
      </c>
      <c r="E346" s="22" t="s">
        <v>62</v>
      </c>
      <c r="F346" s="22" t="s">
        <v>805</v>
      </c>
      <c r="G346" s="22"/>
      <c r="H346" s="21" t="s">
        <v>2332</v>
      </c>
      <c r="I346" s="22" t="s">
        <v>27</v>
      </c>
      <c r="J346" s="22" t="s">
        <v>1152</v>
      </c>
      <c r="K346" s="22" t="s">
        <v>24</v>
      </c>
      <c r="L346" s="2" t="str">
        <f t="shared" si="5"/>
        <v>insert into CHB_DATACHECK_RULE (CHECKRULEID,DATATYPE,CHECKCLASS,CHECKMETHOD,SRCPROPERTY,COMPARETO,OBJVALUE,REMARK,STATUS,NULLABLE) values ('W84807E5-DF66-D920-E050-107F010077FD','CHB_ASSET_INFO','com.joyintech.tams.common.svreport.datacheck.service.BaseCheckLib','lessThanCharLength','ASSET_ID','','21','股票代码要素不能过长。','E','Y');</v>
      </c>
    </row>
    <row r="347" spans="1:12" x14ac:dyDescent="0.15">
      <c r="A347" s="17">
        <v>344</v>
      </c>
      <c r="B347" s="21" t="s">
        <v>395</v>
      </c>
      <c r="C347" s="23" t="s">
        <v>1484</v>
      </c>
      <c r="D347" s="22" t="s">
        <v>21</v>
      </c>
      <c r="E347" s="22" t="s">
        <v>62</v>
      </c>
      <c r="F347" s="22" t="s">
        <v>805</v>
      </c>
      <c r="G347" s="22"/>
      <c r="H347" s="21" t="s">
        <v>2332</v>
      </c>
      <c r="I347" s="22" t="s">
        <v>23</v>
      </c>
      <c r="J347" s="22" t="s">
        <v>1151</v>
      </c>
      <c r="K347" s="22" t="s">
        <v>24</v>
      </c>
      <c r="L347" s="2" t="str">
        <f t="shared" si="5"/>
        <v>insert into CHB_DATACHECK_RULE (CHECKRULEID,DATATYPE,CHECKCLASS,CHECKMETHOD,SRCPROPERTY,COMPARETO,OBJVALUE,REMARK,STATUS,NULLABLE) values ('W84807E5-DF68-D920-E050-007F010077FD','CHB_ASSET_INFO','com.joyintech.tams.common.svreport.datacheck.service.BaseCheckLib','lessThanCharLength','ASSET_ID','','21','股票代码要素不可为空且不能过长。','E','N');</v>
      </c>
    </row>
    <row r="348" spans="1:12" x14ac:dyDescent="0.15">
      <c r="A348" s="9">
        <v>345</v>
      </c>
      <c r="B348" s="21" t="s">
        <v>396</v>
      </c>
      <c r="C348" s="23" t="s">
        <v>1484</v>
      </c>
      <c r="D348" s="22" t="s">
        <v>21</v>
      </c>
      <c r="E348" s="22" t="s">
        <v>62</v>
      </c>
      <c r="F348" s="22" t="s">
        <v>807</v>
      </c>
      <c r="G348" s="22"/>
      <c r="H348" s="21" t="s">
        <v>2330</v>
      </c>
      <c r="I348" s="22" t="s">
        <v>23</v>
      </c>
      <c r="J348" s="22" t="s">
        <v>1153</v>
      </c>
      <c r="K348" s="22" t="s">
        <v>24</v>
      </c>
      <c r="L348" s="2" t="str">
        <f t="shared" si="5"/>
        <v>insert into CHB_DATACHECK_RULE (CHECKRULEID,DATATYPE,CHECKCLASS,CHECKMETHOD,SRCPROPERTY,COMPARETO,OBJVALUE,REMARK,STATUS,NULLABLE) values ('W84807E5-DF6C-D920-E050-007F010077FD','CHB_ASSET_INFO','com.joyintech.tams.common.svreport.datacheck.service.BaseCheckLib','lessThanCharLength','ASSET_NAME','','201','股票/企业名称要素不可为空且不能过长。','E','N');</v>
      </c>
    </row>
    <row r="349" spans="1:12" x14ac:dyDescent="0.15">
      <c r="A349" s="17">
        <v>346</v>
      </c>
      <c r="B349" s="21" t="s">
        <v>397</v>
      </c>
      <c r="C349" s="23" t="s">
        <v>1484</v>
      </c>
      <c r="D349" s="22" t="s">
        <v>21</v>
      </c>
      <c r="E349" s="22" t="s">
        <v>62</v>
      </c>
      <c r="F349" s="22" t="s">
        <v>807</v>
      </c>
      <c r="G349" s="22"/>
      <c r="H349" s="21" t="s">
        <v>2330</v>
      </c>
      <c r="I349" s="22" t="s">
        <v>23</v>
      </c>
      <c r="J349" s="22" t="s">
        <v>1154</v>
      </c>
      <c r="K349" s="22" t="s">
        <v>24</v>
      </c>
      <c r="L349" s="2" t="str">
        <f t="shared" si="5"/>
        <v>insert into CHB_DATACHECK_RULE (CHECKRULEID,DATATYPE,CHECKCLASS,CHECKMETHOD,SRCPROPERTY,COMPARETO,OBJVALUE,REMARK,STATUS,NULLABLE) values ('W84807E5-DF6C-D920-E050-107F010077FD','CHB_ASSET_INFO','com.joyintech.tams.common.svreport.datacheck.service.BaseCheckLib','lessThanCharLength','ASSET_NAME','','201','委外投资协议名称不可为空且不能过长。','E','N');</v>
      </c>
    </row>
    <row r="350" spans="1:12" x14ac:dyDescent="0.15">
      <c r="A350" s="9">
        <v>347</v>
      </c>
      <c r="B350" s="21" t="s">
        <v>398</v>
      </c>
      <c r="C350" s="23" t="s">
        <v>1484</v>
      </c>
      <c r="D350" s="22" t="s">
        <v>21</v>
      </c>
      <c r="E350" s="22" t="s">
        <v>22</v>
      </c>
      <c r="F350" s="22" t="s">
        <v>1155</v>
      </c>
      <c r="G350" s="22"/>
      <c r="H350" s="21"/>
      <c r="I350" s="22" t="s">
        <v>23</v>
      </c>
      <c r="J350" s="22" t="s">
        <v>1156</v>
      </c>
      <c r="K350" s="22" t="s">
        <v>24</v>
      </c>
      <c r="L350" s="2" t="str">
        <f t="shared" si="5"/>
        <v>insert into CHB_DATACHECK_RULE (CHECKRULEID,DATATYPE,CHECKCLASS,CHECKMETHOD,SRCPROPERTY,COMPARETO,OBJVALUE,REMARK,STATUS,NULLABLE) values ('W84807E5-DF6C-D920-E050-107F01007SFD','CHB_ASSET_INFO','com.joyintech.tams.common.svreport.datacheck.service.BaseCheckLib','isNotEmpty','TRUSTEE','','','受托人不可为空','E','N');</v>
      </c>
    </row>
    <row r="351" spans="1:12" x14ac:dyDescent="0.15">
      <c r="A351" s="17">
        <v>348</v>
      </c>
      <c r="B351" s="21" t="s">
        <v>399</v>
      </c>
      <c r="C351" s="23" t="s">
        <v>1484</v>
      </c>
      <c r="D351" s="22" t="s">
        <v>21</v>
      </c>
      <c r="E351" s="22" t="s">
        <v>62</v>
      </c>
      <c r="F351" s="22" t="s">
        <v>1155</v>
      </c>
      <c r="G351" s="22"/>
      <c r="H351" s="21" t="s">
        <v>2330</v>
      </c>
      <c r="I351" s="22" t="s">
        <v>27</v>
      </c>
      <c r="J351" s="22" t="s">
        <v>1157</v>
      </c>
      <c r="K351" s="22" t="s">
        <v>24</v>
      </c>
      <c r="L351" s="2" t="str">
        <f t="shared" si="5"/>
        <v>insert into CHB_DATACHECK_RULE (CHECKRULEID,DATATYPE,CHECKCLASS,CHECKMETHOD,SRCPROPERTY,COMPARETO,OBJVALUE,REMARK,STATUS,NULLABLE) values ('W84807E5-DF6C-D920-E050-207F01007SFD','CHB_ASSET_INFO','com.joyintech.tams.common.svreport.datacheck.service.BaseCheckLib','lessThanCharLength','TRUSTEE','','201','受托人过长','E','Y');</v>
      </c>
    </row>
    <row r="352" spans="1:12" x14ac:dyDescent="0.15">
      <c r="A352" s="9">
        <v>349</v>
      </c>
      <c r="B352" s="21" t="s">
        <v>400</v>
      </c>
      <c r="C352" s="23" t="s">
        <v>1484</v>
      </c>
      <c r="D352" s="22" t="s">
        <v>21</v>
      </c>
      <c r="E352" s="22" t="s">
        <v>22</v>
      </c>
      <c r="F352" s="22" t="s">
        <v>1158</v>
      </c>
      <c r="G352" s="22"/>
      <c r="H352" s="21"/>
      <c r="I352" s="22" t="s">
        <v>23</v>
      </c>
      <c r="J352" s="22" t="s">
        <v>1159</v>
      </c>
      <c r="K352" s="22" t="s">
        <v>24</v>
      </c>
      <c r="L352" s="2" t="str">
        <f t="shared" si="5"/>
        <v>insert into CHB_DATACHECK_RULE (CHECKRULEID,DATATYPE,CHECKCLASS,CHECKMETHOD,SRCPROPERTY,COMPARETO,OBJVALUE,REMARK,STATUS,NULLABLE) values ('W84807E5-DF6E-D920-E050-007F010077FD','CHB_ASSET_INFO','com.joyintech.tams.common.svreport.datacheck.service.BaseCheckLib','isNotEmpty','SHARES_TYPE','','','股票类型要素不可为空','E','N');</v>
      </c>
    </row>
    <row r="353" spans="1:12" x14ac:dyDescent="0.15">
      <c r="A353" s="17">
        <v>350</v>
      </c>
      <c r="B353" s="21" t="s">
        <v>401</v>
      </c>
      <c r="C353" s="23" t="s">
        <v>1484</v>
      </c>
      <c r="D353" s="22" t="s">
        <v>21</v>
      </c>
      <c r="E353" s="22" t="s">
        <v>22</v>
      </c>
      <c r="F353" s="22" t="s">
        <v>1158</v>
      </c>
      <c r="G353" s="22"/>
      <c r="H353" s="21"/>
      <c r="I353" s="22" t="s">
        <v>23</v>
      </c>
      <c r="J353" s="22" t="s">
        <v>1159</v>
      </c>
      <c r="K353" s="22" t="s">
        <v>24</v>
      </c>
      <c r="L353" s="2" t="str">
        <f t="shared" si="5"/>
        <v>insert into CHB_DATACHECK_RULE (CHECKRULEID,DATATYPE,CHECKCLASS,CHECKMETHOD,SRCPROPERTY,COMPARETO,OBJVALUE,REMARK,STATUS,NULLABLE) values ('W84807E5-DF6F-D920-E050-007F010077FD','CHB_ASSET_INFO','com.joyintech.tams.common.svreport.datacheck.service.BaseCheckLib','isNotEmpty','SHARES_TYPE','','','股票类型要素不可为空','E','N');</v>
      </c>
    </row>
    <row r="354" spans="1:12" x14ac:dyDescent="0.15">
      <c r="A354" s="9">
        <v>351</v>
      </c>
      <c r="B354" s="21" t="s">
        <v>402</v>
      </c>
      <c r="C354" s="23" t="s">
        <v>1484</v>
      </c>
      <c r="D354" s="22" t="s">
        <v>21</v>
      </c>
      <c r="E354" s="22" t="s">
        <v>30</v>
      </c>
      <c r="F354" s="22" t="s">
        <v>1158</v>
      </c>
      <c r="G354" s="22" t="s">
        <v>25</v>
      </c>
      <c r="H354" s="21" t="s">
        <v>1160</v>
      </c>
      <c r="I354" s="22" t="s">
        <v>27</v>
      </c>
      <c r="J354" s="22" t="s">
        <v>1161</v>
      </c>
      <c r="K354" s="22" t="s">
        <v>24</v>
      </c>
      <c r="L354" s="2" t="str">
        <f t="shared" si="5"/>
        <v>insert into CHB_DATACHECK_RULE (CHECKRULEID,DATATYPE,CHECKCLASS,CHECKMETHOD,SRCPROPERTY,COMPARETO,OBJVALUE,REMARK,STATUS,NULLABLE) values ('W84807E5-DF6F-D920-E050-107F010077FD','CHB_ASSET_INFO','com.joyintech.tams.common.svreport.datacheck.service.BaseCheckLib','inDatadict','SHARES_TYPE','==','SVR_SHARES_TYPE','股票类型不在值域范围内','E','Y');</v>
      </c>
    </row>
    <row r="355" spans="1:12" x14ac:dyDescent="0.15">
      <c r="A355" s="17">
        <v>352</v>
      </c>
      <c r="B355" s="21" t="s">
        <v>403</v>
      </c>
      <c r="C355" s="23" t="s">
        <v>1484</v>
      </c>
      <c r="D355" s="22" t="s">
        <v>21</v>
      </c>
      <c r="E355" s="22" t="s">
        <v>22</v>
      </c>
      <c r="F355" s="22" t="s">
        <v>811</v>
      </c>
      <c r="G355" s="22"/>
      <c r="H355" s="21"/>
      <c r="I355" s="22" t="s">
        <v>23</v>
      </c>
      <c r="J355" s="22" t="s">
        <v>812</v>
      </c>
      <c r="K355" s="22" t="s">
        <v>24</v>
      </c>
      <c r="L355" s="2" t="str">
        <f t="shared" si="5"/>
        <v>insert into CHB_DATACHECK_RULE (CHECKRULEID,DATATYPE,CHECKCLASS,CHECKMETHOD,SRCPROPERTY,COMPARETO,OBJVALUE,REMARK,STATUS,NULLABLE) values ('W84807E5-DF70-D920-E050-007F010077FD','CHB_ASSET_INFO','com.joyintech.tams.common.svreport.datacheck.service.BaseCheckLib','isNotEmpty','INDUSTRY_SHARES2','','','行业二级分类不可为空','E','N');</v>
      </c>
    </row>
    <row r="356" spans="1:12" x14ac:dyDescent="0.15">
      <c r="A356" s="9">
        <v>353</v>
      </c>
      <c r="B356" s="21" t="s">
        <v>404</v>
      </c>
      <c r="C356" s="23" t="s">
        <v>1484</v>
      </c>
      <c r="D356" s="22" t="s">
        <v>21</v>
      </c>
      <c r="E356" s="22" t="s">
        <v>30</v>
      </c>
      <c r="F356" s="22" t="s">
        <v>811</v>
      </c>
      <c r="G356" s="22" t="s">
        <v>25</v>
      </c>
      <c r="H356" s="21" t="s">
        <v>820</v>
      </c>
      <c r="I356" s="22" t="s">
        <v>27</v>
      </c>
      <c r="J356" s="22" t="s">
        <v>821</v>
      </c>
      <c r="K356" s="22" t="s">
        <v>24</v>
      </c>
      <c r="L356" s="2" t="str">
        <f t="shared" si="5"/>
        <v>insert into CHB_DATACHECK_RULE (CHECKRULEID,DATATYPE,CHECKCLASS,CHECKMETHOD,SRCPROPERTY,COMPARETO,OBJVALUE,REMARK,STATUS,NULLABLE) values ('W84807E5-DF70-D920-E050-107F010077FD','CHB_ASSET_INFO','com.joyintech.tams.common.svreport.datacheck.service.BaseCheckLib','inDatadict','INDUSTRY_SHARES2','==','INSTITUTION_INDUSTRY_SECOND_LEVEL','行业不在值域范围内。','E','Y');</v>
      </c>
    </row>
    <row r="357" spans="1:12" x14ac:dyDescent="0.15">
      <c r="A357" s="17">
        <v>354</v>
      </c>
      <c r="B357" s="21" t="s">
        <v>405</v>
      </c>
      <c r="C357" s="23" t="s">
        <v>1484</v>
      </c>
      <c r="D357" s="22" t="s">
        <v>21</v>
      </c>
      <c r="E357" s="22" t="s">
        <v>22</v>
      </c>
      <c r="F357" s="22" t="s">
        <v>892</v>
      </c>
      <c r="G357" s="22"/>
      <c r="H357" s="21"/>
      <c r="I357" s="22" t="s">
        <v>23</v>
      </c>
      <c r="J357" s="22" t="s">
        <v>1162</v>
      </c>
      <c r="K357" s="22" t="s">
        <v>24</v>
      </c>
      <c r="L357" s="2" t="str">
        <f t="shared" si="5"/>
        <v>insert into CHB_DATACHECK_RULE (CHECKRULEID,DATATYPE,CHECKCLASS,CHECKMETHOD,SRCPROPERTY,COMPARETO,OBJVALUE,REMARK,STATUS,NULLABLE) values ('W84807E5-DF71-D920-E050-007F010077FD','CHB_ASSET_INFO','com.joyintech.tams.common.svreport.datacheck.service.BaseCheckLib','isNotEmpty','INVEST_STAGE','','','投资阶段要素不可为空。','E','N');</v>
      </c>
    </row>
    <row r="358" spans="1:12" x14ac:dyDescent="0.15">
      <c r="A358" s="9">
        <v>355</v>
      </c>
      <c r="B358" s="21" t="s">
        <v>406</v>
      </c>
      <c r="C358" s="23" t="s">
        <v>1484</v>
      </c>
      <c r="D358" s="22" t="s">
        <v>21</v>
      </c>
      <c r="E358" s="22" t="s">
        <v>22</v>
      </c>
      <c r="F358" s="22" t="s">
        <v>1011</v>
      </c>
      <c r="G358" s="22"/>
      <c r="H358" s="21"/>
      <c r="I358" s="22" t="s">
        <v>23</v>
      </c>
      <c r="J358" s="22" t="s">
        <v>1163</v>
      </c>
      <c r="K358" s="22" t="s">
        <v>24</v>
      </c>
      <c r="L358" s="2" t="str">
        <f t="shared" si="5"/>
        <v>insert into CHB_DATACHECK_RULE (CHECKRULEID,DATATYPE,CHECKCLASS,CHECKMETHOD,SRCPROPERTY,COMPARETO,OBJVALUE,REMARK,STATUS,NULLABLE) values ('W84807E5-DF72-D920-E050-007F010077FD','CHB_ASSET_INFO','com.joyintech.tams.common.svreport.datacheck.service.BaseCheckLib','isNotEmpty','SHARES_TYPE1','','','企业类型（按规模划分）要素不可为空。','E','N');</v>
      </c>
    </row>
    <row r="359" spans="1:12" x14ac:dyDescent="0.15">
      <c r="A359" s="17">
        <v>356</v>
      </c>
      <c r="B359" s="21" t="s">
        <v>407</v>
      </c>
      <c r="C359" s="23" t="s">
        <v>1484</v>
      </c>
      <c r="D359" s="22" t="s">
        <v>21</v>
      </c>
      <c r="E359" s="22" t="s">
        <v>30</v>
      </c>
      <c r="F359" s="22" t="s">
        <v>1011</v>
      </c>
      <c r="G359" s="22" t="s">
        <v>25</v>
      </c>
      <c r="H359" s="21" t="s">
        <v>1013</v>
      </c>
      <c r="I359" s="22" t="s">
        <v>27</v>
      </c>
      <c r="J359" s="22" t="s">
        <v>1164</v>
      </c>
      <c r="K359" s="22" t="s">
        <v>24</v>
      </c>
      <c r="L359" s="2" t="str">
        <f t="shared" si="5"/>
        <v>insert into CHB_DATACHECK_RULE (CHECKRULEID,DATATYPE,CHECKCLASS,CHECKMETHOD,SRCPROPERTY,COMPARETO,OBJVALUE,REMARK,STATUS,NULLABLE) values ('W84807E5-DF72-D920-E050-107F010077FD','CHB_ASSET_INFO','com.joyintech.tams.common.svreport.datacheck.service.BaseCheckLib','inDatadict','SHARES_TYPE1','==','SVR_PARTY_TYPE1','企业类型（按规模划分）不在值域范围内。','E','Y');</v>
      </c>
    </row>
    <row r="360" spans="1:12" x14ac:dyDescent="0.15">
      <c r="A360" s="9">
        <v>357</v>
      </c>
      <c r="B360" s="21" t="s">
        <v>408</v>
      </c>
      <c r="C360" s="23" t="s">
        <v>1484</v>
      </c>
      <c r="D360" s="22" t="s">
        <v>21</v>
      </c>
      <c r="E360" s="22" t="s">
        <v>22</v>
      </c>
      <c r="F360" s="22" t="s">
        <v>1019</v>
      </c>
      <c r="G360" s="22"/>
      <c r="H360" s="21"/>
      <c r="I360" s="22" t="s">
        <v>23</v>
      </c>
      <c r="J360" s="22" t="s">
        <v>1165</v>
      </c>
      <c r="K360" s="22" t="s">
        <v>24</v>
      </c>
      <c r="L360" s="2" t="str">
        <f t="shared" si="5"/>
        <v>insert into CHB_DATACHECK_RULE (CHECKRULEID,DATATYPE,CHECKCLASS,CHECKMETHOD,SRCPROPERTY,COMPARETO,OBJVALUE,REMARK,STATUS,NULLABLE) values ('W84807E5-DF73-D920-E050-007F010077FD','CHB_ASSET_INFO','com.joyintech.tams.common.svreport.datacheck.service.BaseCheckLib','isNotEmpty','SHARES_TYPE3','','','企业类型（按技术领域划分）要素不可为空。','E','N');</v>
      </c>
    </row>
    <row r="361" spans="1:12" x14ac:dyDescent="0.15">
      <c r="A361" s="17">
        <v>358</v>
      </c>
      <c r="B361" s="21" t="s">
        <v>409</v>
      </c>
      <c r="C361" s="23" t="s">
        <v>1484</v>
      </c>
      <c r="D361" s="22" t="s">
        <v>21</v>
      </c>
      <c r="E361" s="22" t="s">
        <v>30</v>
      </c>
      <c r="F361" s="22" t="s">
        <v>1019</v>
      </c>
      <c r="G361" s="22"/>
      <c r="H361" s="21" t="s">
        <v>1043</v>
      </c>
      <c r="I361" s="22" t="s">
        <v>27</v>
      </c>
      <c r="J361" s="22" t="s">
        <v>1166</v>
      </c>
      <c r="K361" s="22" t="s">
        <v>24</v>
      </c>
      <c r="L361" s="2" t="str">
        <f t="shared" si="5"/>
        <v>insert into CHB_DATACHECK_RULE (CHECKRULEID,DATATYPE,CHECKCLASS,CHECKMETHOD,SRCPROPERTY,COMPARETO,OBJVALUE,REMARK,STATUS,NULLABLE) values ('W84807E5-DF73-D920-E050-107F010077FD','CHB_ASSET_INFO','com.joyintech.tams.common.svreport.datacheck.service.BaseCheckLib','inDatadict','SHARES_TYPE3','','SVR_PARTY_TYPE3','企业类型（按技术领域划分）不在值域范围内。','E','Y');</v>
      </c>
    </row>
    <row r="362" spans="1:12" x14ac:dyDescent="0.15">
      <c r="A362" s="9">
        <v>359</v>
      </c>
      <c r="B362" s="21" t="s">
        <v>410</v>
      </c>
      <c r="C362" s="23" t="s">
        <v>1484</v>
      </c>
      <c r="D362" s="22" t="s">
        <v>21</v>
      </c>
      <c r="E362" s="22" t="s">
        <v>22</v>
      </c>
      <c r="F362" s="22" t="s">
        <v>1015</v>
      </c>
      <c r="G362" s="22"/>
      <c r="H362" s="21"/>
      <c r="I362" s="22" t="s">
        <v>23</v>
      </c>
      <c r="J362" s="22" t="s">
        <v>1167</v>
      </c>
      <c r="K362" s="22" t="s">
        <v>24</v>
      </c>
      <c r="L362" s="2" t="str">
        <f t="shared" si="5"/>
        <v>insert into CHB_DATACHECK_RULE (CHECKRULEID,DATATYPE,CHECKCLASS,CHECKMETHOD,SRCPROPERTY,COMPARETO,OBJVALUE,REMARK,STATUS,NULLABLE) values ('W84807E5-DF74-D920-E050-007F010077FD','CHB_ASSET_INFO','com.joyintech.tams.common.svreport.datacheck.service.BaseCheckLib','isNotEmpty','SHARES_TYPE2','','','企业类型（按经济类型划分）要素不可为空。','E','N');</v>
      </c>
    </row>
    <row r="363" spans="1:12" x14ac:dyDescent="0.15">
      <c r="A363" s="17">
        <v>360</v>
      </c>
      <c r="B363" s="21" t="s">
        <v>411</v>
      </c>
      <c r="C363" s="23" t="s">
        <v>1484</v>
      </c>
      <c r="D363" s="22" t="s">
        <v>21</v>
      </c>
      <c r="E363" s="22" t="s">
        <v>30</v>
      </c>
      <c r="F363" s="22" t="s">
        <v>1015</v>
      </c>
      <c r="G363" s="22"/>
      <c r="H363" s="21" t="s">
        <v>1017</v>
      </c>
      <c r="I363" s="22" t="s">
        <v>27</v>
      </c>
      <c r="J363" s="22" t="s">
        <v>1168</v>
      </c>
      <c r="K363" s="22" t="s">
        <v>24</v>
      </c>
      <c r="L363" s="2" t="str">
        <f t="shared" si="5"/>
        <v>insert into CHB_DATACHECK_RULE (CHECKRULEID,DATATYPE,CHECKCLASS,CHECKMETHOD,SRCPROPERTY,COMPARETO,OBJVALUE,REMARK,STATUS,NULLABLE) values ('W84807E5-DF74-D920-E050-107F010077FD','CHB_ASSET_INFO','com.joyintech.tams.common.svreport.datacheck.service.BaseCheckLib','inDatadict','SHARES_TYPE2','','SVR_PARTY_TYPE2','企业类型（按经济类型划分）不在值域范围内。','E','Y');</v>
      </c>
    </row>
    <row r="364" spans="1:12" x14ac:dyDescent="0.15">
      <c r="A364" s="9">
        <v>361</v>
      </c>
      <c r="B364" s="21" t="s">
        <v>412</v>
      </c>
      <c r="C364" s="23" t="s">
        <v>1484</v>
      </c>
      <c r="D364" s="22" t="s">
        <v>21</v>
      </c>
      <c r="E364" s="22" t="s">
        <v>22</v>
      </c>
      <c r="F364" s="22" t="s">
        <v>1169</v>
      </c>
      <c r="G364" s="22"/>
      <c r="H364" s="21"/>
      <c r="I364" s="22" t="s">
        <v>23</v>
      </c>
      <c r="J364" s="22" t="s">
        <v>1170</v>
      </c>
      <c r="K364" s="22" t="s">
        <v>24</v>
      </c>
      <c r="L364" s="2" t="str">
        <f t="shared" si="5"/>
        <v>insert into CHB_DATACHECK_RULE (CHECKRULEID,DATATYPE,CHECKCLASS,CHECKMETHOD,SRCPROPERTY,COMPARETO,OBJVALUE,REMARK,STATUS,NULLABLE) values ('W84807E5-DF75-D920-E050-007F010077FD','CHB_ASSET_INFO','com.joyintech.tams.common.svreport.datacheck.service.BaseCheckLib','isNotEmpty','IS_PLEDGE','','','是否为质押融资要素不可为空','E','N');</v>
      </c>
    </row>
    <row r="365" spans="1:12" x14ac:dyDescent="0.15">
      <c r="A365" s="17">
        <v>362</v>
      </c>
      <c r="B365" s="21" t="s">
        <v>413</v>
      </c>
      <c r="C365" s="23" t="s">
        <v>1484</v>
      </c>
      <c r="D365" s="22" t="s">
        <v>21</v>
      </c>
      <c r="E365" s="22" t="s">
        <v>30</v>
      </c>
      <c r="F365" s="22" t="s">
        <v>1169</v>
      </c>
      <c r="G365" s="22"/>
      <c r="H365" s="21" t="s">
        <v>814</v>
      </c>
      <c r="I365" s="22" t="s">
        <v>27</v>
      </c>
      <c r="J365" s="22" t="s">
        <v>1171</v>
      </c>
      <c r="K365" s="22" t="s">
        <v>24</v>
      </c>
      <c r="L365" s="2" t="str">
        <f t="shared" si="5"/>
        <v>insert into CHB_DATACHECK_RULE (CHECKRULEID,DATATYPE,CHECKCLASS,CHECKMETHOD,SRCPROPERTY,COMPARETO,OBJVALUE,REMARK,STATUS,NULLABLE) values ('W84807E5-DF75-D920-E050-107F010077FD','CHB_ASSET_INFO','com.joyintech.tams.common.svreport.datacheck.service.BaseCheckLib','inDatadict','IS_PLEDGE','','SVR_YES_OR_NO','是否为质押融资不在值域范围内','E','Y');</v>
      </c>
    </row>
    <row r="366" spans="1:12" x14ac:dyDescent="0.15">
      <c r="A366" s="9">
        <v>363</v>
      </c>
      <c r="B366" s="21" t="s">
        <v>414</v>
      </c>
      <c r="C366" s="23" t="s">
        <v>1484</v>
      </c>
      <c r="D366" s="22" t="s">
        <v>21</v>
      </c>
      <c r="E366" s="22" t="s">
        <v>22</v>
      </c>
      <c r="F366" s="22" t="s">
        <v>8</v>
      </c>
      <c r="G366" s="22"/>
      <c r="H366" s="21" t="s">
        <v>26</v>
      </c>
      <c r="I366" s="22" t="s">
        <v>23</v>
      </c>
      <c r="J366" s="22" t="s">
        <v>43</v>
      </c>
      <c r="K366" s="22" t="s">
        <v>24</v>
      </c>
      <c r="L366" s="2" t="str">
        <f t="shared" si="5"/>
        <v>insert into CHB_DATACHECK_RULE (CHECKRULEID,DATATYPE,CHECKCLASS,CHECKMETHOD,SRCPROPERTY,COMPARETO,OBJVALUE,REMARK,STATUS,NULLABLE) values ('W84807E5-DF76-D920-E050-007F010077FD','CHB_ASSET_INFO','com.joyintech.tams.common.svreport.datacheck.service.BaseCheckLib','isNotEmpty','REMARK','','0','备注要素不可为空','E','N');</v>
      </c>
    </row>
    <row r="367" spans="1:12" x14ac:dyDescent="0.15">
      <c r="A367" s="17">
        <v>364</v>
      </c>
      <c r="B367" s="21" t="s">
        <v>415</v>
      </c>
      <c r="C367" s="23" t="s">
        <v>1484</v>
      </c>
      <c r="D367" s="22" t="s">
        <v>21</v>
      </c>
      <c r="E367" s="22" t="s">
        <v>22</v>
      </c>
      <c r="F367" s="22" t="s">
        <v>8</v>
      </c>
      <c r="G367" s="22"/>
      <c r="H367" s="21" t="s">
        <v>26</v>
      </c>
      <c r="I367" s="22" t="s">
        <v>23</v>
      </c>
      <c r="J367" s="22" t="s">
        <v>43</v>
      </c>
      <c r="K367" s="22" t="s">
        <v>24</v>
      </c>
      <c r="L367" s="2" t="str">
        <f t="shared" si="5"/>
        <v>insert into CHB_DATACHECK_RULE (CHECKRULEID,DATATYPE,CHECKCLASS,CHECKMETHOD,SRCPROPERTY,COMPARETO,OBJVALUE,REMARK,STATUS,NULLABLE) values ('W84807E5-DF77-D920-E050-007F010077FD','CHB_ASSET_INFO','com.joyintech.tams.common.svreport.datacheck.service.BaseCheckLib','isNotEmpty','REMARK','','0','备注要素不可为空','E','N');</v>
      </c>
    </row>
    <row r="368" spans="1:12" x14ac:dyDescent="0.15">
      <c r="A368" s="9">
        <v>365</v>
      </c>
      <c r="B368" s="21" t="s">
        <v>416</v>
      </c>
      <c r="C368" s="23" t="s">
        <v>1484</v>
      </c>
      <c r="D368" s="22" t="s">
        <v>21</v>
      </c>
      <c r="E368" s="22" t="s">
        <v>22</v>
      </c>
      <c r="F368" s="22" t="s">
        <v>8</v>
      </c>
      <c r="G368" s="22"/>
      <c r="H368" s="21" t="s">
        <v>26</v>
      </c>
      <c r="I368" s="22" t="s">
        <v>23</v>
      </c>
      <c r="J368" s="22" t="s">
        <v>43</v>
      </c>
      <c r="K368" s="22" t="s">
        <v>24</v>
      </c>
      <c r="L368" s="2" t="str">
        <f t="shared" si="5"/>
        <v>insert into CHB_DATACHECK_RULE (CHECKRULEID,DATATYPE,CHECKCLASS,CHECKMETHOD,SRCPROPERTY,COMPARETO,OBJVALUE,REMARK,STATUS,NULLABLE) values ('W84807E5-DF78-D920-E050-007F010077FD','CHB_ASSET_INFO','com.joyintech.tams.common.svreport.datacheck.service.BaseCheckLib','isNotEmpty','REMARK','','0','备注要素不可为空','E','N');</v>
      </c>
    </row>
    <row r="369" spans="1:12" x14ac:dyDescent="0.15">
      <c r="A369" s="17">
        <v>366</v>
      </c>
      <c r="B369" s="21" t="s">
        <v>417</v>
      </c>
      <c r="C369" s="23" t="s">
        <v>1484</v>
      </c>
      <c r="D369" s="22" t="s">
        <v>21</v>
      </c>
      <c r="E369" s="22" t="s">
        <v>22</v>
      </c>
      <c r="F369" s="22" t="s">
        <v>8</v>
      </c>
      <c r="G369" s="22"/>
      <c r="H369" s="21" t="s">
        <v>26</v>
      </c>
      <c r="I369" s="22" t="s">
        <v>23</v>
      </c>
      <c r="J369" s="22" t="s">
        <v>43</v>
      </c>
      <c r="K369" s="22" t="s">
        <v>24</v>
      </c>
      <c r="L369" s="2" t="str">
        <f t="shared" si="5"/>
        <v>insert into CHB_DATACHECK_RULE (CHECKRULEID,DATATYPE,CHECKCLASS,CHECKMETHOD,SRCPROPERTY,COMPARETO,OBJVALUE,REMARK,STATUS,NULLABLE) values ('W84807E5-DF79-D920-E050-007F010077FD','CHB_ASSET_INFO','com.joyintech.tams.common.svreport.datacheck.service.BaseCheckLib','isNotEmpty','REMARK','','0','备注要素不可为空','E','N');</v>
      </c>
    </row>
    <row r="370" spans="1:12" x14ac:dyDescent="0.15">
      <c r="A370" s="9">
        <v>367</v>
      </c>
      <c r="B370" s="21" t="s">
        <v>418</v>
      </c>
      <c r="C370" s="23" t="s">
        <v>1484</v>
      </c>
      <c r="D370" s="22" t="s">
        <v>21</v>
      </c>
      <c r="E370" s="22" t="s">
        <v>22</v>
      </c>
      <c r="F370" s="22" t="s">
        <v>8</v>
      </c>
      <c r="G370" s="22"/>
      <c r="H370" s="21" t="s">
        <v>26</v>
      </c>
      <c r="I370" s="22" t="s">
        <v>23</v>
      </c>
      <c r="J370" s="22" t="s">
        <v>43</v>
      </c>
      <c r="K370" s="22" t="s">
        <v>24</v>
      </c>
      <c r="L370" s="2" t="str">
        <f t="shared" si="5"/>
        <v>insert into CHB_DATACHECK_RULE (CHECKRULEID,DATATYPE,CHECKCLASS,CHECKMETHOD,SRCPROPERTY,COMPARETO,OBJVALUE,REMARK,STATUS,NULLABLE) values ('W84807E5-DF79-D920-E050-117F010077FD','CHB_ASSET_INFO','com.joyintech.tams.common.svreport.datacheck.service.BaseCheckLib','isNotEmpty','REMARK','','0','备注要素不可为空','E','N');</v>
      </c>
    </row>
    <row r="371" spans="1:12" x14ac:dyDescent="0.15">
      <c r="A371" s="17">
        <v>368</v>
      </c>
      <c r="B371" s="21" t="s">
        <v>419</v>
      </c>
      <c r="C371" s="23" t="s">
        <v>1484</v>
      </c>
      <c r="D371" s="22" t="s">
        <v>21</v>
      </c>
      <c r="E371" s="22" t="s">
        <v>22</v>
      </c>
      <c r="F371" s="22" t="s">
        <v>8</v>
      </c>
      <c r="G371" s="22"/>
      <c r="H371" s="21" t="s">
        <v>26</v>
      </c>
      <c r="I371" s="22" t="s">
        <v>23</v>
      </c>
      <c r="J371" s="22" t="s">
        <v>43</v>
      </c>
      <c r="K371" s="22" t="s">
        <v>24</v>
      </c>
      <c r="L371" s="2" t="str">
        <f t="shared" si="5"/>
        <v>insert into CHB_DATACHECK_RULE (CHECKRULEID,DATATYPE,CHECKCLASS,CHECKMETHOD,SRCPROPERTY,COMPARETO,OBJVALUE,REMARK,STATUS,NULLABLE) values ('W84807E5-DF7A-D920-E050-007F010077FD','CHB_ASSET_INFO','com.joyintech.tams.common.svreport.datacheck.service.BaseCheckLib','isNotEmpty','REMARK','','0','备注要素不可为空','E','N');</v>
      </c>
    </row>
    <row r="372" spans="1:12" x14ac:dyDescent="0.15">
      <c r="A372" s="9">
        <v>369</v>
      </c>
      <c r="B372" s="21" t="s">
        <v>420</v>
      </c>
      <c r="C372" s="23" t="s">
        <v>1484</v>
      </c>
      <c r="D372" s="22" t="s">
        <v>21</v>
      </c>
      <c r="E372" s="22" t="s">
        <v>22</v>
      </c>
      <c r="F372" s="22" t="s">
        <v>8</v>
      </c>
      <c r="G372" s="22"/>
      <c r="H372" s="21" t="s">
        <v>26</v>
      </c>
      <c r="I372" s="22" t="s">
        <v>23</v>
      </c>
      <c r="J372" s="22" t="s">
        <v>43</v>
      </c>
      <c r="K372" s="22" t="s">
        <v>24</v>
      </c>
      <c r="L372" s="2" t="str">
        <f t="shared" si="5"/>
        <v>insert into CHB_DATACHECK_RULE (CHECKRULEID,DATATYPE,CHECKCLASS,CHECKMETHOD,SRCPROPERTY,COMPARETO,OBJVALUE,REMARK,STATUS,NULLABLE) values ('W84807E5-DF7A-D920-E050-117F010077FD','CHB_ASSET_INFO','com.joyintech.tams.common.svreport.datacheck.service.BaseCheckLib','isNotEmpty','REMARK','','0','备注要素不可为空','E','N');</v>
      </c>
    </row>
    <row r="373" spans="1:12" x14ac:dyDescent="0.15">
      <c r="A373" s="17">
        <v>370</v>
      </c>
      <c r="B373" s="21" t="s">
        <v>421</v>
      </c>
      <c r="C373" s="23" t="s">
        <v>1484</v>
      </c>
      <c r="D373" s="22" t="s">
        <v>21</v>
      </c>
      <c r="E373" s="22" t="s">
        <v>22</v>
      </c>
      <c r="F373" s="22" t="s">
        <v>8</v>
      </c>
      <c r="G373" s="22"/>
      <c r="H373" s="21" t="s">
        <v>26</v>
      </c>
      <c r="I373" s="22" t="s">
        <v>23</v>
      </c>
      <c r="J373" s="22" t="s">
        <v>43</v>
      </c>
      <c r="K373" s="22" t="s">
        <v>24</v>
      </c>
      <c r="L373" s="2" t="str">
        <f t="shared" si="5"/>
        <v>insert into CHB_DATACHECK_RULE (CHECKRULEID,DATATYPE,CHECKCLASS,CHECKMETHOD,SRCPROPERTY,COMPARETO,OBJVALUE,REMARK,STATUS,NULLABLE) values ('W84807E5-DF7A-D920-E050-117F010078FD','CHB_ASSET_INFO','com.joyintech.tams.common.svreport.datacheck.service.BaseCheckLib','isNotEmpty','REMARK','','0','备注要素不可为空','E','N');</v>
      </c>
    </row>
    <row r="374" spans="1:12" x14ac:dyDescent="0.15">
      <c r="A374" s="9">
        <v>371</v>
      </c>
      <c r="B374" s="21" t="s">
        <v>422</v>
      </c>
      <c r="C374" s="23" t="s">
        <v>1484</v>
      </c>
      <c r="D374" s="22" t="s">
        <v>21</v>
      </c>
      <c r="E374" s="22" t="s">
        <v>22</v>
      </c>
      <c r="F374" s="22" t="s">
        <v>8</v>
      </c>
      <c r="G374" s="22"/>
      <c r="H374" s="21" t="s">
        <v>26</v>
      </c>
      <c r="I374" s="22" t="s">
        <v>23</v>
      </c>
      <c r="J374" s="22" t="s">
        <v>43</v>
      </c>
      <c r="K374" s="22" t="s">
        <v>24</v>
      </c>
      <c r="L374" s="2" t="str">
        <f t="shared" si="5"/>
        <v>insert into CHB_DATACHECK_RULE (CHECKRULEID,DATATYPE,CHECKCLASS,CHECKMETHOD,SRCPROPERTY,COMPARETO,OBJVALUE,REMARK,STATUS,NULLABLE) values ('W84807E5-DF7A-D920-E050-117F010079FD','CHB_ASSET_INFO','com.joyintech.tams.common.svreport.datacheck.service.BaseCheckLib','isNotEmpty','REMARK','','0','备注要素不可为空','E','N');</v>
      </c>
    </row>
    <row r="375" spans="1:12" x14ac:dyDescent="0.15">
      <c r="A375" s="17">
        <v>372</v>
      </c>
      <c r="B375" s="21" t="s">
        <v>423</v>
      </c>
      <c r="C375" s="23" t="s">
        <v>1484</v>
      </c>
      <c r="D375" s="22" t="s">
        <v>21</v>
      </c>
      <c r="E375" s="22" t="s">
        <v>22</v>
      </c>
      <c r="F375" s="22" t="s">
        <v>8</v>
      </c>
      <c r="G375" s="22"/>
      <c r="H375" s="21" t="s">
        <v>26</v>
      </c>
      <c r="I375" s="22" t="s">
        <v>23</v>
      </c>
      <c r="J375" s="22" t="s">
        <v>43</v>
      </c>
      <c r="K375" s="22" t="s">
        <v>24</v>
      </c>
      <c r="L375" s="2" t="str">
        <f t="shared" si="5"/>
        <v>insert into CHB_DATACHECK_RULE (CHECKRULEID,DATATYPE,CHECKCLASS,CHECKMETHOD,SRCPROPERTY,COMPARETO,OBJVALUE,REMARK,STATUS,NULLABLE) values ('W84807E5-DF7A-D920-E050-117F010080FD','CHB_ASSET_INFO','com.joyintech.tams.common.svreport.datacheck.service.BaseCheckLib','isNotEmpty','REMARK','','0','备注要素不可为空','E','N');</v>
      </c>
    </row>
    <row r="376" spans="1:12" x14ac:dyDescent="0.15">
      <c r="A376" s="9">
        <v>373</v>
      </c>
      <c r="B376" s="21" t="s">
        <v>424</v>
      </c>
      <c r="C376" s="23" t="s">
        <v>1484</v>
      </c>
      <c r="D376" s="22" t="s">
        <v>21</v>
      </c>
      <c r="E376" s="22" t="s">
        <v>22</v>
      </c>
      <c r="F376" s="22" t="s">
        <v>8</v>
      </c>
      <c r="G376" s="22"/>
      <c r="H376" s="21" t="s">
        <v>26</v>
      </c>
      <c r="I376" s="22" t="s">
        <v>23</v>
      </c>
      <c r="J376" s="22" t="s">
        <v>43</v>
      </c>
      <c r="K376" s="22" t="s">
        <v>24</v>
      </c>
      <c r="L376" s="2" t="str">
        <f t="shared" si="5"/>
        <v>insert into CHB_DATACHECK_RULE (CHECKRULEID,DATATYPE,CHECKCLASS,CHECKMETHOD,SRCPROPERTY,COMPARETO,OBJVALUE,REMARK,STATUS,NULLABLE) values ('W84807E5-DF7A-D920-E050-117F010081FD','CHB_ASSET_INFO','com.joyintech.tams.common.svreport.datacheck.service.BaseCheckLib','isNotEmpty','REMARK','','0','备注要素不可为空','E','N');</v>
      </c>
    </row>
    <row r="377" spans="1:12" x14ac:dyDescent="0.15">
      <c r="A377" s="17">
        <v>374</v>
      </c>
      <c r="B377" s="21" t="s">
        <v>425</v>
      </c>
      <c r="C377" s="23" t="s">
        <v>1484</v>
      </c>
      <c r="D377" s="22" t="s">
        <v>21</v>
      </c>
      <c r="E377" s="22" t="s">
        <v>22</v>
      </c>
      <c r="F377" s="22" t="s">
        <v>8</v>
      </c>
      <c r="G377" s="22"/>
      <c r="H377" s="21" t="s">
        <v>26</v>
      </c>
      <c r="I377" s="22" t="s">
        <v>23</v>
      </c>
      <c r="J377" s="22" t="s">
        <v>43</v>
      </c>
      <c r="K377" s="22" t="s">
        <v>24</v>
      </c>
      <c r="L377" s="2" t="str">
        <f t="shared" si="5"/>
        <v>insert into CHB_DATACHECK_RULE (CHECKRULEID,DATATYPE,CHECKCLASS,CHECKMETHOD,SRCPROPERTY,COMPARETO,OBJVALUE,REMARK,STATUS,NULLABLE) values ('W84807E5-DF7A-D920-E051-117F010077FD','CHB_ASSET_INFO','com.joyintech.tams.common.svreport.datacheck.service.BaseCheckLib','isNotEmpty','REMARK','','0','备注要素不可为空','E','N');</v>
      </c>
    </row>
    <row r="378" spans="1:12" x14ac:dyDescent="0.15">
      <c r="A378" s="9">
        <v>375</v>
      </c>
      <c r="B378" s="21" t="s">
        <v>426</v>
      </c>
      <c r="C378" s="23" t="s">
        <v>1484</v>
      </c>
      <c r="D378" s="22" t="s">
        <v>21</v>
      </c>
      <c r="E378" s="22" t="s">
        <v>22</v>
      </c>
      <c r="F378" s="22" t="s">
        <v>8</v>
      </c>
      <c r="G378" s="22"/>
      <c r="H378" s="21" t="s">
        <v>26</v>
      </c>
      <c r="I378" s="22" t="s">
        <v>23</v>
      </c>
      <c r="J378" s="22" t="s">
        <v>43</v>
      </c>
      <c r="K378" s="22" t="s">
        <v>24</v>
      </c>
      <c r="L378" s="2" t="str">
        <f t="shared" si="5"/>
        <v>insert into CHB_DATACHECK_RULE (CHECKRULEID,DATATYPE,CHECKCLASS,CHECKMETHOD,SRCPROPERTY,COMPARETO,OBJVALUE,REMARK,STATUS,NULLABLE) values ('W84807E5-DF7A-D920-E051-117F010078FD','CHB_ASSET_INFO','com.joyintech.tams.common.svreport.datacheck.service.BaseCheckLib','isNotEmpty','REMARK','','0','备注要素不可为空','E','N');</v>
      </c>
    </row>
    <row r="379" spans="1:12" x14ac:dyDescent="0.15">
      <c r="A379" s="17">
        <v>376</v>
      </c>
      <c r="B379" s="21" t="s">
        <v>427</v>
      </c>
      <c r="C379" s="23" t="s">
        <v>1484</v>
      </c>
      <c r="D379" s="22" t="s">
        <v>21</v>
      </c>
      <c r="E379" s="22" t="s">
        <v>22</v>
      </c>
      <c r="F379" s="22" t="s">
        <v>807</v>
      </c>
      <c r="G379" s="22"/>
      <c r="H379" s="21"/>
      <c r="I379" s="22" t="s">
        <v>23</v>
      </c>
      <c r="J379" s="22" t="s">
        <v>1172</v>
      </c>
      <c r="K379" s="22" t="s">
        <v>24</v>
      </c>
      <c r="L379" s="2" t="str">
        <f t="shared" si="5"/>
        <v>insert into CHB_DATACHECK_RULE (CHECKRULEID,DATATYPE,CHECKCLASS,CHECKMETHOD,SRCPROPERTY,COMPARETO,OBJVALUE,REMARK,STATUS,NULLABLE) values ('W84807E5-DF7B-D920-E050-007F010077FD','CHB_ASSET_INFO','com.joyintech.tams.common.svreport.datacheck.service.BaseCheckLib','isNotEmpty','ASSET_NAME','','','资管计划名称要素不可为空。','E','N');</v>
      </c>
    </row>
    <row r="380" spans="1:12" x14ac:dyDescent="0.15">
      <c r="A380" s="9">
        <v>377</v>
      </c>
      <c r="B380" s="21" t="s">
        <v>428</v>
      </c>
      <c r="C380" s="23" t="s">
        <v>1484</v>
      </c>
      <c r="D380" s="22" t="s">
        <v>21</v>
      </c>
      <c r="E380" s="22" t="s">
        <v>22</v>
      </c>
      <c r="F380" s="22" t="s">
        <v>874</v>
      </c>
      <c r="G380" s="22"/>
      <c r="H380" s="21"/>
      <c r="I380" s="22" t="s">
        <v>23</v>
      </c>
      <c r="J380" s="22" t="s">
        <v>1173</v>
      </c>
      <c r="K380" s="22" t="s">
        <v>24</v>
      </c>
      <c r="L380" s="2" t="str">
        <f t="shared" si="5"/>
        <v>insert into CHB_DATACHECK_RULE (CHECKRULEID,DATATYPE,CHECKCLASS,CHECKMETHOD,SRCPROPERTY,COMPARETO,OBJVALUE,REMARK,STATUS,NULLABLE) values ('W84807E5-DF7C-D920-E050-007F010077FD','CHB_ASSET_INFO','com.joyintech.tams.common.svreport.datacheck.service.BaseCheckLib','isNotEmpty','PARTY_CODE','','','资管计划发起人机构编码要素不可为空。','E','N');</v>
      </c>
    </row>
    <row r="381" spans="1:12" x14ac:dyDescent="0.15">
      <c r="A381" s="17">
        <v>378</v>
      </c>
      <c r="B381" s="21" t="s">
        <v>429</v>
      </c>
      <c r="C381" s="23" t="s">
        <v>1484</v>
      </c>
      <c r="D381" s="22" t="s">
        <v>21</v>
      </c>
      <c r="E381" s="22" t="s">
        <v>62</v>
      </c>
      <c r="F381" s="22" t="s">
        <v>874</v>
      </c>
      <c r="G381" s="22" t="s">
        <v>25</v>
      </c>
      <c r="H381" s="21" t="s">
        <v>2341</v>
      </c>
      <c r="I381" s="22" t="s">
        <v>27</v>
      </c>
      <c r="J381" s="22" t="s">
        <v>1174</v>
      </c>
      <c r="K381" s="22" t="s">
        <v>24</v>
      </c>
      <c r="L381" s="2" t="str">
        <f t="shared" si="5"/>
        <v>insert into CHB_DATACHECK_RULE (CHECKRULEID,DATATYPE,CHECKCLASS,CHECKMETHOD,SRCPROPERTY,COMPARETO,OBJVALUE,REMARK,STATUS,NULLABLE) values ('W84807E5-DF7C-D920-E050-107F010077FD','CHB_ASSET_INFO','com.joyintech.tams.common.svreport.datacheck.service.BaseCheckLib','lessThanCharLength','PARTY_CODE','==','33','资管计划发起人机构编码过长','E','Y');</v>
      </c>
    </row>
    <row r="382" spans="1:12" x14ac:dyDescent="0.15">
      <c r="A382" s="9">
        <v>379</v>
      </c>
      <c r="B382" s="21" t="s">
        <v>430</v>
      </c>
      <c r="C382" s="23" t="s">
        <v>1484</v>
      </c>
      <c r="D382" s="22" t="s">
        <v>21</v>
      </c>
      <c r="E382" s="22" t="s">
        <v>62</v>
      </c>
      <c r="F382" s="22" t="s">
        <v>876</v>
      </c>
      <c r="G382" s="22"/>
      <c r="H382" s="21" t="s">
        <v>2331</v>
      </c>
      <c r="I382" s="22" t="s">
        <v>27</v>
      </c>
      <c r="J382" s="22" t="s">
        <v>1175</v>
      </c>
      <c r="K382" s="22" t="s">
        <v>24</v>
      </c>
      <c r="L382" s="2" t="str">
        <f t="shared" si="5"/>
        <v>insert into CHB_DATACHECK_RULE (CHECKRULEID,DATATYPE,CHECKCLASS,CHECKMETHOD,SRCPROPERTY,COMPARETO,OBJVALUE,REMARK,STATUS,NULLABLE) values ('W84807E5-DF7D-D920-E050-007F010077FD','CHB_ASSET_INFO','com.joyintech.tams.common.svreport.datacheck.service.BaseCheckLib','lessThanCharLength','CHECK_CODE','','257','资管计划登记编码要素不可超长。','E','Y');</v>
      </c>
    </row>
    <row r="383" spans="1:12" x14ac:dyDescent="0.15">
      <c r="A383" s="17">
        <v>380</v>
      </c>
      <c r="B383" s="21" t="s">
        <v>431</v>
      </c>
      <c r="C383" s="23" t="s">
        <v>1484</v>
      </c>
      <c r="D383" s="22" t="s">
        <v>21</v>
      </c>
      <c r="E383" s="22" t="s">
        <v>62</v>
      </c>
      <c r="F383" s="22" t="s">
        <v>807</v>
      </c>
      <c r="G383" s="22"/>
      <c r="H383" s="21" t="s">
        <v>2330</v>
      </c>
      <c r="I383" s="22" t="s">
        <v>27</v>
      </c>
      <c r="J383" s="22" t="s">
        <v>1176</v>
      </c>
      <c r="K383" s="22" t="s">
        <v>24</v>
      </c>
      <c r="L383" s="2" t="str">
        <f t="shared" si="5"/>
        <v>insert into CHB_DATACHECK_RULE (CHECKRULEID,DATATYPE,CHECKCLASS,CHECKMETHOD,SRCPROPERTY,COMPARETO,OBJVALUE,REMARK,STATUS,NULLABLE) values ('W84807E5-DF7D-D920-E050-007F011277FD','CHB_ASSET_INFO','com.joyintech.tams.common.svreport.datacheck.service.BaseCheckLib','lessThanCharLength','ASSET_NAME','','201','资管计划名称要素不可超长。','E','Y');</v>
      </c>
    </row>
    <row r="384" spans="1:12" x14ac:dyDescent="0.15">
      <c r="A384" s="9">
        <v>381</v>
      </c>
      <c r="B384" s="21" t="s">
        <v>432</v>
      </c>
      <c r="C384" s="23" t="s">
        <v>1484</v>
      </c>
      <c r="D384" s="22" t="s">
        <v>21</v>
      </c>
      <c r="E384" s="22" t="s">
        <v>22</v>
      </c>
      <c r="F384" s="22" t="s">
        <v>46</v>
      </c>
      <c r="G384" s="22"/>
      <c r="H384" s="21"/>
      <c r="I384" s="22" t="s">
        <v>23</v>
      </c>
      <c r="J384" s="22" t="s">
        <v>1177</v>
      </c>
      <c r="K384" s="22" t="s">
        <v>24</v>
      </c>
      <c r="L384" s="2" t="str">
        <f t="shared" si="5"/>
        <v>insert into CHB_DATACHECK_RULE (CHECKRULEID,DATATYPE,CHECKCLASS,CHECKMETHOD,SRCPROPERTY,COMPARETO,OBJVALUE,REMARK,STATUS,NULLABLE) values ('W84807E5-DF7E-D920-E050-007F010077FD','CHB_ASSET_INFO','com.joyintech.tams.common.svreport.datacheck.service.BaseCheckLib','isNotEmpty','MANAGER_ID','','','管理人要素不可为空','E','N');</v>
      </c>
    </row>
    <row r="385" spans="1:12" x14ac:dyDescent="0.15">
      <c r="A385" s="17">
        <v>382</v>
      </c>
      <c r="B385" s="21" t="s">
        <v>433</v>
      </c>
      <c r="C385" s="23" t="s">
        <v>1484</v>
      </c>
      <c r="D385" s="22" t="s">
        <v>21</v>
      </c>
      <c r="E385" s="22" t="s">
        <v>22</v>
      </c>
      <c r="F385" s="22" t="s">
        <v>46</v>
      </c>
      <c r="G385" s="22"/>
      <c r="H385" s="21"/>
      <c r="I385" s="22" t="s">
        <v>23</v>
      </c>
      <c r="J385" s="22" t="s">
        <v>1178</v>
      </c>
      <c r="K385" s="22" t="s">
        <v>24</v>
      </c>
      <c r="L385" s="2" t="str">
        <f t="shared" si="5"/>
        <v>insert into CHB_DATACHECK_RULE (CHECKRULEID,DATATYPE,CHECKCLASS,CHECKMETHOD,SRCPROPERTY,COMPARETO,OBJVALUE,REMARK,STATUS,NULLABLE) values ('W84807E5-DF7E-D920-E050-007F010A77FD','CHB_ASSET_INFO','com.joyintech.tams.common.svreport.datacheck.service.BaseCheckLib','isNotEmpty','MANAGER_ID','','','实际管理人要素不可为空','E','N');</v>
      </c>
    </row>
    <row r="386" spans="1:12" x14ac:dyDescent="0.15">
      <c r="A386" s="9">
        <v>383</v>
      </c>
      <c r="B386" s="21" t="s">
        <v>434</v>
      </c>
      <c r="C386" s="23" t="s">
        <v>1484</v>
      </c>
      <c r="D386" s="22" t="s">
        <v>21</v>
      </c>
      <c r="E386" s="22" t="s">
        <v>62</v>
      </c>
      <c r="F386" s="22" t="s">
        <v>46</v>
      </c>
      <c r="G386" s="22"/>
      <c r="H386" s="21" t="s">
        <v>2330</v>
      </c>
      <c r="I386" s="22" t="s">
        <v>27</v>
      </c>
      <c r="J386" s="22" t="s">
        <v>1179</v>
      </c>
      <c r="K386" s="22" t="s">
        <v>24</v>
      </c>
      <c r="L386" s="2" t="str">
        <f t="shared" si="5"/>
        <v>insert into CHB_DATACHECK_RULE (CHECKRULEID,DATATYPE,CHECKCLASS,CHECKMETHOD,SRCPROPERTY,COMPARETO,OBJVALUE,REMARK,STATUS,NULLABLE) values ('W84807E5-DF7E-D920-E050-107F010A77FD','CHB_ASSET_INFO','com.joyintech.tams.common.svreport.datacheck.service.BaseCheckLib','lessThanCharLength','MANAGER_ID','','201','管理人过长','E','Y');</v>
      </c>
    </row>
    <row r="387" spans="1:12" x14ac:dyDescent="0.15">
      <c r="A387" s="17">
        <v>384</v>
      </c>
      <c r="B387" s="21" t="s">
        <v>435</v>
      </c>
      <c r="C387" s="23" t="s">
        <v>1484</v>
      </c>
      <c r="D387" s="22" t="s">
        <v>21</v>
      </c>
      <c r="E387" s="22" t="s">
        <v>22</v>
      </c>
      <c r="F387" s="22" t="s">
        <v>763</v>
      </c>
      <c r="G387" s="22"/>
      <c r="H387" s="21"/>
      <c r="I387" s="22" t="s">
        <v>23</v>
      </c>
      <c r="J387" s="22" t="s">
        <v>1180</v>
      </c>
      <c r="K387" s="22" t="s">
        <v>24</v>
      </c>
      <c r="L387" s="2" t="str">
        <f t="shared" si="5"/>
        <v>insert into CHB_DATACHECK_RULE (CHECKRULEID,DATATYPE,CHECKCLASS,CHECKMETHOD,SRCPROPERTY,COMPARETO,OBJVALUE,REMARK,STATUS,NULLABLE) values ('W84807E5-DF7F-D920-E036-007F010077FD','CHB_ASSET_INFO','com.joyintech.tams.common.svreport.datacheck.service.BaseCheckLib','isNotEmpty','AMT','','','金额要素不可为空','E','N');</v>
      </c>
    </row>
    <row r="388" spans="1:12" x14ac:dyDescent="0.15">
      <c r="A388" s="9">
        <v>385</v>
      </c>
      <c r="B388" s="21" t="s">
        <v>436</v>
      </c>
      <c r="C388" s="23" t="s">
        <v>1484</v>
      </c>
      <c r="D388" s="22" t="s">
        <v>21</v>
      </c>
      <c r="E388" s="22" t="s">
        <v>22</v>
      </c>
      <c r="F388" s="22" t="s">
        <v>879</v>
      </c>
      <c r="G388" s="22"/>
      <c r="H388" s="21"/>
      <c r="I388" s="22" t="s">
        <v>23</v>
      </c>
      <c r="J388" s="22" t="s">
        <v>1181</v>
      </c>
      <c r="K388" s="22" t="s">
        <v>24</v>
      </c>
      <c r="L388" s="2" t="str">
        <f t="shared" si="5"/>
        <v>insert into CHB_DATACHECK_RULE (CHECKRULEID,DATATYPE,CHECKCLASS,CHECKMETHOD,SRCPROPERTY,COMPARETO,OBJVALUE,REMARK,STATUS,NULLABLE) values ('W84807E5-DF7F-D920-E050-007F010077FD','CHB_ASSET_INFO','com.joyintech.tams.common.svreport.datacheck.service.BaseCheckLib','isNotEmpty','TRUSTEE_ID','','','托管人要素不可为空','E','N');</v>
      </c>
    </row>
    <row r="389" spans="1:12" x14ac:dyDescent="0.15">
      <c r="A389" s="17">
        <v>386</v>
      </c>
      <c r="B389" s="21" t="s">
        <v>437</v>
      </c>
      <c r="C389" s="23" t="s">
        <v>1484</v>
      </c>
      <c r="D389" s="22" t="s">
        <v>21</v>
      </c>
      <c r="E389" s="22" t="s">
        <v>22</v>
      </c>
      <c r="F389" s="22" t="s">
        <v>879</v>
      </c>
      <c r="G389" s="22"/>
      <c r="H389" s="21"/>
      <c r="I389" s="22" t="s">
        <v>23</v>
      </c>
      <c r="J389" s="22" t="s">
        <v>1181</v>
      </c>
      <c r="K389" s="22" t="s">
        <v>24</v>
      </c>
      <c r="L389" s="2" t="str">
        <f t="shared" ref="L389:L452" si="6">CONCATENATE("insert into CHB_DATACHECK_RULE (CHECKRULEID,DATATYPE,CHECKCLASS,CHECKMETHOD,SRCPROPERTY,COMPARETO,OBJVALUE,REMARK,STATUS,NULLABLE) values ('",B389,"','",C389,"','",D389,"','",E389,"','",F389,"','",G389,"','",H389,"','",J389,"','",K389,"','",I389,"');")</f>
        <v>insert into CHB_DATACHECK_RULE (CHECKRULEID,DATATYPE,CHECKCLASS,CHECKMETHOD,SRCPROPERTY,COMPARETO,OBJVALUE,REMARK,STATUS,NULLABLE) values ('W84807E5-DF7F-D920-E050-007FC10077FD','CHB_ASSET_INFO','com.joyintech.tams.common.svreport.datacheck.service.BaseCheckLib','isNotEmpty','TRUSTEE_ID','','','托管人要素不可为空','E','N');</v>
      </c>
    </row>
    <row r="390" spans="1:12" x14ac:dyDescent="0.15">
      <c r="A390" s="9">
        <v>387</v>
      </c>
      <c r="B390" s="21" t="s">
        <v>438</v>
      </c>
      <c r="C390" s="23" t="s">
        <v>1484</v>
      </c>
      <c r="D390" s="22" t="s">
        <v>21</v>
      </c>
      <c r="E390" s="22" t="s">
        <v>62</v>
      </c>
      <c r="F390" s="22" t="s">
        <v>879</v>
      </c>
      <c r="G390" s="22"/>
      <c r="H390" s="21" t="s">
        <v>2330</v>
      </c>
      <c r="I390" s="22" t="s">
        <v>27</v>
      </c>
      <c r="J390" s="22" t="s">
        <v>1182</v>
      </c>
      <c r="K390" s="22" t="s">
        <v>24</v>
      </c>
      <c r="L390" s="2" t="str">
        <f t="shared" si="6"/>
        <v>insert into CHB_DATACHECK_RULE (CHECKRULEID,DATATYPE,CHECKCLASS,CHECKMETHOD,SRCPROPERTY,COMPARETO,OBJVALUE,REMARK,STATUS,NULLABLE) values ('W84807E5-DF7F-D920-E050-107FC10077FD','CHB_ASSET_INFO','com.joyintech.tams.common.svreport.datacheck.service.BaseCheckLib','lessThanCharLength','TRUSTEE_ID','','201','托管人过长','E','Y');</v>
      </c>
    </row>
    <row r="391" spans="1:12" x14ac:dyDescent="0.15">
      <c r="A391" s="17">
        <v>388</v>
      </c>
      <c r="B391" s="21" t="s">
        <v>439</v>
      </c>
      <c r="C391" s="23" t="s">
        <v>1484</v>
      </c>
      <c r="D391" s="22" t="s">
        <v>21</v>
      </c>
      <c r="E391" s="22" t="s">
        <v>22</v>
      </c>
      <c r="F391" s="22" t="s">
        <v>763</v>
      </c>
      <c r="G391" s="22"/>
      <c r="H391" s="21"/>
      <c r="I391" s="22" t="s">
        <v>23</v>
      </c>
      <c r="J391" s="22" t="s">
        <v>2353</v>
      </c>
      <c r="K391" s="22" t="s">
        <v>24</v>
      </c>
      <c r="L391" s="2" t="str">
        <f t="shared" si="6"/>
        <v>insert into CHB_DATACHECK_RULE (CHECKRULEID,DATATYPE,CHECKCLASS,CHECKMETHOD,SRCPROPERTY,COMPARETO,OBJVALUE,REMARK,STATUS,NULLABLE) values ('W84807E5-DF7H-D920-E036-007F010077FD','CHB_ASSET_INFO','com.joyintech.tams.common.svreport.datacheck.service.BaseCheckLib','isNotEmpty','AMT','','','委托投资金额要素不可为空','E','N');</v>
      </c>
    </row>
    <row r="392" spans="1:12" x14ac:dyDescent="0.15">
      <c r="A392" s="9">
        <v>389</v>
      </c>
      <c r="B392" s="21" t="s">
        <v>440</v>
      </c>
      <c r="C392" s="23" t="s">
        <v>1484</v>
      </c>
      <c r="D392" s="22" t="s">
        <v>21</v>
      </c>
      <c r="E392" s="22" t="s">
        <v>32</v>
      </c>
      <c r="F392" s="22" t="s">
        <v>763</v>
      </c>
      <c r="G392" s="22"/>
      <c r="H392" s="21" t="s">
        <v>36</v>
      </c>
      <c r="I392" s="22" t="s">
        <v>27</v>
      </c>
      <c r="J392" s="22" t="s">
        <v>1030</v>
      </c>
      <c r="K392" s="22" t="s">
        <v>24</v>
      </c>
      <c r="L392" s="2" t="str">
        <f t="shared" si="6"/>
        <v>insert into CHB_DATACHECK_RULE (CHECKRULEID,DATATYPE,CHECKCLASS,CHECKMETHOD,SRCPROPERTY,COMPARETO,OBJVALUE,REMARK,STATUS,NULLABLE) values ('W84807E5-DF80-D920-E050-007F010077FD','CHB_ASSET_INFO','com.joyintech.tams.common.svreport.datacheck.service.BaseCheckLib','isNumber2','AMT','','15,2','金额必须为n(15,2)格式。','E','Y');</v>
      </c>
    </row>
    <row r="393" spans="1:12" x14ac:dyDescent="0.15">
      <c r="A393" s="17">
        <v>390</v>
      </c>
      <c r="B393" s="21" t="s">
        <v>441</v>
      </c>
      <c r="C393" s="23" t="s">
        <v>1484</v>
      </c>
      <c r="D393" s="22" t="s">
        <v>21</v>
      </c>
      <c r="E393" s="22" t="s">
        <v>34</v>
      </c>
      <c r="F393" s="22" t="s">
        <v>763</v>
      </c>
      <c r="G393" s="22" t="s">
        <v>35</v>
      </c>
      <c r="H393" s="21" t="s">
        <v>26</v>
      </c>
      <c r="I393" s="22" t="s">
        <v>27</v>
      </c>
      <c r="J393" s="22" t="s">
        <v>1031</v>
      </c>
      <c r="K393" s="22" t="s">
        <v>24</v>
      </c>
      <c r="L393" s="2" t="str">
        <f t="shared" si="6"/>
        <v>insert into CHB_DATACHECK_RULE (CHECKRULEID,DATATYPE,CHECKCLASS,CHECKMETHOD,SRCPROPERTY,COMPARETO,OBJVALUE,REMARK,STATUS,NULLABLE) values ('W84807E5-DF80-D920-E050-107F010077FD','CHB_ASSET_INFO','com.joyintech.tams.common.svreport.datacheck.service.BaseCheckLib','compareValueAsNumber','AMT','&gt;=','0','金额必须大于等于0','E','Y');</v>
      </c>
    </row>
    <row r="394" spans="1:12" x14ac:dyDescent="0.15">
      <c r="A394" s="9">
        <v>391</v>
      </c>
      <c r="B394" s="21" t="s">
        <v>442</v>
      </c>
      <c r="C394" s="23" t="s">
        <v>1484</v>
      </c>
      <c r="D394" s="22" t="s">
        <v>21</v>
      </c>
      <c r="E394" s="22" t="s">
        <v>22</v>
      </c>
      <c r="F394" s="22" t="s">
        <v>763</v>
      </c>
      <c r="G394" s="22"/>
      <c r="H394" s="21"/>
      <c r="I394" s="22" t="s">
        <v>23</v>
      </c>
      <c r="J394" s="22" t="s">
        <v>1113</v>
      </c>
      <c r="K394" s="22" t="s">
        <v>24</v>
      </c>
      <c r="L394" s="2" t="str">
        <f t="shared" si="6"/>
        <v>insert into CHB_DATACHECK_RULE (CHECKRULEID,DATATYPE,CHECKCLASS,CHECKMETHOD,SRCPROPERTY,COMPARETO,OBJVALUE,REMARK,STATUS,NULLABLE) values ('W84807E5-DF80-D920-E050-207F010077FD','CHB_ASSET_INFO','com.joyintech.tams.common.svreport.datacheck.service.BaseCheckLib','isNotEmpty','AMT','','','金额要素不可为空。','E','N');</v>
      </c>
    </row>
    <row r="395" spans="1:12" x14ac:dyDescent="0.15">
      <c r="A395" s="17">
        <v>392</v>
      </c>
      <c r="B395" s="21" t="s">
        <v>443</v>
      </c>
      <c r="C395" s="23" t="s">
        <v>1484</v>
      </c>
      <c r="D395" s="22" t="s">
        <v>21</v>
      </c>
      <c r="E395" s="22" t="s">
        <v>34</v>
      </c>
      <c r="F395" s="22" t="s">
        <v>763</v>
      </c>
      <c r="G395" s="22" t="s">
        <v>35</v>
      </c>
      <c r="H395" s="21" t="s">
        <v>26</v>
      </c>
      <c r="I395" s="22" t="s">
        <v>27</v>
      </c>
      <c r="J395" s="22" t="s">
        <v>1183</v>
      </c>
      <c r="K395" s="22" t="s">
        <v>24</v>
      </c>
      <c r="L395" s="2" t="str">
        <f t="shared" si="6"/>
        <v>insert into CHB_DATACHECK_RULE (CHECKRULEID,DATATYPE,CHECKCLASS,CHECKMETHOD,SRCPROPERTY,COMPARETO,OBJVALUE,REMARK,STATUS,NULLABLE) values ('W84807E5-DF81-D920-E050-007F010077FD','CHB_ASSET_INFO','com.joyintech.tams.common.svreport.datacheck.service.BaseCheckLib','compareValueAsNumber','AMT','&gt;=','0','合计金额必须大于等于0','E','Y');</v>
      </c>
    </row>
    <row r="396" spans="1:12" x14ac:dyDescent="0.15">
      <c r="A396" s="9">
        <v>393</v>
      </c>
      <c r="B396" s="21" t="s">
        <v>2413</v>
      </c>
      <c r="C396" s="23" t="s">
        <v>1484</v>
      </c>
      <c r="D396" s="22" t="s">
        <v>21</v>
      </c>
      <c r="E396" s="22" t="s">
        <v>30</v>
      </c>
      <c r="F396" s="22" t="s">
        <v>1184</v>
      </c>
      <c r="G396" s="22" t="s">
        <v>35</v>
      </c>
      <c r="H396" s="21" t="s">
        <v>1185</v>
      </c>
      <c r="I396" s="22" t="s">
        <v>27</v>
      </c>
      <c r="J396" s="22" t="s">
        <v>1186</v>
      </c>
      <c r="K396" s="22" t="s">
        <v>24</v>
      </c>
      <c r="L396" s="2" t="str">
        <f t="shared" si="6"/>
        <v>insert into CHB_DATACHECK_RULE (CHECKRULEID,DATATYPE,CHECKCLASS,CHECKMETHOD,SRCPROPERTY,COMPARETO,OBJVALUE,REMARK,STATUS,NULLABLE) values ('W84807E5-DF82-D920-E050-007F010077FD','CHB_ASSET_INFO','com.joyintech.tams.common.svreport.datacheck.service.BaseCheckLib','inDatadict','TRU_ACT_TYPE','&gt;=','SVR_TRU_ACT_TYPE','资金实际投向不在值域范围内','E','Y');</v>
      </c>
    </row>
    <row r="397" spans="1:12" x14ac:dyDescent="0.15">
      <c r="A397" s="17">
        <v>394</v>
      </c>
      <c r="B397" s="21" t="s">
        <v>2412</v>
      </c>
      <c r="C397" s="23" t="s">
        <v>1484</v>
      </c>
      <c r="D397" s="22" t="s">
        <v>21</v>
      </c>
      <c r="E397" s="22" t="s">
        <v>30</v>
      </c>
      <c r="F397" s="22" t="s">
        <v>1184</v>
      </c>
      <c r="G397" s="22" t="s">
        <v>35</v>
      </c>
      <c r="H397" s="21" t="s">
        <v>1185</v>
      </c>
      <c r="I397" s="22" t="s">
        <v>27</v>
      </c>
      <c r="J397" s="22" t="s">
        <v>1186</v>
      </c>
      <c r="K397" s="22" t="s">
        <v>24</v>
      </c>
      <c r="L397" s="2" t="str">
        <f t="shared" si="6"/>
        <v>insert into CHB_DATACHECK_RULE (CHECKRULEID,DATATYPE,CHECKCLASS,CHECKMETHOD,SRCPROPERTY,COMPARETO,OBJVALUE,REMARK,STATUS,NULLABLE) values ('W84807E5-DF82-D920-E050-007FD10077FD','CHB_ASSET_INFO','com.joyintech.tams.common.svreport.datacheck.service.BaseCheckLib','inDatadict','TRU_ACT_TYPE','&gt;=','SVR_TRU_ACT_TYPE','资金实际投向不在值域范围内','E','Y');</v>
      </c>
    </row>
    <row r="398" spans="1:12" x14ac:dyDescent="0.15">
      <c r="A398" s="9">
        <v>395</v>
      </c>
      <c r="B398" s="21" t="s">
        <v>446</v>
      </c>
      <c r="C398" s="23" t="s">
        <v>1484</v>
      </c>
      <c r="D398" s="22" t="s">
        <v>21</v>
      </c>
      <c r="E398" s="22" t="s">
        <v>22</v>
      </c>
      <c r="F398" s="22" t="s">
        <v>1184</v>
      </c>
      <c r="G398" s="22"/>
      <c r="H398" s="21"/>
      <c r="I398" s="22" t="s">
        <v>23</v>
      </c>
      <c r="J398" s="22" t="s">
        <v>1187</v>
      </c>
      <c r="K398" s="22" t="s">
        <v>24</v>
      </c>
      <c r="L398" s="2" t="str">
        <f t="shared" si="6"/>
        <v>insert into CHB_DATACHECK_RULE (CHECKRULEID,DATATYPE,CHECKCLASS,CHECKMETHOD,SRCPROPERTY,COMPARETO,OBJVALUE,REMARK,STATUS,NULLABLE) values ('W84807E5-DF82-D920-E050-107F010077FD','CHB_ASSET_INFO','com.joyintech.tams.common.svreport.datacheck.service.BaseCheckLib','isNotEmpty','TRU_ACT_TYPE','','','资金实际投向要素不可为空','E','N');</v>
      </c>
    </row>
    <row r="399" spans="1:12" x14ac:dyDescent="0.15">
      <c r="A399" s="17">
        <v>396</v>
      </c>
      <c r="B399" s="21" t="s">
        <v>447</v>
      </c>
      <c r="C399" s="23" t="s">
        <v>1484</v>
      </c>
      <c r="D399" s="22" t="s">
        <v>21</v>
      </c>
      <c r="E399" s="22" t="s">
        <v>22</v>
      </c>
      <c r="F399" s="22" t="s">
        <v>1184</v>
      </c>
      <c r="G399" s="22"/>
      <c r="H399" s="21"/>
      <c r="I399" s="22" t="s">
        <v>23</v>
      </c>
      <c r="J399" s="22" t="s">
        <v>1187</v>
      </c>
      <c r="K399" s="22" t="s">
        <v>24</v>
      </c>
      <c r="L399" s="2" t="str">
        <f t="shared" si="6"/>
        <v>insert into CHB_DATACHECK_RULE (CHECKRULEID,DATATYPE,CHECKCLASS,CHECKMETHOD,SRCPROPERTY,COMPARETO,OBJVALUE,REMARK,STATUS,NULLABLE) values ('W84807E5-DF82-D920-E050-107FD10077FD','CHB_ASSET_INFO','com.joyintech.tams.common.svreport.datacheck.service.BaseCheckLib','isNotEmpty','TRU_ACT_TYPE','','','资金实际投向要素不可为空','E','N');</v>
      </c>
    </row>
    <row r="400" spans="1:12" x14ac:dyDescent="0.15">
      <c r="A400" s="9">
        <v>397</v>
      </c>
      <c r="B400" s="21" t="s">
        <v>448</v>
      </c>
      <c r="C400" s="23" t="s">
        <v>1484</v>
      </c>
      <c r="D400" s="22" t="s">
        <v>21</v>
      </c>
      <c r="E400" s="22" t="s">
        <v>1083</v>
      </c>
      <c r="F400" s="22" t="s">
        <v>1184</v>
      </c>
      <c r="G400" s="22" t="s">
        <v>25</v>
      </c>
      <c r="H400" s="21" t="s">
        <v>1188</v>
      </c>
      <c r="I400" s="22" t="s">
        <v>27</v>
      </c>
      <c r="J400" s="22" t="s">
        <v>1189</v>
      </c>
      <c r="K400" s="22" t="s">
        <v>24</v>
      </c>
      <c r="L400" s="2" t="str">
        <f t="shared" si="6"/>
        <v>insert into CHB_DATACHECK_RULE (CHECKRULEID,DATATYPE,CHECKCLASS,CHECKMETHOD,SRCPROPERTY,COMPARETO,OBJVALUE,REMARK,STATUS,NULLABLE) values ('W84807E5-DF82-D920-E050-207FD10077FD','CHB_ASSET_INFO','com.joyintech.tams.common.svreport.datacheck.service.BaseCheckLib','inArray','TRU_ACT_TYPE','==','20,21,22,23','资金实际投向01至19选项为历史数据，不得修改或新增','E','Y');</v>
      </c>
    </row>
    <row r="401" spans="1:12" x14ac:dyDescent="0.15">
      <c r="A401" s="17">
        <v>398</v>
      </c>
      <c r="B401" s="21" t="s">
        <v>449</v>
      </c>
      <c r="C401" s="23" t="s">
        <v>1484</v>
      </c>
      <c r="D401" s="22" t="s">
        <v>21</v>
      </c>
      <c r="E401" s="22" t="s">
        <v>1083</v>
      </c>
      <c r="F401" s="22" t="s">
        <v>1184</v>
      </c>
      <c r="G401" s="22" t="s">
        <v>25</v>
      </c>
      <c r="H401" s="21" t="s">
        <v>1188</v>
      </c>
      <c r="I401" s="22" t="s">
        <v>27</v>
      </c>
      <c r="J401" s="22" t="s">
        <v>1189</v>
      </c>
      <c r="K401" s="22" t="s">
        <v>24</v>
      </c>
      <c r="L401" s="2" t="str">
        <f t="shared" si="6"/>
        <v>insert into CHB_DATACHECK_RULE (CHECKRULEID,DATATYPE,CHECKCLASS,CHECKMETHOD,SRCPROPERTY,COMPARETO,OBJVALUE,REMARK,STATUS,NULLABLE) values ('W84807E5-DF82-D920-E050-307FD10077FD','CHB_ASSET_INFO','com.joyintech.tams.common.svreport.datacheck.service.BaseCheckLib','inArray','TRU_ACT_TYPE','==','20,21,22,23','资金实际投向01至19选项为历史数据，不得修改或新增','E','Y');</v>
      </c>
    </row>
    <row r="402" spans="1:12" x14ac:dyDescent="0.15">
      <c r="A402" s="9">
        <v>399</v>
      </c>
      <c r="B402" s="21" t="s">
        <v>450</v>
      </c>
      <c r="C402" s="23" t="s">
        <v>1484</v>
      </c>
      <c r="D402" s="22" t="s">
        <v>21</v>
      </c>
      <c r="E402" s="22" t="s">
        <v>22</v>
      </c>
      <c r="F402" s="22" t="s">
        <v>31</v>
      </c>
      <c r="G402" s="22"/>
      <c r="H402" s="21"/>
      <c r="I402" s="22" t="s">
        <v>23</v>
      </c>
      <c r="J402" s="22" t="s">
        <v>1190</v>
      </c>
      <c r="K402" s="22" t="s">
        <v>24</v>
      </c>
      <c r="L402" s="2" t="str">
        <f t="shared" si="6"/>
        <v>insert into CHB_DATACHECK_RULE (CHECKRULEID,DATATYPE,CHECKCLASS,CHECKMETHOD,SRCPROPERTY,COMPARETO,OBJVALUE,REMARK,STATUS,NULLABLE) values ('W84807E5-DF83-D920-E050-007F010077FD','CHB_ASSET_INFO','com.joyintech.tams.common.svreport.datacheck.service.BaseCheckLib','isNotEmpty','INVEST_TYPE','','','资金运用方式要素不可为空','E','N');</v>
      </c>
    </row>
    <row r="403" spans="1:12" x14ac:dyDescent="0.15">
      <c r="A403" s="17">
        <v>400</v>
      </c>
      <c r="B403" s="21" t="s">
        <v>451</v>
      </c>
      <c r="C403" s="23" t="s">
        <v>1484</v>
      </c>
      <c r="D403" s="22" t="s">
        <v>21</v>
      </c>
      <c r="E403" s="22" t="s">
        <v>22</v>
      </c>
      <c r="F403" s="22" t="s">
        <v>31</v>
      </c>
      <c r="G403" s="22"/>
      <c r="H403" s="21"/>
      <c r="I403" s="22" t="s">
        <v>23</v>
      </c>
      <c r="J403" s="22" t="s">
        <v>1190</v>
      </c>
      <c r="K403" s="22" t="s">
        <v>24</v>
      </c>
      <c r="L403" s="2" t="str">
        <f t="shared" si="6"/>
        <v>insert into CHB_DATACHECK_RULE (CHECKRULEID,DATATYPE,CHECKCLASS,CHECKMETHOD,SRCPROPERTY,COMPARETO,OBJVALUE,REMARK,STATUS,NULLABLE) values ('W84807E5-DF83-D920-E050-A07F010077FD','CHB_ASSET_INFO','com.joyintech.tams.common.svreport.datacheck.service.BaseCheckLib','isNotEmpty','INVEST_TYPE','','','资金运用方式要素不可为空','E','N');</v>
      </c>
    </row>
    <row r="404" spans="1:12" x14ac:dyDescent="0.15">
      <c r="A404" s="9">
        <v>401</v>
      </c>
      <c r="B404" s="21" t="s">
        <v>2414</v>
      </c>
      <c r="C404" s="23" t="s">
        <v>1484</v>
      </c>
      <c r="D404" s="22" t="s">
        <v>21</v>
      </c>
      <c r="E404" s="22" t="s">
        <v>62</v>
      </c>
      <c r="F404" s="22" t="s">
        <v>31</v>
      </c>
      <c r="G404" s="22" t="s">
        <v>936</v>
      </c>
      <c r="H404" s="21" t="s">
        <v>2336</v>
      </c>
      <c r="I404" s="22" t="s">
        <v>27</v>
      </c>
      <c r="J404" s="22" t="s">
        <v>1191</v>
      </c>
      <c r="K404" s="22" t="s">
        <v>24</v>
      </c>
      <c r="L404" s="2" t="str">
        <f t="shared" si="6"/>
        <v>insert into CHB_DATACHECK_RULE (CHECKRULEID,DATATYPE,CHECKCLASS,CHECKMETHOD,SRCPROPERTY,COMPARETO,OBJVALUE,REMARK,STATUS,NULLABLE) values ('W84807E5-DF83-D920-E050-A17F010077FD','CHB_ASSET_INFO','com.joyintech.tams.common.svreport.datacheck.service.BaseCheckLib','lessThanCharLength','INVEST_TYPE','&lt;=','301','资金运用方式过长','E','Y');</v>
      </c>
    </row>
    <row r="405" spans="1:12" x14ac:dyDescent="0.15">
      <c r="A405" s="17">
        <v>402</v>
      </c>
      <c r="B405" s="21" t="s">
        <v>452</v>
      </c>
      <c r="C405" s="23" t="s">
        <v>1484</v>
      </c>
      <c r="D405" s="22" t="s">
        <v>21</v>
      </c>
      <c r="E405" s="22" t="s">
        <v>22</v>
      </c>
      <c r="F405" s="22" t="s">
        <v>1192</v>
      </c>
      <c r="G405" s="22"/>
      <c r="H405" s="21"/>
      <c r="I405" s="22" t="s">
        <v>23</v>
      </c>
      <c r="J405" s="22" t="s">
        <v>1193</v>
      </c>
      <c r="K405" s="22" t="s">
        <v>24</v>
      </c>
      <c r="L405" s="2" t="str">
        <f t="shared" si="6"/>
        <v>insert into CHB_DATACHECK_RULE (CHECKRULEID,DATATYPE,CHECKCLASS,CHECKMETHOD,SRCPROPERTY,COMPARETO,OBJVALUE,REMARK,STATUS,NULLABLE) values ('W84807E5-DF84-D920-E050-007F010077FD','CHB_ASSET_INFO','com.joyintech.tams.common.svreport.datacheck.service.BaseCheckLib','isNotEmpty','CAP_USE_INDU_LEVEL2','','','资金运用行业要素不可为空','E','N');</v>
      </c>
    </row>
    <row r="406" spans="1:12" x14ac:dyDescent="0.15">
      <c r="A406" s="9">
        <v>403</v>
      </c>
      <c r="B406" s="21" t="s">
        <v>453</v>
      </c>
      <c r="C406" s="23" t="s">
        <v>1484</v>
      </c>
      <c r="D406" s="22" t="s">
        <v>21</v>
      </c>
      <c r="E406" s="22" t="s">
        <v>22</v>
      </c>
      <c r="F406" s="22" t="s">
        <v>1192</v>
      </c>
      <c r="G406" s="22"/>
      <c r="H406" s="21"/>
      <c r="I406" s="22" t="s">
        <v>23</v>
      </c>
      <c r="J406" s="22" t="s">
        <v>1193</v>
      </c>
      <c r="K406" s="22" t="s">
        <v>24</v>
      </c>
      <c r="L406" s="2" t="str">
        <f t="shared" si="6"/>
        <v>insert into CHB_DATACHECK_RULE (CHECKRULEID,DATATYPE,CHECKCLASS,CHECKMETHOD,SRCPROPERTY,COMPARETO,OBJVALUE,REMARK,STATUS,NULLABLE) values ('W84807E5-DF84-D920-E050-007FD10077FD','CHB_ASSET_INFO','com.joyintech.tams.common.svreport.datacheck.service.BaseCheckLib','isNotEmpty','CAP_USE_INDU_LEVEL2','','','资金运用行业要素不可为空','E','N');</v>
      </c>
    </row>
    <row r="407" spans="1:12" x14ac:dyDescent="0.15">
      <c r="A407" s="17">
        <v>404</v>
      </c>
      <c r="B407" s="21" t="s">
        <v>454</v>
      </c>
      <c r="C407" s="23" t="s">
        <v>1484</v>
      </c>
      <c r="D407" s="22" t="s">
        <v>21</v>
      </c>
      <c r="E407" s="22" t="s">
        <v>30</v>
      </c>
      <c r="F407" s="22" t="s">
        <v>2457</v>
      </c>
      <c r="G407" s="22" t="s">
        <v>35</v>
      </c>
      <c r="H407" s="21" t="s">
        <v>820</v>
      </c>
      <c r="I407" s="22" t="s">
        <v>27</v>
      </c>
      <c r="J407" s="22" t="s">
        <v>1194</v>
      </c>
      <c r="K407" s="22" t="s">
        <v>24</v>
      </c>
      <c r="L407" s="2" t="str">
        <f t="shared" si="6"/>
        <v>insert into CHB_DATACHECK_RULE (CHECKRULEID,DATATYPE,CHECKCLASS,CHECKMETHOD,SRCPROPERTY,COMPARETO,OBJVALUE,REMARK,STATUS,NULLABLE) values ('W84807E5-DF84-D920-E050-107FD10077FD','CHB_ASSET_INFO','com.joyintech.tams.common.svreport.datacheck.service.BaseCheckLib','inDatadict','CAP_USE_INDU_LEVEL2','&gt;=','INSTITUTION_INDUSTRY_SECOND_LEVEL','资金运用行业不在值域范围内','E','Y');</v>
      </c>
    </row>
    <row r="408" spans="1:12" x14ac:dyDescent="0.15">
      <c r="A408" s="9">
        <v>405</v>
      </c>
      <c r="B408" s="21" t="s">
        <v>455</v>
      </c>
      <c r="C408" s="23" t="s">
        <v>1484</v>
      </c>
      <c r="D408" s="22" t="s">
        <v>21</v>
      </c>
      <c r="E408" s="22" t="s">
        <v>38</v>
      </c>
      <c r="F408" s="22" t="s">
        <v>1195</v>
      </c>
      <c r="G408" s="22"/>
      <c r="H408" s="21" t="s">
        <v>767</v>
      </c>
      <c r="I408" s="22" t="s">
        <v>23</v>
      </c>
      <c r="J408" s="22" t="s">
        <v>1196</v>
      </c>
      <c r="K408" s="22" t="s">
        <v>24</v>
      </c>
      <c r="L408" s="2" t="str">
        <f t="shared" si="6"/>
        <v>insert into CHB_DATACHECK_RULE (CHECKRULEID,DATATYPE,CHECKCLASS,CHECKMETHOD,SRCPROPERTY,COMPARETO,OBJVALUE,REMARK,STATUS,NULLABLE) values ('W84807E5-DF85-D920-E050-007F010077FD','CHB_ASSET_INFO','com.joyintech.tams.common.svreport.datacheck.service.BaseCheckLib','isValidDate','PLAN_SDATE','','yyyy-MM-dd','资管计划成立日期要素不可为空且必须为日期格式（YYYY-MM-DD）。','E','N');</v>
      </c>
    </row>
    <row r="409" spans="1:12" x14ac:dyDescent="0.15">
      <c r="A409" s="17">
        <v>406</v>
      </c>
      <c r="B409" s="21" t="s">
        <v>456</v>
      </c>
      <c r="C409" s="23" t="s">
        <v>1484</v>
      </c>
      <c r="D409" s="22" t="s">
        <v>21</v>
      </c>
      <c r="E409" s="22" t="s">
        <v>38</v>
      </c>
      <c r="F409" s="22" t="s">
        <v>1195</v>
      </c>
      <c r="G409" s="22"/>
      <c r="H409" s="21" t="s">
        <v>767</v>
      </c>
      <c r="I409" s="22" t="s">
        <v>23</v>
      </c>
      <c r="J409" s="22" t="s">
        <v>1197</v>
      </c>
      <c r="K409" s="22" t="s">
        <v>24</v>
      </c>
      <c r="L409" s="2" t="str">
        <f t="shared" si="6"/>
        <v>insert into CHB_DATACHECK_RULE (CHECKRULEID,DATATYPE,CHECKCLASS,CHECKMETHOD,SRCPROPERTY,COMPARETO,OBJVALUE,REMARK,STATUS,NULLABLE) values ('W84807E5-DF85-D920-EE52-007F010077FD','CHB_ASSET_INFO','com.joyintech.tams.common.svreport.datacheck.service.BaseCheckLib','isValidDate','PLAN_SDATE','','yyyy-MM-dd','投资运作起始日期要素不可为空且必须为日期格式（YYYY-MM-DD）。','E','N');</v>
      </c>
    </row>
    <row r="410" spans="1:12" x14ac:dyDescent="0.15">
      <c r="A410" s="9">
        <v>407</v>
      </c>
      <c r="B410" s="21" t="s">
        <v>457</v>
      </c>
      <c r="C410" s="23" t="s">
        <v>1484</v>
      </c>
      <c r="D410" s="22" t="s">
        <v>21</v>
      </c>
      <c r="E410" s="22" t="s">
        <v>38</v>
      </c>
      <c r="F410" s="22" t="s">
        <v>1198</v>
      </c>
      <c r="G410" s="22"/>
      <c r="H410" s="21" t="s">
        <v>767</v>
      </c>
      <c r="I410" s="22" t="s">
        <v>23</v>
      </c>
      <c r="J410" s="22" t="s">
        <v>1199</v>
      </c>
      <c r="K410" s="22" t="s">
        <v>24</v>
      </c>
      <c r="L410" s="2" t="str">
        <f t="shared" si="6"/>
        <v>insert into CHB_DATACHECK_RULE (CHECKRULEID,DATATYPE,CHECKCLASS,CHECKMETHOD,SRCPROPERTY,COMPARETO,OBJVALUE,REMARK,STATUS,NULLABLE) values ('W84807E5-DF86-D920-E050-007F010077FD','CHB_ASSET_INFO','com.joyintech.tams.common.svreport.datacheck.service.BaseCheckLib','isValidDate','PLAN_EDATE','','yyyy-MM-dd','资管计划终止日期要素不可为空且必须为日期格式（YYYY-MM-DD）。','E','N');</v>
      </c>
    </row>
    <row r="411" spans="1:12" x14ac:dyDescent="0.15">
      <c r="A411" s="17">
        <v>408</v>
      </c>
      <c r="B411" s="21" t="s">
        <v>458</v>
      </c>
      <c r="C411" s="23" t="s">
        <v>1484</v>
      </c>
      <c r="D411" s="22" t="s">
        <v>21</v>
      </c>
      <c r="E411" s="22" t="s">
        <v>38</v>
      </c>
      <c r="F411" s="22" t="s">
        <v>1198</v>
      </c>
      <c r="G411" s="22"/>
      <c r="H411" s="21" t="s">
        <v>767</v>
      </c>
      <c r="I411" s="22" t="s">
        <v>23</v>
      </c>
      <c r="J411" s="22" t="s">
        <v>1200</v>
      </c>
      <c r="K411" s="22" t="s">
        <v>24</v>
      </c>
      <c r="L411" s="2" t="str">
        <f t="shared" si="6"/>
        <v>insert into CHB_DATACHECK_RULE (CHECKRULEID,DATATYPE,CHECKCLASS,CHECKMETHOD,SRCPROPERTY,COMPARETO,OBJVALUE,REMARK,STATUS,NULLABLE) values ('W84807E5-DF86-D920-E050-007FA10077FD','CHB_ASSET_INFO','com.joyintech.tams.common.svreport.datacheck.service.BaseCheckLib','isValidDate','PLAN_EDATE','','yyyy-MM-dd','投资运作终止日期要素不可为空且必须为日期格式（YYYY-MM-DD）。','E','N');</v>
      </c>
    </row>
    <row r="412" spans="1:12" x14ac:dyDescent="0.15">
      <c r="A412" s="9">
        <v>409</v>
      </c>
      <c r="B412" s="21" t="s">
        <v>459</v>
      </c>
      <c r="C412" s="23" t="s">
        <v>1484</v>
      </c>
      <c r="D412" s="22" t="s">
        <v>21</v>
      </c>
      <c r="E412" s="22" t="s">
        <v>39</v>
      </c>
      <c r="F412" s="22" t="s">
        <v>1198</v>
      </c>
      <c r="G412" s="22" t="s">
        <v>37</v>
      </c>
      <c r="H412" s="21" t="s">
        <v>1195</v>
      </c>
      <c r="I412" s="22" t="s">
        <v>27</v>
      </c>
      <c r="J412" s="22" t="s">
        <v>1201</v>
      </c>
      <c r="K412" s="22" t="s">
        <v>24</v>
      </c>
      <c r="L412" s="2" t="str">
        <f t="shared" si="6"/>
        <v>insert into CHB_DATACHECK_RULE (CHECKRULEID,DATATYPE,CHECKCLASS,CHECKMETHOD,SRCPROPERTY,COMPARETO,OBJVALUE,REMARK,STATUS,NULLABLE) values ('W84807E5-DF87-D920-EE51-007F010077FD','CHB_ASSET_INFO','com.joyintech.tams.common.svreport.datacheck.service.BaseCheckLib','compareProperty','PLAN_EDATE','&gt;','PLAN_SDATE','资管计划终止日期必须大于资管计划成立日期','E','Y');</v>
      </c>
    </row>
    <row r="413" spans="1:12" x14ac:dyDescent="0.15">
      <c r="A413" s="17">
        <v>410</v>
      </c>
      <c r="B413" s="21" t="s">
        <v>2415</v>
      </c>
      <c r="C413" s="23" t="s">
        <v>1484</v>
      </c>
      <c r="D413" s="22" t="s">
        <v>21</v>
      </c>
      <c r="E413" s="22" t="s">
        <v>39</v>
      </c>
      <c r="F413" s="22" t="s">
        <v>1198</v>
      </c>
      <c r="G413" s="22" t="s">
        <v>35</v>
      </c>
      <c r="H413" s="21" t="s">
        <v>1195</v>
      </c>
      <c r="I413" s="22" t="s">
        <v>27</v>
      </c>
      <c r="J413" s="22" t="s">
        <v>1202</v>
      </c>
      <c r="K413" s="22" t="s">
        <v>24</v>
      </c>
      <c r="L413" s="2" t="str">
        <f t="shared" si="6"/>
        <v>insert into CHB_DATACHECK_RULE (CHECKRULEID,DATATYPE,CHECKCLASS,CHECKMETHOD,SRCPROPERTY,COMPARETO,OBJVALUE,REMARK,STATUS,NULLABLE) values ('W84807E5-DF87-D920-EE51-107F010077FD','CHB_ASSET_INFO','com.joyintech.tams.common.svreport.datacheck.service.BaseCheckLib','compareProperty','PLAN_EDATE','&gt;=','PLAN_SDATE','投资运作终止日期必须大于等于投资运作起始日期','E','Y');</v>
      </c>
    </row>
    <row r="414" spans="1:12" x14ac:dyDescent="0.15">
      <c r="A414" s="9">
        <v>411</v>
      </c>
      <c r="B414" s="21" t="s">
        <v>461</v>
      </c>
      <c r="C414" s="23" t="s">
        <v>1484</v>
      </c>
      <c r="D414" s="22" t="s">
        <v>21</v>
      </c>
      <c r="E414" s="22" t="s">
        <v>22</v>
      </c>
      <c r="F414" s="22" t="s">
        <v>1203</v>
      </c>
      <c r="G414" s="22"/>
      <c r="H414" s="21"/>
      <c r="I414" s="22" t="s">
        <v>23</v>
      </c>
      <c r="J414" s="22" t="s">
        <v>1204</v>
      </c>
      <c r="K414" s="22" t="s">
        <v>24</v>
      </c>
      <c r="L414" s="2" t="str">
        <f t="shared" si="6"/>
        <v>insert into CHB_DATACHECK_RULE (CHECKRULEID,DATATYPE,CHECKCLASS,CHECKMETHOD,SRCPROPERTY,COMPARETO,OBJVALUE,REMARK,STATUS,NULLABLE) values ('W84807E5-DF88-D920-E050-007F010077FD','CHB_ASSET_INFO','com.joyintech.tams.common.svreport.datacheck.service.BaseCheckLib','isNotEmpty','PRO_PROPERTY','','','资管计划属性要素不可为空','E','N');</v>
      </c>
    </row>
    <row r="415" spans="1:12" x14ac:dyDescent="0.15">
      <c r="A415" s="17">
        <v>412</v>
      </c>
      <c r="B415" s="21" t="s">
        <v>462</v>
      </c>
      <c r="C415" s="23" t="s">
        <v>1484</v>
      </c>
      <c r="D415" s="22" t="s">
        <v>21</v>
      </c>
      <c r="E415" s="22" t="s">
        <v>22</v>
      </c>
      <c r="F415" s="22" t="s">
        <v>1203</v>
      </c>
      <c r="G415" s="22"/>
      <c r="H415" s="21"/>
      <c r="I415" s="22" t="s">
        <v>23</v>
      </c>
      <c r="J415" s="22" t="s">
        <v>1205</v>
      </c>
      <c r="K415" s="22" t="s">
        <v>24</v>
      </c>
      <c r="L415" s="2" t="str">
        <f t="shared" si="6"/>
        <v>insert into CHB_DATACHECK_RULE (CHECKRULEID,DATATYPE,CHECKCLASS,CHECKMETHOD,SRCPROPERTY,COMPARETO,OBJVALUE,REMARK,STATUS,NULLABLE) values ('W84807E5-DF88-D920-E050-007F010877FD','CHB_ASSET_INFO','com.joyintech.tams.common.svreport.datacheck.service.BaseCheckLib','isNotEmpty','PRO_PROPERTY','','','委外投资属性要素不可为空','E','N');</v>
      </c>
    </row>
    <row r="416" spans="1:12" x14ac:dyDescent="0.15">
      <c r="A416" s="9">
        <v>413</v>
      </c>
      <c r="B416" s="21" t="s">
        <v>463</v>
      </c>
      <c r="C416" s="23" t="s">
        <v>1484</v>
      </c>
      <c r="D416" s="22" t="s">
        <v>21</v>
      </c>
      <c r="E416" s="22" t="s">
        <v>30</v>
      </c>
      <c r="F416" s="22" t="s">
        <v>1203</v>
      </c>
      <c r="G416" s="22"/>
      <c r="H416" s="21" t="s">
        <v>2354</v>
      </c>
      <c r="I416" s="22" t="s">
        <v>27</v>
      </c>
      <c r="J416" s="22" t="s">
        <v>1207</v>
      </c>
      <c r="K416" s="22" t="s">
        <v>24</v>
      </c>
      <c r="L416" s="2" t="str">
        <f t="shared" si="6"/>
        <v>insert into CHB_DATACHECK_RULE (CHECKRULEID,DATATYPE,CHECKCLASS,CHECKMETHOD,SRCPROPERTY,COMPARETO,OBJVALUE,REMARK,STATUS,NULLABLE) values ('W84807E5-DF88-D920-E050-107F010877FD','CHB_ASSET_INFO','com.joyintech.tams.common.svreport.datacheck.service.BaseCheckLib','inDatadict','PRO_PROPERTY','','CHB_OUTSOURCE_INVEST_PROPERTY','委外投资属性不在值域范围内','E','Y');</v>
      </c>
    </row>
    <row r="417" spans="1:12" x14ac:dyDescent="0.15">
      <c r="A417" s="17">
        <v>414</v>
      </c>
      <c r="B417" s="21" t="s">
        <v>464</v>
      </c>
      <c r="C417" s="23" t="s">
        <v>1484</v>
      </c>
      <c r="D417" s="22" t="s">
        <v>21</v>
      </c>
      <c r="E417" s="22" t="s">
        <v>30</v>
      </c>
      <c r="F417" s="22" t="s">
        <v>1203</v>
      </c>
      <c r="G417" s="22"/>
      <c r="H417" s="21" t="s">
        <v>1206</v>
      </c>
      <c r="I417" s="22" t="s">
        <v>27</v>
      </c>
      <c r="J417" s="22" t="s">
        <v>1208</v>
      </c>
      <c r="K417" s="22" t="s">
        <v>24</v>
      </c>
      <c r="L417" s="2" t="str">
        <f t="shared" si="6"/>
        <v>insert into CHB_DATACHECK_RULE (CHECKRULEID,DATATYPE,CHECKCLASS,CHECKMETHOD,SRCPROPERTY,COMPARETO,OBJVALUE,REMARK,STATUS,NULLABLE) values ('W84807E5-DF88-D920-E050-207F010877FD','CHB_ASSET_INFO','com.joyintech.tams.common.svreport.datacheck.service.BaseCheckLib','inDatadict','PRO_PROPERTY','','SVR_PRO_PROPERTY','资管计划属性不在值域范围内','E','Y');</v>
      </c>
    </row>
    <row r="418" spans="1:12" x14ac:dyDescent="0.15">
      <c r="A418" s="9">
        <v>415</v>
      </c>
      <c r="B418" s="21" t="s">
        <v>465</v>
      </c>
      <c r="C418" s="23" t="s">
        <v>1484</v>
      </c>
      <c r="D418" s="22" t="s">
        <v>21</v>
      </c>
      <c r="E418" s="22" t="s">
        <v>22</v>
      </c>
      <c r="F418" s="22" t="s">
        <v>1032</v>
      </c>
      <c r="G418" s="22"/>
      <c r="H418" s="21"/>
      <c r="I418" s="22" t="s">
        <v>23</v>
      </c>
      <c r="J418" s="22" t="s">
        <v>1033</v>
      </c>
      <c r="K418" s="22" t="s">
        <v>24</v>
      </c>
      <c r="L418" s="2" t="str">
        <f t="shared" si="6"/>
        <v>insert into CHB_DATACHECK_RULE (CHECKRULEID,DATATYPE,CHECKCLASS,CHECKMETHOD,SRCPROPERTY,COMPARETO,OBJVALUE,REMARK,STATUS,NULLABLE) values ('W84807E5-DF89-D920-E050-007F010077FD','CHB_ASSET_INFO','com.joyintech.tams.common.svreport.datacheck.service.BaseCheckLib','isNotEmpty','RATE_FLAG','','','是否有预期收益率不可为空','E','N');</v>
      </c>
    </row>
    <row r="419" spans="1:12" x14ac:dyDescent="0.15">
      <c r="A419" s="17">
        <v>416</v>
      </c>
      <c r="B419" s="21" t="s">
        <v>466</v>
      </c>
      <c r="C419" s="23" t="s">
        <v>1484</v>
      </c>
      <c r="D419" s="22" t="s">
        <v>21</v>
      </c>
      <c r="E419" s="22" t="s">
        <v>30</v>
      </c>
      <c r="F419" s="22" t="s">
        <v>1032</v>
      </c>
      <c r="G419" s="22" t="s">
        <v>25</v>
      </c>
      <c r="H419" s="21" t="s">
        <v>814</v>
      </c>
      <c r="I419" s="22" t="s">
        <v>27</v>
      </c>
      <c r="J419" s="22" t="s">
        <v>1209</v>
      </c>
      <c r="K419" s="22" t="s">
        <v>24</v>
      </c>
      <c r="L419" s="2" t="str">
        <f t="shared" si="6"/>
        <v>insert into CHB_DATACHECK_RULE (CHECKRULEID,DATATYPE,CHECKCLASS,CHECKMETHOD,SRCPROPERTY,COMPARETO,OBJVALUE,REMARK,STATUS,NULLABLE) values ('W84807E5-DF89-D920-E050-107F010077FD','CHB_ASSET_INFO','com.joyintech.tams.common.svreport.datacheck.service.BaseCheckLib','inDatadict','RATE_FLAG','==','SVR_YES_OR_NO','是否有预期收益率不在值域范围内','E','Y');</v>
      </c>
    </row>
    <row r="420" spans="1:12" x14ac:dyDescent="0.15">
      <c r="A420" s="9">
        <v>417</v>
      </c>
      <c r="B420" s="21" t="s">
        <v>467</v>
      </c>
      <c r="C420" s="23" t="s">
        <v>1484</v>
      </c>
      <c r="D420" s="22" t="s">
        <v>21</v>
      </c>
      <c r="E420" s="22" t="s">
        <v>30</v>
      </c>
      <c r="F420" s="22" t="s">
        <v>1032</v>
      </c>
      <c r="G420" s="22" t="s">
        <v>25</v>
      </c>
      <c r="H420" s="21" t="s">
        <v>814</v>
      </c>
      <c r="I420" s="22" t="s">
        <v>27</v>
      </c>
      <c r="J420" s="22" t="s">
        <v>1209</v>
      </c>
      <c r="K420" s="22" t="s">
        <v>24</v>
      </c>
      <c r="L420" s="2" t="str">
        <f t="shared" si="6"/>
        <v>insert into CHB_DATACHECK_RULE (CHECKRULEID,DATATYPE,CHECKCLASS,CHECKMETHOD,SRCPROPERTY,COMPARETO,OBJVALUE,REMARK,STATUS,NULLABLE) values ('W84807E5-DF89-D920-E050-207F010077FD','CHB_ASSET_INFO','com.joyintech.tams.common.svreport.datacheck.service.BaseCheckLib','inDatadict','RATE_FLAG','==','SVR_YES_OR_NO','是否有预期收益率不在值域范围内','E','Y');</v>
      </c>
    </row>
    <row r="421" spans="1:12" x14ac:dyDescent="0.15">
      <c r="A421" s="17">
        <v>418</v>
      </c>
      <c r="B421" s="21" t="s">
        <v>468</v>
      </c>
      <c r="C421" s="23" t="s">
        <v>1484</v>
      </c>
      <c r="D421" s="22" t="s">
        <v>21</v>
      </c>
      <c r="E421" s="22" t="s">
        <v>30</v>
      </c>
      <c r="F421" s="22" t="s">
        <v>1032</v>
      </c>
      <c r="G421" s="22" t="s">
        <v>25</v>
      </c>
      <c r="H421" s="21" t="s">
        <v>814</v>
      </c>
      <c r="I421" s="22" t="s">
        <v>27</v>
      </c>
      <c r="J421" s="22" t="s">
        <v>1209</v>
      </c>
      <c r="K421" s="22" t="s">
        <v>24</v>
      </c>
      <c r="L421" s="2" t="str">
        <f t="shared" si="6"/>
        <v>insert into CHB_DATACHECK_RULE (CHECKRULEID,DATATYPE,CHECKCLASS,CHECKMETHOD,SRCPROPERTY,COMPARETO,OBJVALUE,REMARK,STATUS,NULLABLE) values ('W84807E5-DF89-D920-E050-307F010077FD','CHB_ASSET_INFO','com.joyintech.tams.common.svreport.datacheck.service.BaseCheckLib','inDatadict','RATE_FLAG','==','SVR_YES_OR_NO','是否有预期收益率不在值域范围内','E','Y');</v>
      </c>
    </row>
    <row r="422" spans="1:12" x14ac:dyDescent="0.15">
      <c r="A422" s="9">
        <v>419</v>
      </c>
      <c r="B422" s="21" t="s">
        <v>469</v>
      </c>
      <c r="C422" s="23" t="s">
        <v>1484</v>
      </c>
      <c r="D422" s="22" t="s">
        <v>21</v>
      </c>
      <c r="E422" s="22" t="s">
        <v>30</v>
      </c>
      <c r="F422" s="22" t="s">
        <v>1032</v>
      </c>
      <c r="G422" s="22" t="s">
        <v>25</v>
      </c>
      <c r="H422" s="21" t="s">
        <v>814</v>
      </c>
      <c r="I422" s="22" t="s">
        <v>27</v>
      </c>
      <c r="J422" s="22" t="s">
        <v>1209</v>
      </c>
      <c r="K422" s="22" t="s">
        <v>24</v>
      </c>
      <c r="L422" s="2" t="str">
        <f t="shared" si="6"/>
        <v>insert into CHB_DATACHECK_RULE (CHECKRULEID,DATATYPE,CHECKCLASS,CHECKMETHOD,SRCPROPERTY,COMPARETO,OBJVALUE,REMARK,STATUS,NULLABLE) values ('W84807E5-DF89-D920-E050-407F010077FD','CHB_ASSET_INFO','com.joyintech.tams.common.svreport.datacheck.service.BaseCheckLib','inDatadict','RATE_FLAG','==','SVR_YES_OR_NO','是否有预期收益率不在值域范围内','E','Y');</v>
      </c>
    </row>
    <row r="423" spans="1:12" x14ac:dyDescent="0.15">
      <c r="A423" s="17">
        <v>420</v>
      </c>
      <c r="B423" s="21" t="s">
        <v>470</v>
      </c>
      <c r="C423" s="23" t="s">
        <v>1484</v>
      </c>
      <c r="D423" s="22" t="s">
        <v>21</v>
      </c>
      <c r="E423" s="22" t="s">
        <v>22</v>
      </c>
      <c r="F423" s="22" t="s">
        <v>1210</v>
      </c>
      <c r="G423" s="22"/>
      <c r="H423" s="21"/>
      <c r="I423" s="22" t="s">
        <v>23</v>
      </c>
      <c r="J423" s="22" t="s">
        <v>1211</v>
      </c>
      <c r="K423" s="22" t="s">
        <v>24</v>
      </c>
      <c r="L423" s="2" t="str">
        <f t="shared" si="6"/>
        <v>insert into CHB_DATACHECK_RULE (CHECKRULEID,DATATYPE,CHECKCLASS,CHECKMETHOD,SRCPROPERTY,COMPARETO,OBJVALUE,REMARK,STATUS,NULLABLE) values ('W84807E5-DF8A-D920-E050-007F010077FD','CHB_ASSET_INFO','com.joyintech.tams.common.svreport.datacheck.service.BaseCheckLib','isNotEmpty','MAX_RATE','','','预期最高收益率%要素不可为空','E','N');</v>
      </c>
    </row>
    <row r="424" spans="1:12" x14ac:dyDescent="0.15">
      <c r="A424" s="9">
        <v>421</v>
      </c>
      <c r="B424" s="21" t="s">
        <v>471</v>
      </c>
      <c r="C424" s="23" t="s">
        <v>1484</v>
      </c>
      <c r="D424" s="22" t="s">
        <v>21</v>
      </c>
      <c r="E424" s="22" t="s">
        <v>32</v>
      </c>
      <c r="F424" s="22" t="s">
        <v>1210</v>
      </c>
      <c r="G424" s="22"/>
      <c r="H424" s="21" t="s">
        <v>33</v>
      </c>
      <c r="I424" s="22" t="s">
        <v>27</v>
      </c>
      <c r="J424" s="22" t="s">
        <v>1212</v>
      </c>
      <c r="K424" s="22" t="s">
        <v>24</v>
      </c>
      <c r="L424" s="2" t="str">
        <f t="shared" si="6"/>
        <v>insert into CHB_DATACHECK_RULE (CHECKRULEID,DATATYPE,CHECKCLASS,CHECKMETHOD,SRCPROPERTY,COMPARETO,OBJVALUE,REMARK,STATUS,NULLABLE) values ('W84807E5-DF8A-D920-E050-107F010077FD','CHB_ASSET_INFO','com.joyintech.tams.common.svreport.datacheck.service.BaseCheckLib','isNumber2','MAX_RATE','','8,5','预期最高收益率%以百分数形式表示时必须为n（8,5）格式','E','Y');</v>
      </c>
    </row>
    <row r="425" spans="1:12" x14ac:dyDescent="0.15">
      <c r="A425" s="17">
        <v>422</v>
      </c>
      <c r="B425" s="21" t="s">
        <v>472</v>
      </c>
      <c r="C425" s="23" t="s">
        <v>1484</v>
      </c>
      <c r="D425" s="22" t="s">
        <v>21</v>
      </c>
      <c r="E425" s="22" t="s">
        <v>34</v>
      </c>
      <c r="F425" s="22" t="s">
        <v>1210</v>
      </c>
      <c r="G425" s="22" t="s">
        <v>35</v>
      </c>
      <c r="H425" s="21" t="s">
        <v>26</v>
      </c>
      <c r="I425" s="22" t="s">
        <v>27</v>
      </c>
      <c r="J425" s="22" t="s">
        <v>1213</v>
      </c>
      <c r="K425" s="22" t="s">
        <v>24</v>
      </c>
      <c r="L425" s="2" t="str">
        <f t="shared" si="6"/>
        <v>insert into CHB_DATACHECK_RULE (CHECKRULEID,DATATYPE,CHECKCLASS,CHECKMETHOD,SRCPROPERTY,COMPARETO,OBJVALUE,REMARK,STATUS,NULLABLE) values ('W84807E5-DF8B-D920-E050-007F010077FD','CHB_ASSET_INFO','com.joyintech.tams.common.svreport.datacheck.service.BaseCheckLib','compareValueAsNumber','MAX_RATE','&gt;=','0','预期最高收益率%必须大于等于0','E','Y');</v>
      </c>
    </row>
    <row r="426" spans="1:12" x14ac:dyDescent="0.15">
      <c r="A426" s="9">
        <v>423</v>
      </c>
      <c r="B426" s="21" t="s">
        <v>473</v>
      </c>
      <c r="C426" s="23" t="s">
        <v>1484</v>
      </c>
      <c r="D426" s="22" t="s">
        <v>21</v>
      </c>
      <c r="E426" s="22" t="s">
        <v>62</v>
      </c>
      <c r="F426" s="22" t="s">
        <v>1210</v>
      </c>
      <c r="G426" s="22" t="s">
        <v>25</v>
      </c>
      <c r="H426" s="21" t="s">
        <v>26</v>
      </c>
      <c r="I426" s="22" t="s">
        <v>27</v>
      </c>
      <c r="J426" s="22" t="s">
        <v>1214</v>
      </c>
      <c r="K426" s="22" t="s">
        <v>24</v>
      </c>
      <c r="L426" s="2" t="str">
        <f t="shared" si="6"/>
        <v>insert into CHB_DATACHECK_RULE (CHECKRULEID,DATATYPE,CHECKCLASS,CHECKMETHOD,SRCPROPERTY,COMPARETO,OBJVALUE,REMARK,STATUS,NULLABLE) values ('W84807E5-DF8C-D920-E050-007F010077FD','CHB_ASSET_INFO','com.joyintech.tams.common.svreport.datacheck.service.BaseCheckLib','lessThanCharLength','MAX_RATE','==','0','预期最高收益率%要素必须为空','E','Y');</v>
      </c>
    </row>
    <row r="427" spans="1:12" x14ac:dyDescent="0.15">
      <c r="A427" s="17">
        <v>424</v>
      </c>
      <c r="B427" s="21" t="s">
        <v>474</v>
      </c>
      <c r="C427" s="23" t="s">
        <v>1484</v>
      </c>
      <c r="D427" s="22" t="s">
        <v>21</v>
      </c>
      <c r="E427" s="22" t="s">
        <v>32</v>
      </c>
      <c r="F427" s="22" t="s">
        <v>1215</v>
      </c>
      <c r="G427" s="22" t="s">
        <v>25</v>
      </c>
      <c r="H427" s="21" t="s">
        <v>33</v>
      </c>
      <c r="I427" s="22" t="s">
        <v>27</v>
      </c>
      <c r="J427" s="22" t="s">
        <v>1216</v>
      </c>
      <c r="K427" s="22" t="s">
        <v>24</v>
      </c>
      <c r="L427" s="2" t="str">
        <f t="shared" si="6"/>
        <v>insert into CHB_DATACHECK_RULE (CHECKRULEID,DATATYPE,CHECKCLASS,CHECKMETHOD,SRCPROPERTY,COMPARETO,OBJVALUE,REMARK,STATUS,NULLABLE) values ('W84807E5-DF8D-D920-E050-007F010077FD','CHB_ASSET_INFO','com.joyintech.tams.common.svreport.datacheck.service.BaseCheckLib','isNumber2','MIN_RATE','==','8,5','预期最低收益率%以百分数形式表示时必须为n(8,5)格式','E','Y');</v>
      </c>
    </row>
    <row r="428" spans="1:12" x14ac:dyDescent="0.15">
      <c r="A428" s="9">
        <v>425</v>
      </c>
      <c r="B428" s="21" t="s">
        <v>475</v>
      </c>
      <c r="C428" s="23" t="s">
        <v>1484</v>
      </c>
      <c r="D428" s="22" t="s">
        <v>21</v>
      </c>
      <c r="E428" s="22" t="s">
        <v>949</v>
      </c>
      <c r="F428" s="22" t="s">
        <v>1215</v>
      </c>
      <c r="G428" s="22" t="s">
        <v>936</v>
      </c>
      <c r="H428" s="21" t="s">
        <v>1210</v>
      </c>
      <c r="I428" s="22" t="s">
        <v>27</v>
      </c>
      <c r="J428" s="22" t="s">
        <v>1217</v>
      </c>
      <c r="K428" s="22" t="s">
        <v>24</v>
      </c>
      <c r="L428" s="2" t="str">
        <f t="shared" si="6"/>
        <v>insert into CHB_DATACHECK_RULE (CHECKRULEID,DATATYPE,CHECKCLASS,CHECKMETHOD,SRCPROPERTY,COMPARETO,OBJVALUE,REMARK,STATUS,NULLABLE) values ('W84807E5-DF8E-D920-E050-007F010077FD','CHB_ASSET_INFO','com.joyintech.tams.common.svreport.datacheck.service.BaseCheckLib','comparePropertyAsNumber','MIN_RATE','&lt;=','MAX_RATE','预期最低收益率必须小于等于预期最高收益率','E','Y');</v>
      </c>
    </row>
    <row r="429" spans="1:12" x14ac:dyDescent="0.15">
      <c r="A429" s="17">
        <v>426</v>
      </c>
      <c r="B429" s="21" t="s">
        <v>476</v>
      </c>
      <c r="C429" s="23" t="s">
        <v>1484</v>
      </c>
      <c r="D429" s="22" t="s">
        <v>21</v>
      </c>
      <c r="E429" s="22" t="s">
        <v>62</v>
      </c>
      <c r="F429" s="22" t="s">
        <v>1215</v>
      </c>
      <c r="G429" s="22" t="s">
        <v>25</v>
      </c>
      <c r="H429" s="21" t="s">
        <v>26</v>
      </c>
      <c r="I429" s="22" t="s">
        <v>27</v>
      </c>
      <c r="J429" s="22" t="s">
        <v>1218</v>
      </c>
      <c r="K429" s="22" t="s">
        <v>24</v>
      </c>
      <c r="L429" s="2" t="str">
        <f t="shared" si="6"/>
        <v>insert into CHB_DATACHECK_RULE (CHECKRULEID,DATATYPE,CHECKCLASS,CHECKMETHOD,SRCPROPERTY,COMPARETO,OBJVALUE,REMARK,STATUS,NULLABLE) values ('W84807E5-DF8F-D920-E050-007F010077FD','CHB_ASSET_INFO','com.joyintech.tams.common.svreport.datacheck.service.BaseCheckLib','lessThanCharLength','MIN_RATE','==','0','预期最低收益率%要素必须为空','E','Y');</v>
      </c>
    </row>
    <row r="430" spans="1:12" x14ac:dyDescent="0.15">
      <c r="A430" s="9">
        <v>427</v>
      </c>
      <c r="B430" s="21" t="s">
        <v>477</v>
      </c>
      <c r="C430" s="23" t="s">
        <v>1484</v>
      </c>
      <c r="D430" s="22" t="s">
        <v>21</v>
      </c>
      <c r="E430" s="22" t="s">
        <v>30</v>
      </c>
      <c r="F430" s="22" t="s">
        <v>1219</v>
      </c>
      <c r="G430" s="22" t="s">
        <v>25</v>
      </c>
      <c r="H430" s="21" t="s">
        <v>1220</v>
      </c>
      <c r="I430" s="22" t="s">
        <v>27</v>
      </c>
      <c r="J430" s="22" t="s">
        <v>1221</v>
      </c>
      <c r="K430" s="22" t="s">
        <v>24</v>
      </c>
      <c r="L430" s="2" t="str">
        <f t="shared" si="6"/>
        <v>insert into CHB_DATACHECK_RULE (CHECKRULEID,DATATYPE,CHECKCLASS,CHECKMETHOD,SRCPROPERTY,COMPARETO,OBJVALUE,REMARK,STATUS,NULLABLE) values ('W84807E5-DF90-D920-E050-007F010077FD','CHB_ASSET_INFO','com.joyintech.tams.common.svreport.datacheck.service.BaseCheckLib','inDatadict','BUY_STRUCT','==','SVR_BUY_STRUCT','购买结构要素不在值域范围内。','E','Y');</v>
      </c>
    </row>
    <row r="431" spans="1:12" x14ac:dyDescent="0.15">
      <c r="A431" s="17">
        <v>428</v>
      </c>
      <c r="B431" s="21" t="s">
        <v>478</v>
      </c>
      <c r="C431" s="23" t="s">
        <v>1484</v>
      </c>
      <c r="D431" s="22" t="s">
        <v>21</v>
      </c>
      <c r="E431" s="22" t="s">
        <v>30</v>
      </c>
      <c r="F431" s="22" t="s">
        <v>1222</v>
      </c>
      <c r="G431" s="22" t="s">
        <v>25</v>
      </c>
      <c r="H431" s="21" t="s">
        <v>1223</v>
      </c>
      <c r="I431" s="22" t="s">
        <v>27</v>
      </c>
      <c r="J431" s="22" t="s">
        <v>1224</v>
      </c>
      <c r="K431" s="22" t="s">
        <v>24</v>
      </c>
      <c r="L431" s="2" t="str">
        <f t="shared" si="6"/>
        <v>insert into CHB_DATACHECK_RULE (CHECKRULEID,DATATYPE,CHECKCLASS,CHECKMETHOD,SRCPROPERTY,COMPARETO,OBJVALUE,REMARK,STATUS,NULLABLE) values ('W84807E5-DF91-D920-E050-007F010077FD','CHB_ASSET_INFO','com.joyintech.tams.common.svreport.datacheck.service.BaseCheckLib','inDatadict','MANAGE_TYPE','==','SVR_MANAGE_STYLE','管理方式要素不在值域范围内。','E','Y');</v>
      </c>
    </row>
    <row r="432" spans="1:12" x14ac:dyDescent="0.15">
      <c r="A432" s="9">
        <v>429</v>
      </c>
      <c r="B432" s="21" t="s">
        <v>479</v>
      </c>
      <c r="C432" s="23" t="s">
        <v>1484</v>
      </c>
      <c r="D432" s="22" t="s">
        <v>21</v>
      </c>
      <c r="E432" s="22" t="s">
        <v>32</v>
      </c>
      <c r="F432" s="22" t="s">
        <v>1225</v>
      </c>
      <c r="G432" s="22" t="s">
        <v>25</v>
      </c>
      <c r="H432" s="21" t="s">
        <v>33</v>
      </c>
      <c r="I432" s="22" t="s">
        <v>27</v>
      </c>
      <c r="J432" s="22" t="s">
        <v>1226</v>
      </c>
      <c r="K432" s="22" t="s">
        <v>24</v>
      </c>
      <c r="L432" s="2" t="str">
        <f t="shared" si="6"/>
        <v>insert into CHB_DATACHECK_RULE (CHECKRULEID,DATATYPE,CHECKCLASS,CHECKMETHOD,SRCPROPERTY,COMPARETO,OBJVALUE,REMARK,STATUS,NULLABLE) values ('W84807E5-DF93-D920-E050-007F010077FD','CHB_ASSET_INFO','com.joyintech.tams.common.svreport.datacheck.service.BaseCheckLib','isNumber2','MGR_FEE_RATE','==','8,5','管理费率%以百分数形式表示时必须为n（8,5）格式','E','Y');</v>
      </c>
    </row>
    <row r="433" spans="1:12" x14ac:dyDescent="0.15">
      <c r="A433" s="17">
        <v>430</v>
      </c>
      <c r="B433" s="21" t="s">
        <v>480</v>
      </c>
      <c r="C433" s="23" t="s">
        <v>1484</v>
      </c>
      <c r="D433" s="22" t="s">
        <v>21</v>
      </c>
      <c r="E433" s="22" t="s">
        <v>32</v>
      </c>
      <c r="F433" s="22" t="s">
        <v>1225</v>
      </c>
      <c r="G433" s="22" t="s">
        <v>25</v>
      </c>
      <c r="H433" s="21" t="s">
        <v>33</v>
      </c>
      <c r="I433" s="22" t="s">
        <v>27</v>
      </c>
      <c r="J433" s="22" t="s">
        <v>1226</v>
      </c>
      <c r="K433" s="22" t="s">
        <v>24</v>
      </c>
      <c r="L433" s="2" t="str">
        <f t="shared" si="6"/>
        <v>insert into CHB_DATACHECK_RULE (CHECKRULEID,DATATYPE,CHECKCLASS,CHECKMETHOD,SRCPROPERTY,COMPARETO,OBJVALUE,REMARK,STATUS,NULLABLE) values ('W84807E5-DF93-D920-E050-007F030077FD','CHB_ASSET_INFO','com.joyintech.tams.common.svreport.datacheck.service.BaseCheckLib','isNumber2','MGR_FEE_RATE','==','8,5','管理费率%以百分数形式表示时必须为n（8,5）格式','E','Y');</v>
      </c>
    </row>
    <row r="434" spans="1:12" x14ac:dyDescent="0.15">
      <c r="A434" s="9">
        <v>431</v>
      </c>
      <c r="B434" s="21" t="s">
        <v>481</v>
      </c>
      <c r="C434" s="23" t="s">
        <v>1484</v>
      </c>
      <c r="D434" s="22" t="s">
        <v>21</v>
      </c>
      <c r="E434" s="22" t="s">
        <v>22</v>
      </c>
      <c r="F434" s="22" t="s">
        <v>1225</v>
      </c>
      <c r="G434" s="22"/>
      <c r="H434" s="21"/>
      <c r="I434" s="22" t="s">
        <v>27</v>
      </c>
      <c r="J434" s="22" t="s">
        <v>1227</v>
      </c>
      <c r="K434" s="22" t="s">
        <v>24</v>
      </c>
      <c r="L434" s="2" t="str">
        <f t="shared" si="6"/>
        <v>insert into CHB_DATACHECK_RULE (CHECKRULEID,DATATYPE,CHECKCLASS,CHECKMETHOD,SRCPROPERTY,COMPARETO,OBJVALUE,REMARK,STATUS,NULLABLE) values ('W84807E5-DF93-D920-E050-107F010077FD','CHB_ASSET_INFO','com.joyintech.tams.common.svreport.datacheck.service.BaseCheckLib','isNotEmpty','MGR_FEE_RATE','','','管理费率%要素不可为空','E','Y');</v>
      </c>
    </row>
    <row r="435" spans="1:12" x14ac:dyDescent="0.15">
      <c r="A435" s="17">
        <v>432</v>
      </c>
      <c r="B435" s="21" t="s">
        <v>482</v>
      </c>
      <c r="C435" s="23" t="s">
        <v>1484</v>
      </c>
      <c r="D435" s="22" t="s">
        <v>21</v>
      </c>
      <c r="E435" s="22" t="s">
        <v>22</v>
      </c>
      <c r="F435" s="22" t="s">
        <v>1225</v>
      </c>
      <c r="G435" s="22"/>
      <c r="H435" s="21"/>
      <c r="I435" s="22" t="s">
        <v>27</v>
      </c>
      <c r="J435" s="22" t="s">
        <v>1227</v>
      </c>
      <c r="K435" s="22" t="s">
        <v>24</v>
      </c>
      <c r="L435" s="2" t="str">
        <f t="shared" si="6"/>
        <v>insert into CHB_DATACHECK_RULE (CHECKRULEID,DATATYPE,CHECKCLASS,CHECKMETHOD,SRCPROPERTY,COMPARETO,OBJVALUE,REMARK,STATUS,NULLABLE) values ('W84807E5-DF93-D920-E050-107F030077FD','CHB_ASSET_INFO','com.joyintech.tams.common.svreport.datacheck.service.BaseCheckLib','isNotEmpty','MGR_FEE_RATE','','','管理费率%要素不可为空','E','Y');</v>
      </c>
    </row>
    <row r="436" spans="1:12" x14ac:dyDescent="0.15">
      <c r="A436" s="9">
        <v>433</v>
      </c>
      <c r="B436" s="21" t="s">
        <v>483</v>
      </c>
      <c r="C436" s="23" t="s">
        <v>1484</v>
      </c>
      <c r="D436" s="22" t="s">
        <v>21</v>
      </c>
      <c r="E436" s="22" t="s">
        <v>34</v>
      </c>
      <c r="F436" s="22" t="s">
        <v>1225</v>
      </c>
      <c r="G436" s="22" t="s">
        <v>35</v>
      </c>
      <c r="H436" s="21" t="s">
        <v>26</v>
      </c>
      <c r="I436" s="22" t="s">
        <v>27</v>
      </c>
      <c r="J436" s="22" t="s">
        <v>1228</v>
      </c>
      <c r="K436" s="22" t="s">
        <v>24</v>
      </c>
      <c r="L436" s="2" t="str">
        <f t="shared" si="6"/>
        <v>insert into CHB_DATACHECK_RULE (CHECKRULEID,DATATYPE,CHECKCLASS,CHECKMETHOD,SRCPROPERTY,COMPARETO,OBJVALUE,REMARK,STATUS,NULLABLE) values ('W84807E5-DF94-D920-E050-007F010077FD','CHB_ASSET_INFO','com.joyintech.tams.common.svreport.datacheck.service.BaseCheckLib','compareValueAsNumber','MGR_FEE_RATE','&gt;=','0','管理费率%必须大于等于0。','E','Y');</v>
      </c>
    </row>
    <row r="437" spans="1:12" x14ac:dyDescent="0.15">
      <c r="A437" s="17">
        <v>434</v>
      </c>
      <c r="B437" s="21" t="s">
        <v>484</v>
      </c>
      <c r="C437" s="23" t="s">
        <v>1484</v>
      </c>
      <c r="D437" s="22" t="s">
        <v>21</v>
      </c>
      <c r="E437" s="22" t="s">
        <v>32</v>
      </c>
      <c r="F437" s="22" t="s">
        <v>42</v>
      </c>
      <c r="G437" s="22"/>
      <c r="H437" s="21" t="s">
        <v>33</v>
      </c>
      <c r="I437" s="22" t="s">
        <v>27</v>
      </c>
      <c r="J437" s="22" t="s">
        <v>1229</v>
      </c>
      <c r="K437" s="22" t="s">
        <v>24</v>
      </c>
      <c r="L437" s="2" t="str">
        <f t="shared" si="6"/>
        <v>insert into CHB_DATACHECK_RULE (CHECKRULEID,DATATYPE,CHECKCLASS,CHECKMETHOD,SRCPROPERTY,COMPARETO,OBJVALUE,REMARK,STATUS,NULLABLE) values ('W84807E5-DF95-D920-E050-007F010077FD','CHB_ASSET_INFO','com.joyintech.tams.common.svreport.datacheck.service.BaseCheckLib','isNumber2','TRU_FEE_RATE','','8,5','托管费率%以百分数形式表示时必须为n（8,5）格式','E','Y');</v>
      </c>
    </row>
    <row r="438" spans="1:12" x14ac:dyDescent="0.15">
      <c r="A438" s="9">
        <v>435</v>
      </c>
      <c r="B438" s="21" t="s">
        <v>485</v>
      </c>
      <c r="C438" s="23" t="s">
        <v>1484</v>
      </c>
      <c r="D438" s="22" t="s">
        <v>21</v>
      </c>
      <c r="E438" s="22" t="s">
        <v>32</v>
      </c>
      <c r="F438" s="22" t="s">
        <v>42</v>
      </c>
      <c r="G438" s="22"/>
      <c r="H438" s="21" t="s">
        <v>33</v>
      </c>
      <c r="I438" s="22" t="s">
        <v>27</v>
      </c>
      <c r="J438" s="22" t="s">
        <v>1229</v>
      </c>
      <c r="K438" s="22" t="s">
        <v>24</v>
      </c>
      <c r="L438" s="2" t="str">
        <f t="shared" si="6"/>
        <v>insert into CHB_DATACHECK_RULE (CHECKRULEID,DATATYPE,CHECKCLASS,CHECKMETHOD,SRCPROPERTY,COMPARETO,OBJVALUE,REMARK,STATUS,NULLABLE) values ('W84807E5-DF95-D920-E050-007F710077FD','CHB_ASSET_INFO','com.joyintech.tams.common.svreport.datacheck.service.BaseCheckLib','isNumber2','TRU_FEE_RATE','','8,5','托管费率%以百分数形式表示时必须为n（8,5）格式','E','Y');</v>
      </c>
    </row>
    <row r="439" spans="1:12" x14ac:dyDescent="0.15">
      <c r="A439" s="17">
        <v>436</v>
      </c>
      <c r="B439" s="21" t="s">
        <v>486</v>
      </c>
      <c r="C439" s="23" t="s">
        <v>1484</v>
      </c>
      <c r="D439" s="22" t="s">
        <v>21</v>
      </c>
      <c r="E439" s="22" t="s">
        <v>22</v>
      </c>
      <c r="F439" s="22" t="s">
        <v>42</v>
      </c>
      <c r="G439" s="22"/>
      <c r="H439" s="21"/>
      <c r="I439" s="22" t="s">
        <v>23</v>
      </c>
      <c r="J439" s="22" t="s">
        <v>1230</v>
      </c>
      <c r="K439" s="22" t="s">
        <v>24</v>
      </c>
      <c r="L439" s="2" t="str">
        <f t="shared" si="6"/>
        <v>insert into CHB_DATACHECK_RULE (CHECKRULEID,DATATYPE,CHECKCLASS,CHECKMETHOD,SRCPROPERTY,COMPARETO,OBJVALUE,REMARK,STATUS,NULLABLE) values ('W84807E5-DF95-D920-E050-107F010077FD','CHB_ASSET_INFO','com.joyintech.tams.common.svreport.datacheck.service.BaseCheckLib','isNotEmpty','TRU_FEE_RATE','','','托管费率%要素不可为空','E','N');</v>
      </c>
    </row>
    <row r="440" spans="1:12" x14ac:dyDescent="0.15">
      <c r="A440" s="9">
        <v>437</v>
      </c>
      <c r="B440" s="21" t="s">
        <v>487</v>
      </c>
      <c r="C440" s="23" t="s">
        <v>1484</v>
      </c>
      <c r="D440" s="22" t="s">
        <v>21</v>
      </c>
      <c r="E440" s="22" t="s">
        <v>22</v>
      </c>
      <c r="F440" s="22" t="s">
        <v>42</v>
      </c>
      <c r="G440" s="22"/>
      <c r="H440" s="21"/>
      <c r="I440" s="22" t="s">
        <v>23</v>
      </c>
      <c r="J440" s="22" t="s">
        <v>1230</v>
      </c>
      <c r="K440" s="22" t="s">
        <v>24</v>
      </c>
      <c r="L440" s="2" t="str">
        <f t="shared" si="6"/>
        <v>insert into CHB_DATACHECK_RULE (CHECKRULEID,DATATYPE,CHECKCLASS,CHECKMETHOD,SRCPROPERTY,COMPARETO,OBJVALUE,REMARK,STATUS,NULLABLE) values ('W84807E5-DF95-D920-E050-107F710077FD','CHB_ASSET_INFO','com.joyintech.tams.common.svreport.datacheck.service.BaseCheckLib','isNotEmpty','TRU_FEE_RATE','','','托管费率%要素不可为空','E','N');</v>
      </c>
    </row>
    <row r="441" spans="1:12" x14ac:dyDescent="0.15">
      <c r="A441" s="17">
        <v>438</v>
      </c>
      <c r="B441" s="21" t="s">
        <v>488</v>
      </c>
      <c r="C441" s="23" t="s">
        <v>1484</v>
      </c>
      <c r="D441" s="22" t="s">
        <v>21</v>
      </c>
      <c r="E441" s="22" t="s">
        <v>34</v>
      </c>
      <c r="F441" s="22" t="s">
        <v>42</v>
      </c>
      <c r="G441" s="22" t="s">
        <v>35</v>
      </c>
      <c r="H441" s="21" t="s">
        <v>26</v>
      </c>
      <c r="I441" s="22" t="s">
        <v>27</v>
      </c>
      <c r="J441" s="22" t="s">
        <v>61</v>
      </c>
      <c r="K441" s="22" t="s">
        <v>24</v>
      </c>
      <c r="L441" s="2" t="str">
        <f t="shared" si="6"/>
        <v>insert into CHB_DATACHECK_RULE (CHECKRULEID,DATATYPE,CHECKCLASS,CHECKMETHOD,SRCPROPERTY,COMPARETO,OBJVALUE,REMARK,STATUS,NULLABLE) values ('W84807E5-DF96-D920-E050-007F010077FD','CHB_ASSET_INFO','com.joyintech.tams.common.svreport.datacheck.service.BaseCheckLib','compareValueAsNumber','TRU_FEE_RATE','&gt;=','0','托管费率%必须大于等于0。','E','Y');</v>
      </c>
    </row>
    <row r="442" spans="1:12" x14ac:dyDescent="0.15">
      <c r="A442" s="9">
        <v>439</v>
      </c>
      <c r="B442" s="21" t="s">
        <v>489</v>
      </c>
      <c r="C442" s="23" t="s">
        <v>1484</v>
      </c>
      <c r="D442" s="22" t="s">
        <v>21</v>
      </c>
      <c r="E442" s="22" t="s">
        <v>32</v>
      </c>
      <c r="F442" s="22" t="s">
        <v>1231</v>
      </c>
      <c r="G442" s="22"/>
      <c r="H442" s="21" t="s">
        <v>33</v>
      </c>
      <c r="I442" s="22" t="s">
        <v>27</v>
      </c>
      <c r="J442" s="22" t="s">
        <v>1232</v>
      </c>
      <c r="K442" s="22" t="s">
        <v>24</v>
      </c>
      <c r="L442" s="2" t="str">
        <f t="shared" si="6"/>
        <v>insert into CHB_DATACHECK_RULE (CHECKRULEID,DATATYPE,CHECKCLASS,CHECKMETHOD,SRCPROPERTY,COMPARETO,OBJVALUE,REMARK,STATUS,NULLABLE) values ('W84807E5-DF97-D920-E050-007F010077FD','CHB_ASSET_INFO','com.joyintech.tams.common.svreport.datacheck.service.BaseCheckLib','isNumber2','TRADE_FEE_RATE','','8,5','交易相关合计费率%以百分数形式表示时必须为n（8,5）格式','E','Y');</v>
      </c>
    </row>
    <row r="443" spans="1:12" x14ac:dyDescent="0.15">
      <c r="A443" s="17">
        <v>440</v>
      </c>
      <c r="B443" s="21" t="s">
        <v>490</v>
      </c>
      <c r="C443" s="23" t="s">
        <v>1484</v>
      </c>
      <c r="D443" s="22" t="s">
        <v>21</v>
      </c>
      <c r="E443" s="22" t="s">
        <v>32</v>
      </c>
      <c r="F443" s="22" t="s">
        <v>1231</v>
      </c>
      <c r="G443" s="22"/>
      <c r="H443" s="21" t="s">
        <v>33</v>
      </c>
      <c r="I443" s="22" t="s">
        <v>27</v>
      </c>
      <c r="J443" s="22" t="s">
        <v>1232</v>
      </c>
      <c r="K443" s="22" t="s">
        <v>24</v>
      </c>
      <c r="L443" s="2" t="str">
        <f t="shared" si="6"/>
        <v>insert into CHB_DATACHECK_RULE (CHECKRULEID,DATATYPE,CHECKCLASS,CHECKMETHOD,SRCPROPERTY,COMPARETO,OBJVALUE,REMARK,STATUS,NULLABLE) values ('W84807E5-DF97-D920-E050-007F910077FD','CHB_ASSET_INFO','com.joyintech.tams.common.svreport.datacheck.service.BaseCheckLib','isNumber2','TRADE_FEE_RATE','','8,5','交易相关合计费率%以百分数形式表示时必须为n（8,5）格式','E','Y');</v>
      </c>
    </row>
    <row r="444" spans="1:12" x14ac:dyDescent="0.15">
      <c r="A444" s="9">
        <v>441</v>
      </c>
      <c r="B444" s="21" t="s">
        <v>491</v>
      </c>
      <c r="C444" s="23" t="s">
        <v>1484</v>
      </c>
      <c r="D444" s="22" t="s">
        <v>21</v>
      </c>
      <c r="E444" s="22" t="s">
        <v>22</v>
      </c>
      <c r="F444" s="22" t="s">
        <v>1231</v>
      </c>
      <c r="G444" s="22"/>
      <c r="H444" s="21"/>
      <c r="I444" s="22" t="s">
        <v>23</v>
      </c>
      <c r="J444" s="22" t="s">
        <v>1233</v>
      </c>
      <c r="K444" s="22" t="s">
        <v>24</v>
      </c>
      <c r="L444" s="2" t="str">
        <f t="shared" si="6"/>
        <v>insert into CHB_DATACHECK_RULE (CHECKRULEID,DATATYPE,CHECKCLASS,CHECKMETHOD,SRCPROPERTY,COMPARETO,OBJVALUE,REMARK,STATUS,NULLABLE) values ('W84807E5-DF97-D920-E050-107F010077FD','CHB_ASSET_INFO','com.joyintech.tams.common.svreport.datacheck.service.BaseCheckLib','isNotEmpty','TRADE_FEE_RATE','','','交易相关合计费率%要素不可为空','E','N');</v>
      </c>
    </row>
    <row r="445" spans="1:12" x14ac:dyDescent="0.15">
      <c r="A445" s="17">
        <v>442</v>
      </c>
      <c r="B445" s="21" t="s">
        <v>492</v>
      </c>
      <c r="C445" s="23" t="s">
        <v>1484</v>
      </c>
      <c r="D445" s="22" t="s">
        <v>21</v>
      </c>
      <c r="E445" s="22" t="s">
        <v>22</v>
      </c>
      <c r="F445" s="22" t="s">
        <v>1231</v>
      </c>
      <c r="G445" s="22"/>
      <c r="H445" s="21"/>
      <c r="I445" s="22" t="s">
        <v>23</v>
      </c>
      <c r="J445" s="22" t="s">
        <v>1233</v>
      </c>
      <c r="K445" s="22" t="s">
        <v>24</v>
      </c>
      <c r="L445" s="2" t="str">
        <f t="shared" si="6"/>
        <v>insert into CHB_DATACHECK_RULE (CHECKRULEID,DATATYPE,CHECKCLASS,CHECKMETHOD,SRCPROPERTY,COMPARETO,OBJVALUE,REMARK,STATUS,NULLABLE) values ('W84807E5-DF97-D920-E050-107F910077FD','CHB_ASSET_INFO','com.joyintech.tams.common.svreport.datacheck.service.BaseCheckLib','isNotEmpty','TRADE_FEE_RATE','','','交易相关合计费率%要素不可为空','E','N');</v>
      </c>
    </row>
    <row r="446" spans="1:12" x14ac:dyDescent="0.15">
      <c r="A446" s="9">
        <v>443</v>
      </c>
      <c r="B446" s="21" t="s">
        <v>493</v>
      </c>
      <c r="C446" s="23" t="s">
        <v>1484</v>
      </c>
      <c r="D446" s="22" t="s">
        <v>21</v>
      </c>
      <c r="E446" s="22" t="s">
        <v>34</v>
      </c>
      <c r="F446" s="22" t="s">
        <v>1231</v>
      </c>
      <c r="G446" s="22" t="s">
        <v>35</v>
      </c>
      <c r="H446" s="21" t="s">
        <v>26</v>
      </c>
      <c r="I446" s="22" t="s">
        <v>27</v>
      </c>
      <c r="J446" s="22" t="s">
        <v>1234</v>
      </c>
      <c r="K446" s="22" t="s">
        <v>24</v>
      </c>
      <c r="L446" s="2" t="str">
        <f t="shared" si="6"/>
        <v>insert into CHB_DATACHECK_RULE (CHECKRULEID,DATATYPE,CHECKCLASS,CHECKMETHOD,SRCPROPERTY,COMPARETO,OBJVALUE,REMARK,STATUS,NULLABLE) values ('W84807E5-DF98-D920-E050-007F010077FD','CHB_ASSET_INFO','com.joyintech.tams.common.svreport.datacheck.service.BaseCheckLib','compareValueAsNumber','TRADE_FEE_RATE','&gt;=','0','交易相关合计费率%必须大于等于0','E','Y');</v>
      </c>
    </row>
    <row r="447" spans="1:12" x14ac:dyDescent="0.15">
      <c r="A447" s="17">
        <v>444</v>
      </c>
      <c r="B447" s="21" t="s">
        <v>494</v>
      </c>
      <c r="C447" s="23" t="s">
        <v>1484</v>
      </c>
      <c r="D447" s="22" t="s">
        <v>21</v>
      </c>
      <c r="E447" s="22" t="s">
        <v>32</v>
      </c>
      <c r="F447" s="22" t="s">
        <v>1235</v>
      </c>
      <c r="G447" s="22" t="s">
        <v>35</v>
      </c>
      <c r="H447" s="21" t="s">
        <v>33</v>
      </c>
      <c r="I447" s="22" t="s">
        <v>27</v>
      </c>
      <c r="J447" s="22" t="s">
        <v>1236</v>
      </c>
      <c r="K447" s="22" t="s">
        <v>24</v>
      </c>
      <c r="L447" s="2" t="str">
        <f t="shared" si="6"/>
        <v>insert into CHB_DATACHECK_RULE (CHECKRULEID,DATATYPE,CHECKCLASS,CHECKMETHOD,SRCPROPERTY,COMPARETO,OBJVALUE,REMARK,STATUS,NULLABLE) values ('W84807E5-DF99-D920-E050-007F010077FD','CHB_ASSET_INFO','com.joyintech.tams.common.svreport.datacheck.service.BaseCheckLib','isNumber2','AGENCY_FEE_RATE','&gt;=','8,5','中介服务机构合计费率%以百分数形式表示时必须为n（8,5）格式','E','Y');</v>
      </c>
    </row>
    <row r="448" spans="1:12" x14ac:dyDescent="0.15">
      <c r="A448" s="9">
        <v>445</v>
      </c>
      <c r="B448" s="21" t="s">
        <v>495</v>
      </c>
      <c r="C448" s="23" t="s">
        <v>1484</v>
      </c>
      <c r="D448" s="22" t="s">
        <v>21</v>
      </c>
      <c r="E448" s="22" t="s">
        <v>32</v>
      </c>
      <c r="F448" s="22" t="s">
        <v>1235</v>
      </c>
      <c r="G448" s="22" t="s">
        <v>35</v>
      </c>
      <c r="H448" s="21" t="s">
        <v>33</v>
      </c>
      <c r="I448" s="22" t="s">
        <v>27</v>
      </c>
      <c r="J448" s="22" t="s">
        <v>1236</v>
      </c>
      <c r="K448" s="22" t="s">
        <v>24</v>
      </c>
      <c r="L448" s="2" t="str">
        <f t="shared" si="6"/>
        <v>insert into CHB_DATACHECK_RULE (CHECKRULEID,DATATYPE,CHECKCLASS,CHECKMETHOD,SRCPROPERTY,COMPARETO,OBJVALUE,REMARK,STATUS,NULLABLE) values ('W84807E5-DF99-D920-E050-007FX10077FD','CHB_ASSET_INFO','com.joyintech.tams.common.svreport.datacheck.service.BaseCheckLib','isNumber2','AGENCY_FEE_RATE','&gt;=','8,5','中介服务机构合计费率%以百分数形式表示时必须为n（8,5）格式','E','Y');</v>
      </c>
    </row>
    <row r="449" spans="1:12" x14ac:dyDescent="0.15">
      <c r="A449" s="17">
        <v>446</v>
      </c>
      <c r="B449" s="21" t="s">
        <v>496</v>
      </c>
      <c r="C449" s="23" t="s">
        <v>1484</v>
      </c>
      <c r="D449" s="22" t="s">
        <v>21</v>
      </c>
      <c r="E449" s="22" t="s">
        <v>22</v>
      </c>
      <c r="F449" s="22" t="s">
        <v>1235</v>
      </c>
      <c r="G449" s="22"/>
      <c r="H449" s="21"/>
      <c r="I449" s="22" t="s">
        <v>23</v>
      </c>
      <c r="J449" s="22" t="s">
        <v>1237</v>
      </c>
      <c r="K449" s="22" t="s">
        <v>24</v>
      </c>
      <c r="L449" s="2" t="str">
        <f t="shared" si="6"/>
        <v>insert into CHB_DATACHECK_RULE (CHECKRULEID,DATATYPE,CHECKCLASS,CHECKMETHOD,SRCPROPERTY,COMPARETO,OBJVALUE,REMARK,STATUS,NULLABLE) values ('W84807E5-DF99-D920-E050-107F010077FD','CHB_ASSET_INFO','com.joyintech.tams.common.svreport.datacheck.service.BaseCheckLib','isNotEmpty','AGENCY_FEE_RATE','','','中介服务机构合计费率%要素不可为空','E','N');</v>
      </c>
    </row>
    <row r="450" spans="1:12" x14ac:dyDescent="0.15">
      <c r="A450" s="9">
        <v>447</v>
      </c>
      <c r="B450" s="21" t="s">
        <v>497</v>
      </c>
      <c r="C450" s="23" t="s">
        <v>1484</v>
      </c>
      <c r="D450" s="22" t="s">
        <v>21</v>
      </c>
      <c r="E450" s="22" t="s">
        <v>22</v>
      </c>
      <c r="F450" s="22" t="s">
        <v>1235</v>
      </c>
      <c r="G450" s="22"/>
      <c r="H450" s="21"/>
      <c r="I450" s="22" t="s">
        <v>23</v>
      </c>
      <c r="J450" s="22" t="s">
        <v>1237</v>
      </c>
      <c r="K450" s="22" t="s">
        <v>24</v>
      </c>
      <c r="L450" s="2" t="str">
        <f t="shared" si="6"/>
        <v>insert into CHB_DATACHECK_RULE (CHECKRULEID,DATATYPE,CHECKCLASS,CHECKMETHOD,SRCPROPERTY,COMPARETO,OBJVALUE,REMARK,STATUS,NULLABLE) values ('W84807E5-DF99-D920-E050-107FX10077FD','CHB_ASSET_INFO','com.joyintech.tams.common.svreport.datacheck.service.BaseCheckLib','isNotEmpty','AGENCY_FEE_RATE','','','中介服务机构合计费率%要素不可为空','E','N');</v>
      </c>
    </row>
    <row r="451" spans="1:12" x14ac:dyDescent="0.15">
      <c r="A451" s="17">
        <v>448</v>
      </c>
      <c r="B451" s="21" t="s">
        <v>498</v>
      </c>
      <c r="C451" s="23" t="s">
        <v>1484</v>
      </c>
      <c r="D451" s="22" t="s">
        <v>21</v>
      </c>
      <c r="E451" s="22" t="s">
        <v>34</v>
      </c>
      <c r="F451" s="22" t="s">
        <v>1235</v>
      </c>
      <c r="G451" s="22" t="s">
        <v>35</v>
      </c>
      <c r="H451" s="21" t="s">
        <v>26</v>
      </c>
      <c r="I451" s="22" t="s">
        <v>27</v>
      </c>
      <c r="J451" s="22" t="s">
        <v>1238</v>
      </c>
      <c r="K451" s="22" t="s">
        <v>24</v>
      </c>
      <c r="L451" s="2" t="str">
        <f t="shared" si="6"/>
        <v>insert into CHB_DATACHECK_RULE (CHECKRULEID,DATATYPE,CHECKCLASS,CHECKMETHOD,SRCPROPERTY,COMPARETO,OBJVALUE,REMARK,STATUS,NULLABLE) values ('W84807E5-DF9A-D920-E050-007F010077FD','CHB_ASSET_INFO','com.joyintech.tams.common.svreport.datacheck.service.BaseCheckLib','compareValueAsNumber','AGENCY_FEE_RATE','&gt;=','0','中介服务机构合计费率%必须大于等于0。','E','Y');</v>
      </c>
    </row>
    <row r="452" spans="1:12" x14ac:dyDescent="0.15">
      <c r="A452" s="9">
        <v>449</v>
      </c>
      <c r="B452" s="21" t="s">
        <v>499</v>
      </c>
      <c r="C452" s="23" t="s">
        <v>1484</v>
      </c>
      <c r="D452" s="22" t="s">
        <v>21</v>
      </c>
      <c r="E452" s="22" t="s">
        <v>32</v>
      </c>
      <c r="F452" s="22" t="s">
        <v>1239</v>
      </c>
      <c r="G452" s="22" t="s">
        <v>35</v>
      </c>
      <c r="H452" s="21" t="s">
        <v>33</v>
      </c>
      <c r="I452" s="22" t="s">
        <v>27</v>
      </c>
      <c r="J452" s="22" t="s">
        <v>1240</v>
      </c>
      <c r="K452" s="22" t="s">
        <v>24</v>
      </c>
      <c r="L452" s="2" t="str">
        <f t="shared" si="6"/>
        <v>insert into CHB_DATACHECK_RULE (CHECKRULEID,DATATYPE,CHECKCLASS,CHECKMETHOD,SRCPROPERTY,COMPARETO,OBJVALUE,REMARK,STATUS,NULLABLE) values ('W84807E5-DF9B-D920-E050-007F010077FD','CHB_ASSET_INFO','com.joyintech.tams.common.svreport.datacheck.service.BaseCheckLib','isNumber2','OTHER_FEE_RATE','&gt;=','8,5','其他合计费率%以百分数形式表示时必须为n（8,5）格式','E','Y');</v>
      </c>
    </row>
    <row r="453" spans="1:12" x14ac:dyDescent="0.15">
      <c r="A453" s="17">
        <v>450</v>
      </c>
      <c r="B453" s="21" t="s">
        <v>500</v>
      </c>
      <c r="C453" s="23" t="s">
        <v>1484</v>
      </c>
      <c r="D453" s="22" t="s">
        <v>21</v>
      </c>
      <c r="E453" s="22" t="s">
        <v>22</v>
      </c>
      <c r="F453" s="22" t="s">
        <v>1239</v>
      </c>
      <c r="G453" s="22"/>
      <c r="H453" s="21"/>
      <c r="I453" s="22" t="s">
        <v>23</v>
      </c>
      <c r="J453" s="22" t="s">
        <v>1241</v>
      </c>
      <c r="K453" s="22" t="s">
        <v>24</v>
      </c>
      <c r="L453" s="2" t="str">
        <f t="shared" ref="L453:L514" si="7">CONCATENATE("insert into CHB_DATACHECK_RULE (CHECKRULEID,DATATYPE,CHECKCLASS,CHECKMETHOD,SRCPROPERTY,COMPARETO,OBJVALUE,REMARK,STATUS,NULLABLE) values ('",B453,"','",C453,"','",D453,"','",E453,"','",F453,"','",G453,"','",H453,"','",J453,"','",K453,"','",I453,"');")</f>
        <v>insert into CHB_DATACHECK_RULE (CHECKRULEID,DATATYPE,CHECKCLASS,CHECKMETHOD,SRCPROPERTY,COMPARETO,OBJVALUE,REMARK,STATUS,NULLABLE) values ('W84807E5-DF9B-D920-E050-107F010077FD','CHB_ASSET_INFO','com.joyintech.tams.common.svreport.datacheck.service.BaseCheckLib','isNotEmpty','OTHER_FEE_RATE','','','其他合计费率%要素不可为空','E','N');</v>
      </c>
    </row>
    <row r="454" spans="1:12" x14ac:dyDescent="0.15">
      <c r="A454" s="9">
        <v>451</v>
      </c>
      <c r="B454" s="21" t="s">
        <v>501</v>
      </c>
      <c r="C454" s="23" t="s">
        <v>1484</v>
      </c>
      <c r="D454" s="22" t="s">
        <v>21</v>
      </c>
      <c r="E454" s="22" t="s">
        <v>32</v>
      </c>
      <c r="F454" s="22" t="s">
        <v>1239</v>
      </c>
      <c r="G454" s="22" t="s">
        <v>35</v>
      </c>
      <c r="H454" s="21" t="s">
        <v>33</v>
      </c>
      <c r="I454" s="22" t="s">
        <v>27</v>
      </c>
      <c r="J454" s="22" t="s">
        <v>1240</v>
      </c>
      <c r="K454" s="22" t="s">
        <v>24</v>
      </c>
      <c r="L454" s="2" t="str">
        <f t="shared" si="7"/>
        <v>insert into CHB_DATACHECK_RULE (CHECKRULEID,DATATYPE,CHECKCLASS,CHECKMETHOD,SRCPROPERTY,COMPARETO,OBJVALUE,REMARK,STATUS,NULLABLE) values ('W84807E5-DF9B-D922-E050-007F010077FD','CHB_ASSET_INFO','com.joyintech.tams.common.svreport.datacheck.service.BaseCheckLib','isNumber2','OTHER_FEE_RATE','&gt;=','8,5','其他合计费率%以百分数形式表示时必须为n（8,5）格式','E','Y');</v>
      </c>
    </row>
    <row r="455" spans="1:12" x14ac:dyDescent="0.15">
      <c r="A455" s="17">
        <v>452</v>
      </c>
      <c r="B455" s="21" t="s">
        <v>502</v>
      </c>
      <c r="C455" s="23" t="s">
        <v>1484</v>
      </c>
      <c r="D455" s="22" t="s">
        <v>21</v>
      </c>
      <c r="E455" s="22" t="s">
        <v>22</v>
      </c>
      <c r="F455" s="22" t="s">
        <v>1239</v>
      </c>
      <c r="G455" s="22"/>
      <c r="H455" s="21"/>
      <c r="I455" s="22" t="s">
        <v>23</v>
      </c>
      <c r="J455" s="22" t="s">
        <v>1241</v>
      </c>
      <c r="K455" s="22" t="s">
        <v>24</v>
      </c>
      <c r="L455" s="2" t="str">
        <f t="shared" si="7"/>
        <v>insert into CHB_DATACHECK_RULE (CHECKRULEID,DATATYPE,CHECKCLASS,CHECKMETHOD,SRCPROPERTY,COMPARETO,OBJVALUE,REMARK,STATUS,NULLABLE) values ('W84807E5-DF9B-D922-E050-107F010077FD','CHB_ASSET_INFO','com.joyintech.tams.common.svreport.datacheck.service.BaseCheckLib','isNotEmpty','OTHER_FEE_RATE','','','其他合计费率%要素不可为空','E','N');</v>
      </c>
    </row>
    <row r="456" spans="1:12" x14ac:dyDescent="0.15">
      <c r="A456" s="9">
        <v>453</v>
      </c>
      <c r="B456" s="21" t="s">
        <v>503</v>
      </c>
      <c r="C456" s="23" t="s">
        <v>1484</v>
      </c>
      <c r="D456" s="22" t="s">
        <v>21</v>
      </c>
      <c r="E456" s="22" t="s">
        <v>34</v>
      </c>
      <c r="F456" s="22" t="s">
        <v>1239</v>
      </c>
      <c r="G456" s="22" t="s">
        <v>35</v>
      </c>
      <c r="H456" s="21" t="s">
        <v>26</v>
      </c>
      <c r="I456" s="22" t="s">
        <v>27</v>
      </c>
      <c r="J456" s="22" t="s">
        <v>1242</v>
      </c>
      <c r="K456" s="22" t="s">
        <v>24</v>
      </c>
      <c r="L456" s="2" t="str">
        <f t="shared" si="7"/>
        <v>insert into CHB_DATACHECK_RULE (CHECKRULEID,DATATYPE,CHECKCLASS,CHECKMETHOD,SRCPROPERTY,COMPARETO,OBJVALUE,REMARK,STATUS,NULLABLE) values ('W84807E5-DF9C-D920-E050-007F010077FD','CHB_ASSET_INFO','com.joyintech.tams.common.svreport.datacheck.service.BaseCheckLib','compareValueAsNumber','OTHER_FEE_RATE','&gt;=','0','其他合计费率%必须大于等于0。','E','Y');</v>
      </c>
    </row>
    <row r="457" spans="1:12" x14ac:dyDescent="0.15">
      <c r="A457" s="17">
        <v>454</v>
      </c>
      <c r="B457" s="21" t="s">
        <v>504</v>
      </c>
      <c r="C457" s="23" t="s">
        <v>1484</v>
      </c>
      <c r="D457" s="22" t="s">
        <v>21</v>
      </c>
      <c r="E457" s="22" t="s">
        <v>22</v>
      </c>
      <c r="F457" s="22" t="s">
        <v>8</v>
      </c>
      <c r="G457" s="22"/>
      <c r="H457" s="21" t="s">
        <v>26</v>
      </c>
      <c r="I457" s="22" t="s">
        <v>23</v>
      </c>
      <c r="J457" s="22" t="s">
        <v>43</v>
      </c>
      <c r="K457" s="22" t="s">
        <v>24</v>
      </c>
      <c r="L457" s="2" t="str">
        <f t="shared" si="7"/>
        <v>insert into CHB_DATACHECK_RULE (CHECKRULEID,DATATYPE,CHECKCLASS,CHECKMETHOD,SRCPROPERTY,COMPARETO,OBJVALUE,REMARK,STATUS,NULLABLE) values ('W84807E5-DF9D-D920-E050-007F010077FD','CHB_ASSET_INFO','com.joyintech.tams.common.svreport.datacheck.service.BaseCheckLib','isNotEmpty','REMARK','','0','备注要素不可为空','E','N');</v>
      </c>
    </row>
    <row r="458" spans="1:12" x14ac:dyDescent="0.15">
      <c r="A458" s="9">
        <v>455</v>
      </c>
      <c r="B458" s="21" t="s">
        <v>505</v>
      </c>
      <c r="C458" s="23" t="s">
        <v>1484</v>
      </c>
      <c r="D458" s="22" t="s">
        <v>21</v>
      </c>
      <c r="E458" s="22" t="s">
        <v>22</v>
      </c>
      <c r="F458" s="22" t="s">
        <v>8</v>
      </c>
      <c r="G458" s="22"/>
      <c r="H458" s="21" t="s">
        <v>26</v>
      </c>
      <c r="I458" s="22" t="s">
        <v>23</v>
      </c>
      <c r="J458" s="22" t="s">
        <v>43</v>
      </c>
      <c r="K458" s="22" t="s">
        <v>24</v>
      </c>
      <c r="L458" s="2" t="str">
        <f t="shared" si="7"/>
        <v>insert into CHB_DATACHECK_RULE (CHECKRULEID,DATATYPE,CHECKCLASS,CHECKMETHOD,SRCPROPERTY,COMPARETO,OBJVALUE,REMARK,STATUS,NULLABLE) values ('W84807E5-DF9D-D920-E050-107F010077FD','CHB_ASSET_INFO','com.joyintech.tams.common.svreport.datacheck.service.BaseCheckLib','isNotEmpty','REMARK','','0','备注要素不可为空','E','N');</v>
      </c>
    </row>
    <row r="459" spans="1:12" x14ac:dyDescent="0.15">
      <c r="A459" s="17">
        <v>456</v>
      </c>
      <c r="B459" s="21" t="s">
        <v>506</v>
      </c>
      <c r="C459" s="23" t="s">
        <v>1484</v>
      </c>
      <c r="D459" s="22" t="s">
        <v>21</v>
      </c>
      <c r="E459" s="22" t="s">
        <v>22</v>
      </c>
      <c r="F459" s="22" t="s">
        <v>8</v>
      </c>
      <c r="G459" s="22"/>
      <c r="H459" s="21"/>
      <c r="I459" s="22" t="s">
        <v>23</v>
      </c>
      <c r="J459" s="22" t="s">
        <v>1243</v>
      </c>
      <c r="K459" s="22" t="s">
        <v>24</v>
      </c>
      <c r="L459" s="2" t="str">
        <f t="shared" si="7"/>
        <v>insert into CHB_DATACHECK_RULE (CHECKRULEID,DATATYPE,CHECKCLASS,CHECKMETHOD,SRCPROPERTY,COMPARETO,OBJVALUE,REMARK,STATUS,NULLABLE) values ('W84807E5-DF9E-D920-E050-007F010077FD','CHB_ASSET_INFO','com.joyintech.tams.common.svreport.datacheck.service.BaseCheckLib','isNotEmpty','REMARK','','','管理费率计算公式需要在备注中说明。','E','N');</v>
      </c>
    </row>
    <row r="460" spans="1:12" x14ac:dyDescent="0.15">
      <c r="A460" s="9">
        <v>457</v>
      </c>
      <c r="B460" s="21" t="s">
        <v>507</v>
      </c>
      <c r="C460" s="23" t="s">
        <v>1484</v>
      </c>
      <c r="D460" s="22" t="s">
        <v>21</v>
      </c>
      <c r="E460" s="22" t="s">
        <v>22</v>
      </c>
      <c r="F460" s="22" t="s">
        <v>8</v>
      </c>
      <c r="G460" s="22"/>
      <c r="H460" s="21"/>
      <c r="I460" s="22" t="s">
        <v>23</v>
      </c>
      <c r="J460" s="22" t="s">
        <v>1244</v>
      </c>
      <c r="K460" s="22" t="s">
        <v>24</v>
      </c>
      <c r="L460" s="2" t="str">
        <f t="shared" si="7"/>
        <v>insert into CHB_DATACHECK_RULE (CHECKRULEID,DATATYPE,CHECKCLASS,CHECKMETHOD,SRCPROPERTY,COMPARETO,OBJVALUE,REMARK,STATUS,NULLABLE) values ('W84807E5-DF9F-D920-E050-007F010077FD','CHB_ASSET_INFO','com.joyintech.tams.common.svreport.datacheck.service.BaseCheckLib','isNotEmpty','REMARK','','','托管费率计算公式需要在备注中说明。','E','N');</v>
      </c>
    </row>
    <row r="461" spans="1:12" x14ac:dyDescent="0.15">
      <c r="A461" s="17">
        <v>458</v>
      </c>
      <c r="B461" s="21" t="s">
        <v>508</v>
      </c>
      <c r="C461" s="23" t="s">
        <v>1484</v>
      </c>
      <c r="D461" s="22" t="s">
        <v>21</v>
      </c>
      <c r="E461" s="22" t="s">
        <v>22</v>
      </c>
      <c r="F461" s="22" t="s">
        <v>8</v>
      </c>
      <c r="G461" s="22"/>
      <c r="H461" s="21"/>
      <c r="I461" s="22" t="s">
        <v>23</v>
      </c>
      <c r="J461" s="22" t="s">
        <v>1245</v>
      </c>
      <c r="K461" s="22" t="s">
        <v>24</v>
      </c>
      <c r="L461" s="2" t="str">
        <f t="shared" si="7"/>
        <v>insert into CHB_DATACHECK_RULE (CHECKRULEID,DATATYPE,CHECKCLASS,CHECKMETHOD,SRCPROPERTY,COMPARETO,OBJVALUE,REMARK,STATUS,NULLABLE) values ('W84807E5-DFA0-D920-E050-007F010077FD','CHB_ASSET_INFO','com.joyintech.tams.common.svreport.datacheck.service.BaseCheckLib','isNotEmpty','REMARK','','','交易相关合计费率计算公式需要在备注中说明','E','N');</v>
      </c>
    </row>
    <row r="462" spans="1:12" x14ac:dyDescent="0.15">
      <c r="A462" s="9">
        <v>459</v>
      </c>
      <c r="B462" s="21" t="s">
        <v>509</v>
      </c>
      <c r="C462" s="23" t="s">
        <v>1484</v>
      </c>
      <c r="D462" s="22" t="s">
        <v>21</v>
      </c>
      <c r="E462" s="22" t="s">
        <v>22</v>
      </c>
      <c r="F462" s="22" t="s">
        <v>8</v>
      </c>
      <c r="G462" s="22"/>
      <c r="H462" s="21"/>
      <c r="I462" s="22" t="s">
        <v>23</v>
      </c>
      <c r="J462" s="22" t="s">
        <v>1246</v>
      </c>
      <c r="K462" s="22" t="s">
        <v>24</v>
      </c>
      <c r="L462" s="2" t="str">
        <f t="shared" si="7"/>
        <v>insert into CHB_DATACHECK_RULE (CHECKRULEID,DATATYPE,CHECKCLASS,CHECKMETHOD,SRCPROPERTY,COMPARETO,OBJVALUE,REMARK,STATUS,NULLABLE) values ('W84807E5-DFA1-D920-E050-007F010077FD','CHB_ASSET_INFO','com.joyintech.tams.common.svreport.datacheck.service.BaseCheckLib','isNotEmpty','REMARK','','','中介服务机构合计费率计算公式需要在备注中说明。','E','N');</v>
      </c>
    </row>
    <row r="463" spans="1:12" x14ac:dyDescent="0.15">
      <c r="A463" s="17">
        <v>460</v>
      </c>
      <c r="B463" s="21" t="s">
        <v>510</v>
      </c>
      <c r="C463" s="23" t="s">
        <v>1484</v>
      </c>
      <c r="D463" s="22" t="s">
        <v>21</v>
      </c>
      <c r="E463" s="22" t="s">
        <v>22</v>
      </c>
      <c r="F463" s="22" t="s">
        <v>8</v>
      </c>
      <c r="G463" s="22"/>
      <c r="H463" s="21"/>
      <c r="I463" s="22" t="s">
        <v>23</v>
      </c>
      <c r="J463" s="22" t="s">
        <v>1247</v>
      </c>
      <c r="K463" s="22" t="s">
        <v>24</v>
      </c>
      <c r="L463" s="2" t="str">
        <f t="shared" si="7"/>
        <v>insert into CHB_DATACHECK_RULE (CHECKRULEID,DATATYPE,CHECKCLASS,CHECKMETHOD,SRCPROPERTY,COMPARETO,OBJVALUE,REMARK,STATUS,NULLABLE) values ('W84807E5-DFA2-D920-E050-007F010077FD','CHB_ASSET_INFO','com.joyintech.tams.common.svreport.datacheck.service.BaseCheckLib','isNotEmpty','REMARK','','','其他合计费率计算公式需要在备注中说明。','E','N');</v>
      </c>
    </row>
    <row r="464" spans="1:12" x14ac:dyDescent="0.15">
      <c r="A464" s="9">
        <v>461</v>
      </c>
      <c r="B464" s="21" t="s">
        <v>511</v>
      </c>
      <c r="C464" s="23" t="s">
        <v>1484</v>
      </c>
      <c r="D464" s="22" t="s">
        <v>21</v>
      </c>
      <c r="E464" s="22" t="s">
        <v>22</v>
      </c>
      <c r="F464" s="22" t="s">
        <v>1248</v>
      </c>
      <c r="G464" s="22"/>
      <c r="H464" s="21"/>
      <c r="I464" s="22" t="s">
        <v>23</v>
      </c>
      <c r="J464" s="22" t="s">
        <v>1249</v>
      </c>
      <c r="K464" s="22" t="s">
        <v>24</v>
      </c>
      <c r="L464" s="2" t="str">
        <f t="shared" si="7"/>
        <v>insert into CHB_DATACHECK_RULE (CHECKRULEID,DATATYPE,CHECKCLASS,CHECKMETHOD,SRCPROPERTY,COMPARETO,OBJVALUE,REMARK,STATUS,NULLABLE) values ('W84807E5-DFA3-D920-E050-007F010077FD','CHB_ASSET_INFO','com.joyintech.tams.common.svreport.datacheck.service.BaseCheckLib','isNotEmpty','IS_RIGHT','','','是否为收/受益权要素不可为空。','E','N');</v>
      </c>
    </row>
    <row r="465" spans="1:12" x14ac:dyDescent="0.15">
      <c r="A465" s="17">
        <v>462</v>
      </c>
      <c r="B465" s="21" t="s">
        <v>512</v>
      </c>
      <c r="C465" s="23" t="s">
        <v>1484</v>
      </c>
      <c r="D465" s="22" t="s">
        <v>21</v>
      </c>
      <c r="E465" s="22" t="s">
        <v>30</v>
      </c>
      <c r="F465" s="22" t="s">
        <v>1248</v>
      </c>
      <c r="G465" s="22"/>
      <c r="H465" s="21" t="s">
        <v>814</v>
      </c>
      <c r="I465" s="22" t="s">
        <v>27</v>
      </c>
      <c r="J465" s="22" t="s">
        <v>1250</v>
      </c>
      <c r="K465" s="22" t="s">
        <v>24</v>
      </c>
      <c r="L465" s="2" t="str">
        <f t="shared" si="7"/>
        <v>insert into CHB_DATACHECK_RULE (CHECKRULEID,DATATYPE,CHECKCLASS,CHECKMETHOD,SRCPROPERTY,COMPARETO,OBJVALUE,REMARK,STATUS,NULLABLE) values ('W84807E5-DFA3-D920-E050-107F010077FD','CHB_ASSET_INFO','com.joyintech.tams.common.svreport.datacheck.service.BaseCheckLib','inDatadict','IS_RIGHT','','SVR_YES_OR_NO','是否为收/受益权不在值域范围内。','E','Y');</v>
      </c>
    </row>
    <row r="466" spans="1:12" x14ac:dyDescent="0.15">
      <c r="A466" s="9">
        <v>463</v>
      </c>
      <c r="B466" s="21" t="s">
        <v>513</v>
      </c>
      <c r="C466" s="23" t="s">
        <v>1484</v>
      </c>
      <c r="D466" s="22" t="s">
        <v>21</v>
      </c>
      <c r="E466" s="22" t="s">
        <v>30</v>
      </c>
      <c r="F466" s="22" t="s">
        <v>1117</v>
      </c>
      <c r="G466" s="22"/>
      <c r="H466" s="21" t="s">
        <v>814</v>
      </c>
      <c r="I466" s="22" t="s">
        <v>23</v>
      </c>
      <c r="J466" s="22" t="s">
        <v>1118</v>
      </c>
      <c r="K466" s="22" t="s">
        <v>24</v>
      </c>
      <c r="L466" s="2" t="str">
        <f t="shared" si="7"/>
        <v>insert into CHB_DATACHECK_RULE (CHECKRULEID,DATATYPE,CHECKCLASS,CHECKMETHOD,SRCPROPERTY,COMPARETO,OBJVALUE,REMARK,STATUS,NULLABLE) values ('W84807E5-DFA4-D920-E050-007F010077FD','CHB_ASSET_INFO','com.joyintech.tams.common.svreport.datacheck.service.BaseCheckLib','inDatadict','IS_RESALE','','SVR_YES_OR_NO','是否属于买入返售要素不可为空，且必须在值域范围内。','E','N');</v>
      </c>
    </row>
    <row r="467" spans="1:12" x14ac:dyDescent="0.15">
      <c r="A467" s="17">
        <v>464</v>
      </c>
      <c r="B467" s="21" t="s">
        <v>514</v>
      </c>
      <c r="C467" s="23" t="s">
        <v>1484</v>
      </c>
      <c r="D467" s="22" t="s">
        <v>21</v>
      </c>
      <c r="E467" s="22" t="s">
        <v>22</v>
      </c>
      <c r="F467" s="22" t="s">
        <v>1251</v>
      </c>
      <c r="G467" s="22"/>
      <c r="H467" s="21"/>
      <c r="I467" s="22" t="s">
        <v>23</v>
      </c>
      <c r="J467" s="22" t="s">
        <v>1252</v>
      </c>
      <c r="K467" s="22" t="s">
        <v>24</v>
      </c>
      <c r="L467" s="2" t="str">
        <f t="shared" si="7"/>
        <v>insert into CHB_DATACHECK_RULE (CHECKRULEID,DATATYPE,CHECKCLASS,CHECKMETHOD,SRCPROPERTY,COMPARETO,OBJVALUE,REMARK,STATUS,NULLABLE) values ('W84807E5-DFA5-D920-E050-007F010077FD','CHB_ASSET_INFO','com.joyintech.tams.common.svreport.datacheck.service.BaseCheckLib','isNotEmpty','NOTSTAND_SEC_TYPE','','','类型要素不可为空。','E','N');</v>
      </c>
    </row>
    <row r="468" spans="1:12" x14ac:dyDescent="0.15">
      <c r="A468" s="9">
        <v>465</v>
      </c>
      <c r="B468" s="21" t="s">
        <v>515</v>
      </c>
      <c r="C468" s="23" t="s">
        <v>1484</v>
      </c>
      <c r="D468" s="22" t="s">
        <v>21</v>
      </c>
      <c r="E468" s="22" t="s">
        <v>30</v>
      </c>
      <c r="F468" s="22" t="s">
        <v>1251</v>
      </c>
      <c r="G468" s="22" t="s">
        <v>25</v>
      </c>
      <c r="H468" s="21" t="s">
        <v>1253</v>
      </c>
      <c r="I468" s="22" t="s">
        <v>27</v>
      </c>
      <c r="J468" s="22" t="s">
        <v>1254</v>
      </c>
      <c r="K468" s="22" t="s">
        <v>24</v>
      </c>
      <c r="L468" s="2" t="str">
        <f t="shared" si="7"/>
        <v>insert into CHB_DATACHECK_RULE (CHECKRULEID,DATATYPE,CHECKCLASS,CHECKMETHOD,SRCPROPERTY,COMPARETO,OBJVALUE,REMARK,STATUS,NULLABLE) values ('W84807E5-DFA5-D920-E050-107F010077FD','CHB_ASSET_INFO','com.joyintech.tams.common.svreport.datacheck.service.BaseCheckLib','inDatadict','NOTSTAND_SEC_TYPE','==','SVR_ASSET_TYPE_BILL_LETTERCREDIT','类型不在值域范围内。','E','Y');</v>
      </c>
    </row>
    <row r="469" spans="1:12" x14ac:dyDescent="0.15">
      <c r="A469" s="17">
        <v>466</v>
      </c>
      <c r="B469" s="21" t="s">
        <v>516</v>
      </c>
      <c r="C469" s="23" t="s">
        <v>1484</v>
      </c>
      <c r="D469" s="22" t="s">
        <v>21</v>
      </c>
      <c r="E469" s="22" t="s">
        <v>40</v>
      </c>
      <c r="F469" s="22" t="s">
        <v>1251</v>
      </c>
      <c r="G469" s="22" t="s">
        <v>25</v>
      </c>
      <c r="H469" s="21" t="s">
        <v>2342</v>
      </c>
      <c r="I469" s="22" t="s">
        <v>27</v>
      </c>
      <c r="J469" s="22" t="s">
        <v>1255</v>
      </c>
      <c r="K469" s="22" t="s">
        <v>24</v>
      </c>
      <c r="L469" s="2" t="str">
        <f t="shared" si="7"/>
        <v>insert into CHB_DATACHECK_RULE (CHECKRULEID,DATATYPE,CHECKCLASS,CHECKMETHOD,SRCPROPERTY,COMPARETO,OBJVALUE,REMARK,STATUS,NULLABLE) values ('W84807E5-DFA6-D920-E050-007F010077FD','CHB_ASSET_INFO','com.joyintech.tams.common.svreport.datacheck.service.BaseCheckLib','compareValue','NOTSTAND_SEC_TYPE','==','05','类型只能填写信用证。','E','Y');</v>
      </c>
    </row>
    <row r="470" spans="1:12" x14ac:dyDescent="0.15">
      <c r="A470" s="9">
        <v>467</v>
      </c>
      <c r="B470" s="21" t="s">
        <v>517</v>
      </c>
      <c r="C470" s="23" t="s">
        <v>1484</v>
      </c>
      <c r="D470" s="22" t="s">
        <v>21</v>
      </c>
      <c r="E470" s="22" t="s">
        <v>40</v>
      </c>
      <c r="F470" s="22" t="s">
        <v>1251</v>
      </c>
      <c r="G470" s="22" t="s">
        <v>41</v>
      </c>
      <c r="H470" s="21" t="s">
        <v>2342</v>
      </c>
      <c r="I470" s="22" t="s">
        <v>27</v>
      </c>
      <c r="J470" s="22" t="s">
        <v>1256</v>
      </c>
      <c r="K470" s="22" t="s">
        <v>24</v>
      </c>
      <c r="L470" s="2" t="str">
        <f t="shared" si="7"/>
        <v>insert into CHB_DATACHECK_RULE (CHECKRULEID,DATATYPE,CHECKCLASS,CHECKMETHOD,SRCPROPERTY,COMPARETO,OBJVALUE,REMARK,STATUS,NULLABLE) values ('W84807E5-DFA7-D920-E050-007F010077FD','CHB_ASSET_INFO','com.joyintech.tams.common.svreport.datacheck.service.BaseCheckLib','compareValue','NOTSTAND_SEC_TYPE','!=','05','类型不能填写信用证。','E','Y');</v>
      </c>
    </row>
    <row r="471" spans="1:12" x14ac:dyDescent="0.15">
      <c r="A471" s="17">
        <v>468</v>
      </c>
      <c r="B471" s="21" t="s">
        <v>518</v>
      </c>
      <c r="C471" s="23" t="s">
        <v>1484</v>
      </c>
      <c r="D471" s="22" t="s">
        <v>21</v>
      </c>
      <c r="E471" s="22" t="s">
        <v>28</v>
      </c>
      <c r="F471" s="22" t="s">
        <v>1257</v>
      </c>
      <c r="G471" s="22" t="s">
        <v>25</v>
      </c>
      <c r="H471" s="21" t="s">
        <v>44</v>
      </c>
      <c r="I471" s="22" t="s">
        <v>23</v>
      </c>
      <c r="J471" s="22" t="s">
        <v>1258</v>
      </c>
      <c r="K471" s="22" t="s">
        <v>24</v>
      </c>
      <c r="L471" s="2" t="str">
        <f t="shared" si="7"/>
        <v>insert into CHB_DATACHECK_RULE (CHECKRULEID,DATATYPE,CHECKCLASS,CHECKMETHOD,SRCPROPERTY,COMPARETO,OBJVALUE,REMARK,STATUS,NULLABLE) values ('W84807E5-DFA8-D920-E050-007F010077FD','CHB_ASSET_INFO','com.joyintech.tams.common.svreport.datacheck.service.BaseCheckLib','isNumber','NOTSTAND_SEC_NUM','==','6,0','数量要素不可为空且为n..6格式','E','N');</v>
      </c>
    </row>
    <row r="472" spans="1:12" x14ac:dyDescent="0.15">
      <c r="A472" s="9">
        <v>469</v>
      </c>
      <c r="B472" s="21" t="s">
        <v>519</v>
      </c>
      <c r="C472" s="23" t="s">
        <v>1484</v>
      </c>
      <c r="D472" s="22" t="s">
        <v>21</v>
      </c>
      <c r="E472" s="22" t="s">
        <v>34</v>
      </c>
      <c r="F472" s="22" t="s">
        <v>1257</v>
      </c>
      <c r="G472" s="22" t="s">
        <v>35</v>
      </c>
      <c r="H472" s="21" t="s">
        <v>26</v>
      </c>
      <c r="I472" s="22" t="s">
        <v>27</v>
      </c>
      <c r="J472" s="22" t="s">
        <v>1259</v>
      </c>
      <c r="K472" s="22" t="s">
        <v>24</v>
      </c>
      <c r="L472" s="2" t="str">
        <f t="shared" si="7"/>
        <v>insert into CHB_DATACHECK_RULE (CHECKRULEID,DATATYPE,CHECKCLASS,CHECKMETHOD,SRCPROPERTY,COMPARETO,OBJVALUE,REMARK,STATUS,NULLABLE) values ('W84807E5-DFA9-D920-E050-007F010077FD','CHB_ASSET_INFO','com.joyintech.tams.common.svreport.datacheck.service.BaseCheckLib','compareValueAsNumber','NOTSTAND_SEC_NUM','&gt;=','0','数量必须大于等于0','E','Y');</v>
      </c>
    </row>
    <row r="473" spans="1:12" x14ac:dyDescent="0.15">
      <c r="A473" s="17">
        <v>470</v>
      </c>
      <c r="B473" s="21" t="s">
        <v>520</v>
      </c>
      <c r="C473" s="23" t="s">
        <v>1484</v>
      </c>
      <c r="D473" s="22" t="s">
        <v>21</v>
      </c>
      <c r="E473" s="22" t="s">
        <v>22</v>
      </c>
      <c r="F473" s="22" t="s">
        <v>763</v>
      </c>
      <c r="G473" s="22"/>
      <c r="H473" s="21"/>
      <c r="I473" s="22" t="s">
        <v>23</v>
      </c>
      <c r="J473" s="22" t="s">
        <v>1260</v>
      </c>
      <c r="K473" s="22" t="s">
        <v>24</v>
      </c>
      <c r="L473" s="2" t="str">
        <f t="shared" si="7"/>
        <v>insert into CHB_DATACHECK_RULE (CHECKRULEID,DATATYPE,CHECKCLASS,CHECKMETHOD,SRCPROPERTY,COMPARETO,OBJVALUE,REMARK,STATUS,NULLABLE) values ('W84807E5-DFAA-D920-E050-007F010077FD','CHB_ASSET_INFO','com.joyintech.tams.common.svreport.datacheck.service.BaseCheckLib','isNotEmpty','AMT','','','合计金额要素不可为空','E','N');</v>
      </c>
    </row>
    <row r="474" spans="1:12" x14ac:dyDescent="0.15">
      <c r="A474" s="9">
        <v>471</v>
      </c>
      <c r="B474" s="21" t="s">
        <v>521</v>
      </c>
      <c r="C474" s="23" t="s">
        <v>1484</v>
      </c>
      <c r="D474" s="22" t="s">
        <v>21</v>
      </c>
      <c r="E474" s="22" t="s">
        <v>32</v>
      </c>
      <c r="F474" s="22" t="s">
        <v>763</v>
      </c>
      <c r="G474" s="22"/>
      <c r="H474" s="21" t="s">
        <v>36</v>
      </c>
      <c r="I474" s="22" t="s">
        <v>27</v>
      </c>
      <c r="J474" s="22" t="s">
        <v>1261</v>
      </c>
      <c r="K474" s="22" t="s">
        <v>24</v>
      </c>
      <c r="L474" s="2" t="str">
        <f t="shared" si="7"/>
        <v>insert into CHB_DATACHECK_RULE (CHECKRULEID,DATATYPE,CHECKCLASS,CHECKMETHOD,SRCPROPERTY,COMPARETO,OBJVALUE,REMARK,STATUS,NULLABLE) values ('W84807E5-DFAA-D920-E050-107F010077FD','CHB_ASSET_INFO','com.joyintech.tams.common.svreport.datacheck.service.BaseCheckLib','isNumber2','AMT','','15,2','合计金额必须为n（15,2）格式','E','Y');</v>
      </c>
    </row>
    <row r="475" spans="1:12" x14ac:dyDescent="0.15">
      <c r="A475" s="17">
        <v>472</v>
      </c>
      <c r="B475" s="21" t="s">
        <v>522</v>
      </c>
      <c r="C475" s="23" t="s">
        <v>1484</v>
      </c>
      <c r="D475" s="22" t="s">
        <v>21</v>
      </c>
      <c r="E475" s="22" t="s">
        <v>34</v>
      </c>
      <c r="F475" s="22" t="s">
        <v>763</v>
      </c>
      <c r="G475" s="22" t="s">
        <v>35</v>
      </c>
      <c r="H475" s="21" t="s">
        <v>26</v>
      </c>
      <c r="I475" s="22" t="s">
        <v>27</v>
      </c>
      <c r="J475" s="22" t="s">
        <v>1031</v>
      </c>
      <c r="K475" s="22" t="s">
        <v>24</v>
      </c>
      <c r="L475" s="2" t="str">
        <f t="shared" si="7"/>
        <v>insert into CHB_DATACHECK_RULE (CHECKRULEID,DATATYPE,CHECKCLASS,CHECKMETHOD,SRCPROPERTY,COMPARETO,OBJVALUE,REMARK,STATUS,NULLABLE) values ('W84807E5-DFAB-D920-E050-007F010077FD','CHB_ASSET_INFO','com.joyintech.tams.common.svreport.datacheck.service.BaseCheckLib','compareValueAsNumber','AMT','&gt;=','0','金额必须大于等于0','E','Y');</v>
      </c>
    </row>
    <row r="476" spans="1:12" x14ac:dyDescent="0.15">
      <c r="A476" s="9">
        <v>473</v>
      </c>
      <c r="B476" s="21" t="s">
        <v>523</v>
      </c>
      <c r="C476" s="23" t="s">
        <v>1484</v>
      </c>
      <c r="D476" s="22" t="s">
        <v>21</v>
      </c>
      <c r="E476" s="22" t="s">
        <v>32</v>
      </c>
      <c r="F476" s="22" t="s">
        <v>1262</v>
      </c>
      <c r="G476" s="22"/>
      <c r="H476" s="21" t="s">
        <v>1263</v>
      </c>
      <c r="I476" s="22" t="s">
        <v>23</v>
      </c>
      <c r="J476" s="22" t="s">
        <v>1264</v>
      </c>
      <c r="K476" s="22" t="s">
        <v>24</v>
      </c>
      <c r="L476" s="2" t="str">
        <f t="shared" si="7"/>
        <v>insert into CHB_DATACHECK_RULE (CHECKRULEID,DATATYPE,CHECKCLASS,CHECKMETHOD,SRCPROPERTY,COMPARETO,OBJVALUE,REMARK,STATUS,NULLABLE) values ('W84807E5-DFAC-D920-E050-007F010077FD','CHB_ASSET_INFO','com.joyintech.tams.common.svreport.datacheck.service.BaseCheckLib','isNumber2','REMAIN_TERM','','7,2','加权剩余期限（天）要素不可为空且为(7,2)格式','E','N');</v>
      </c>
    </row>
    <row r="477" spans="1:12" x14ac:dyDescent="0.15">
      <c r="A477" s="17">
        <v>474</v>
      </c>
      <c r="B477" s="21" t="s">
        <v>524</v>
      </c>
      <c r="C477" s="23" t="s">
        <v>1484</v>
      </c>
      <c r="D477" s="22" t="s">
        <v>21</v>
      </c>
      <c r="E477" s="22" t="s">
        <v>34</v>
      </c>
      <c r="F477" s="22" t="s">
        <v>1262</v>
      </c>
      <c r="G477" s="22" t="s">
        <v>35</v>
      </c>
      <c r="H477" s="21" t="s">
        <v>26</v>
      </c>
      <c r="I477" s="22" t="s">
        <v>27</v>
      </c>
      <c r="J477" s="22" t="s">
        <v>1265</v>
      </c>
      <c r="K477" s="22" t="s">
        <v>24</v>
      </c>
      <c r="L477" s="2" t="str">
        <f t="shared" si="7"/>
        <v>insert into CHB_DATACHECK_RULE (CHECKRULEID,DATATYPE,CHECKCLASS,CHECKMETHOD,SRCPROPERTY,COMPARETO,OBJVALUE,REMARK,STATUS,NULLABLE) values ('W84807E5-DFAD-D920-E050-007F010077FD','CHB_ASSET_INFO','com.joyintech.tams.common.svreport.datacheck.service.BaseCheckLib','compareValueAsNumber','REMAIN_TERM','&gt;=','0','加权剩余期限（天）必须大于等于0','E','Y');</v>
      </c>
    </row>
    <row r="478" spans="1:12" x14ac:dyDescent="0.15">
      <c r="A478" s="9">
        <v>475</v>
      </c>
      <c r="B478" s="21" t="s">
        <v>525</v>
      </c>
      <c r="C478" s="23" t="s">
        <v>1484</v>
      </c>
      <c r="D478" s="22" t="s">
        <v>21</v>
      </c>
      <c r="E478" s="22" t="s">
        <v>949</v>
      </c>
      <c r="F478" s="22" t="s">
        <v>1262</v>
      </c>
      <c r="G478" s="22" t="s">
        <v>936</v>
      </c>
      <c r="H478" s="21" t="s">
        <v>1266</v>
      </c>
      <c r="I478" s="22" t="s">
        <v>27</v>
      </c>
      <c r="J478" s="22" t="s">
        <v>1267</v>
      </c>
      <c r="K478" s="22" t="s">
        <v>24</v>
      </c>
      <c r="L478" s="2" t="str">
        <f t="shared" si="7"/>
        <v>insert into CHB_DATACHECK_RULE (CHECKRULEID,DATATYPE,CHECKCLASS,CHECKMETHOD,SRCPROPERTY,COMPARETO,OBJVALUE,REMARK,STATUS,NULLABLE) values ('W84807E5-DFAE-D920-E050-007F010077FD','CHB_ASSET_INFO','com.joyintech.tams.common.svreport.datacheck.service.BaseCheckLib','comparePropertyAsNumber','REMAIN_TERM','&lt;=','MAX_REMAIN_TERM','加权剩余期限（天）≤最长剩余期限（天）','E','Y');</v>
      </c>
    </row>
    <row r="479" spans="1:12" x14ac:dyDescent="0.15">
      <c r="A479" s="17">
        <v>476</v>
      </c>
      <c r="B479" s="21" t="s">
        <v>526</v>
      </c>
      <c r="C479" s="23" t="s">
        <v>1484</v>
      </c>
      <c r="D479" s="22" t="s">
        <v>21</v>
      </c>
      <c r="E479" s="22" t="s">
        <v>28</v>
      </c>
      <c r="F479" s="22" t="s">
        <v>1268</v>
      </c>
      <c r="G479" s="22"/>
      <c r="H479" s="21" t="s">
        <v>29</v>
      </c>
      <c r="I479" s="22" t="s">
        <v>23</v>
      </c>
      <c r="J479" s="22" t="s">
        <v>1269</v>
      </c>
      <c r="K479" s="22" t="s">
        <v>24</v>
      </c>
      <c r="L479" s="2" t="str">
        <f t="shared" si="7"/>
        <v>insert into CHB_DATACHECK_RULE (CHECKRULEID,DATATYPE,CHECKCLASS,CHECKMETHOD,SRCPROPERTY,COMPARETO,OBJVALUE,REMARK,STATUS,NULLABLE) values ('W84807E5-DFAF-D920-E050-007F010077FD','CHB_ASSET_INFO','com.joyintech.tams.common.svreport.datacheck.service.BaseCheckLib','isNumber','MIN_REMAIN_TERM','','5,0','最短剩余期限（天）要素不可为空且为n..5格式','E','N');</v>
      </c>
    </row>
    <row r="480" spans="1:12" x14ac:dyDescent="0.15">
      <c r="A480" s="9">
        <v>477</v>
      </c>
      <c r="B480" s="21" t="s">
        <v>527</v>
      </c>
      <c r="C480" s="23" t="s">
        <v>1484</v>
      </c>
      <c r="D480" s="22" t="s">
        <v>21</v>
      </c>
      <c r="E480" s="22" t="s">
        <v>28</v>
      </c>
      <c r="F480" s="22" t="s">
        <v>1266</v>
      </c>
      <c r="G480" s="22"/>
      <c r="H480" s="21" t="s">
        <v>29</v>
      </c>
      <c r="I480" s="22" t="s">
        <v>23</v>
      </c>
      <c r="J480" s="22" t="s">
        <v>1270</v>
      </c>
      <c r="K480" s="22" t="s">
        <v>24</v>
      </c>
      <c r="L480" s="2" t="str">
        <f t="shared" si="7"/>
        <v>insert into CHB_DATACHECK_RULE (CHECKRULEID,DATATYPE,CHECKCLASS,CHECKMETHOD,SRCPROPERTY,COMPARETO,OBJVALUE,REMARK,STATUS,NULLABLE) values ('W84807E5-DFB0-D920-E050-007F010077FD','CHB_ASSET_INFO','com.joyintech.tams.common.svreport.datacheck.service.BaseCheckLib','isNumber','MAX_REMAIN_TERM','','5,0','最长剩余期限（天）要素不可为空且为n..5格式','E','N');</v>
      </c>
    </row>
    <row r="481" spans="1:12" x14ac:dyDescent="0.15">
      <c r="A481" s="17">
        <v>478</v>
      </c>
      <c r="B481" s="21" t="s">
        <v>528</v>
      </c>
      <c r="C481" s="23" t="s">
        <v>1484</v>
      </c>
      <c r="D481" s="22" t="s">
        <v>21</v>
      </c>
      <c r="E481" s="22" t="s">
        <v>34</v>
      </c>
      <c r="F481" s="22" t="s">
        <v>1268</v>
      </c>
      <c r="G481" s="22" t="s">
        <v>35</v>
      </c>
      <c r="H481" s="21" t="s">
        <v>26</v>
      </c>
      <c r="I481" s="22" t="s">
        <v>27</v>
      </c>
      <c r="J481" s="22" t="s">
        <v>1271</v>
      </c>
      <c r="K481" s="22" t="s">
        <v>24</v>
      </c>
      <c r="L481" s="2" t="str">
        <f t="shared" si="7"/>
        <v>insert into CHB_DATACHECK_RULE (CHECKRULEID,DATATYPE,CHECKCLASS,CHECKMETHOD,SRCPROPERTY,COMPARETO,OBJVALUE,REMARK,STATUS,NULLABLE) values ('W84807E5-DFB1-D920-E050-007F010077FD','CHB_ASSET_INFO','com.joyintech.tams.common.svreport.datacheck.service.BaseCheckLib','compareValueAsNumber','MIN_REMAIN_TERM','&gt;=','0','最短剩余期限（天）必须大于等于0','E','Y');</v>
      </c>
    </row>
    <row r="482" spans="1:12" x14ac:dyDescent="0.15">
      <c r="A482" s="9">
        <v>479</v>
      </c>
      <c r="B482" s="21" t="s">
        <v>529</v>
      </c>
      <c r="C482" s="23" t="s">
        <v>1484</v>
      </c>
      <c r="D482" s="22" t="s">
        <v>21</v>
      </c>
      <c r="E482" s="22" t="s">
        <v>34</v>
      </c>
      <c r="F482" s="22" t="s">
        <v>1266</v>
      </c>
      <c r="G482" s="22" t="s">
        <v>35</v>
      </c>
      <c r="H482" s="21" t="s">
        <v>26</v>
      </c>
      <c r="I482" s="22" t="s">
        <v>27</v>
      </c>
      <c r="J482" s="22" t="s">
        <v>1272</v>
      </c>
      <c r="K482" s="22" t="s">
        <v>24</v>
      </c>
      <c r="L482" s="2" t="str">
        <f t="shared" si="7"/>
        <v>insert into CHB_DATACHECK_RULE (CHECKRULEID,DATATYPE,CHECKCLASS,CHECKMETHOD,SRCPROPERTY,COMPARETO,OBJVALUE,REMARK,STATUS,NULLABLE) values ('W84807E5-DFB2-D920-E050-007F010077FD','CHB_ASSET_INFO','com.joyintech.tams.common.svreport.datacheck.service.BaseCheckLib','compareValueAsNumber','MAX_REMAIN_TERM','&gt;=','0','最长剩余期限（天）必须大于等于0','E','Y');</v>
      </c>
    </row>
    <row r="483" spans="1:12" x14ac:dyDescent="0.15">
      <c r="A483" s="17">
        <v>480</v>
      </c>
      <c r="B483" s="21" t="s">
        <v>530</v>
      </c>
      <c r="C483" s="23" t="s">
        <v>1484</v>
      </c>
      <c r="D483" s="22" t="s">
        <v>21</v>
      </c>
      <c r="E483" s="22" t="s">
        <v>38</v>
      </c>
      <c r="F483" s="22" t="s">
        <v>766</v>
      </c>
      <c r="G483" s="22" t="s">
        <v>25</v>
      </c>
      <c r="H483" s="21" t="s">
        <v>767</v>
      </c>
      <c r="I483" s="22" t="s">
        <v>27</v>
      </c>
      <c r="J483" s="22" t="s">
        <v>788</v>
      </c>
      <c r="K483" s="22" t="s">
        <v>24</v>
      </c>
      <c r="L483" s="2" t="str">
        <f t="shared" si="7"/>
        <v>insert into CHB_DATACHECK_RULE (CHECKRULEID,DATATYPE,CHECKCLASS,CHECKMETHOD,SRCPROPERTY,COMPARETO,OBJVALUE,REMARK,STATUS,NULLABLE) values ('W84807E5-DFB3-D920-E050-007F010077FD','CHB_ASSET_INFO','com.joyintech.tams.common.svreport.datacheck.service.BaseCheckLib','isValidDate','VDATE','==','yyyy-MM-dd','起息日必须为日期格式（YYYY-MM-DD）。','E','Y');</v>
      </c>
    </row>
    <row r="484" spans="1:12" x14ac:dyDescent="0.15">
      <c r="A484" s="9">
        <v>481</v>
      </c>
      <c r="B484" s="21" t="s">
        <v>531</v>
      </c>
      <c r="C484" s="23" t="s">
        <v>1484</v>
      </c>
      <c r="D484" s="22" t="s">
        <v>21</v>
      </c>
      <c r="E484" s="22" t="s">
        <v>38</v>
      </c>
      <c r="F484" s="22" t="s">
        <v>769</v>
      </c>
      <c r="G484" s="22"/>
      <c r="H484" s="21" t="s">
        <v>767</v>
      </c>
      <c r="I484" s="22" t="s">
        <v>27</v>
      </c>
      <c r="J484" s="22" t="s">
        <v>770</v>
      </c>
      <c r="K484" s="22" t="s">
        <v>24</v>
      </c>
      <c r="L484" s="2" t="str">
        <f t="shared" si="7"/>
        <v>insert into CHB_DATACHECK_RULE (CHECKRULEID,DATATYPE,CHECKCLASS,CHECKMETHOD,SRCPROPERTY,COMPARETO,OBJVALUE,REMARK,STATUS,NULLABLE) values ('W84807E5-DFB4-D920-E050-007F010077FD','CHB_ASSET_INFO','com.joyintech.tams.common.svreport.datacheck.service.BaseCheckLib','isValidDate','MDATE','','yyyy-MM-dd','到期日要素必填且必须为日期格式（YYYY-MM-DD）。','E','Y');</v>
      </c>
    </row>
    <row r="485" spans="1:12" x14ac:dyDescent="0.15">
      <c r="A485" s="17">
        <v>482</v>
      </c>
      <c r="B485" s="21" t="s">
        <v>2417</v>
      </c>
      <c r="C485" s="23" t="s">
        <v>1484</v>
      </c>
      <c r="D485" s="22" t="s">
        <v>21</v>
      </c>
      <c r="E485" s="22" t="s">
        <v>39</v>
      </c>
      <c r="F485" s="22" t="s">
        <v>769</v>
      </c>
      <c r="G485" s="22" t="s">
        <v>35</v>
      </c>
      <c r="H485" s="21" t="s">
        <v>766</v>
      </c>
      <c r="I485" s="22" t="s">
        <v>27</v>
      </c>
      <c r="J485" s="22" t="s">
        <v>1273</v>
      </c>
      <c r="K485" s="22" t="s">
        <v>24</v>
      </c>
      <c r="L485" s="2" t="str">
        <f t="shared" si="7"/>
        <v>insert into CHB_DATACHECK_RULE (CHECKRULEID,DATATYPE,CHECKCLASS,CHECKMETHOD,SRCPROPERTY,COMPARETO,OBJVALUE,REMARK,STATUS,NULLABLE) values ('W84807E5-DFB5-D920-E050-007F010077FD','CHB_ASSET_INFO','com.joyintech.tams.common.svreport.datacheck.service.BaseCheckLib','compareProperty','MDATE','&gt;=','VDATE','到期日必须大于等于起息日（非标准化债权类投资）','E','Y');</v>
      </c>
    </row>
    <row r="486" spans="1:12" x14ac:dyDescent="0.15">
      <c r="A486" s="9">
        <v>483</v>
      </c>
      <c r="B486" s="21" t="s">
        <v>533</v>
      </c>
      <c r="C486" s="23" t="s">
        <v>1484</v>
      </c>
      <c r="D486" s="22" t="s">
        <v>21</v>
      </c>
      <c r="E486" s="22" t="s">
        <v>32</v>
      </c>
      <c r="F486" s="22" t="s">
        <v>772</v>
      </c>
      <c r="G486" s="22"/>
      <c r="H486" s="21" t="s">
        <v>33</v>
      </c>
      <c r="I486" s="22" t="s">
        <v>27</v>
      </c>
      <c r="J486" s="22" t="s">
        <v>1274</v>
      </c>
      <c r="K486" s="22" t="s">
        <v>24</v>
      </c>
      <c r="L486" s="2" t="str">
        <f t="shared" si="7"/>
        <v>insert into CHB_DATACHECK_RULE (CHECKRULEID,DATATYPE,CHECKCLASS,CHECKMETHOD,SRCPROPERTY,COMPARETO,OBJVALUE,REMARK,STATUS,NULLABLE) values ('W84807E5-DFB6-D920-E050-007F010077FD','CHB_ASSET_INFO','com.joyintech.tams.common.svreport.datacheck.service.BaseCheckLib','isNumber2','ASSET_YIELD','','8,5','贴现利率（%）要素不可为空且为(8,5)格式','E','Y');</v>
      </c>
    </row>
    <row r="487" spans="1:12" x14ac:dyDescent="0.15">
      <c r="A487" s="17">
        <v>484</v>
      </c>
      <c r="B487" s="21" t="s">
        <v>534</v>
      </c>
      <c r="C487" s="23" t="s">
        <v>1484</v>
      </c>
      <c r="D487" s="22" t="s">
        <v>21</v>
      </c>
      <c r="E487" s="22" t="s">
        <v>34</v>
      </c>
      <c r="F487" s="22" t="s">
        <v>1275</v>
      </c>
      <c r="G487" s="22" t="s">
        <v>35</v>
      </c>
      <c r="H487" s="21" t="s">
        <v>26</v>
      </c>
      <c r="I487" s="22" t="s">
        <v>27</v>
      </c>
      <c r="J487" s="22" t="s">
        <v>1276</v>
      </c>
      <c r="K487" s="22" t="s">
        <v>24</v>
      </c>
      <c r="L487" s="2" t="str">
        <f t="shared" si="7"/>
        <v>insert into CHB_DATACHECK_RULE (CHECKRULEID,DATATYPE,CHECKCLASS,CHECKMETHOD,SRCPROPERTY,COMPARETO,OBJVALUE,REMARK,STATUS,NULLABLE) values ('W84807E5-DFB7-D920-E050-007F010077FD','CHB_ASSET_INFO','com.joyintech.tams.common.svreport.datacheck.service.BaseCheckLib','compareValueAsNumber','DISCOUNT_YIELD','&gt;=','0','贴现利率（%）要素不可为空','E','Y');</v>
      </c>
    </row>
    <row r="488" spans="1:12" x14ac:dyDescent="0.15">
      <c r="A488" s="9">
        <v>485</v>
      </c>
      <c r="B488" s="21" t="s">
        <v>535</v>
      </c>
      <c r="C488" s="23" t="s">
        <v>1484</v>
      </c>
      <c r="D488" s="22" t="s">
        <v>21</v>
      </c>
      <c r="E488" s="22" t="s">
        <v>22</v>
      </c>
      <c r="F488" s="22" t="s">
        <v>811</v>
      </c>
      <c r="G488" s="22"/>
      <c r="H488" s="21"/>
      <c r="I488" s="22" t="s">
        <v>23</v>
      </c>
      <c r="J488" s="22" t="s">
        <v>812</v>
      </c>
      <c r="K488" s="22" t="s">
        <v>24</v>
      </c>
      <c r="L488" s="2" t="str">
        <f t="shared" si="7"/>
        <v>insert into CHB_DATACHECK_RULE (CHECKRULEID,DATATYPE,CHECKCLASS,CHECKMETHOD,SRCPROPERTY,COMPARETO,OBJVALUE,REMARK,STATUS,NULLABLE) values ('W84807E5-DFB8-D920-E050-007F010077FD','CHB_ASSET_INFO','com.joyintech.tams.common.svreport.datacheck.service.BaseCheckLib','isNotEmpty','INDUSTRY_SHARES2','','','行业二级分类不可为空','E','N');</v>
      </c>
    </row>
    <row r="489" spans="1:12" x14ac:dyDescent="0.15">
      <c r="A489" s="17">
        <v>486</v>
      </c>
      <c r="B489" s="21" t="s">
        <v>536</v>
      </c>
      <c r="C489" s="23" t="s">
        <v>1484</v>
      </c>
      <c r="D489" s="22" t="s">
        <v>21</v>
      </c>
      <c r="E489" s="22" t="s">
        <v>30</v>
      </c>
      <c r="F489" s="22" t="s">
        <v>811</v>
      </c>
      <c r="G489" s="22" t="s">
        <v>25</v>
      </c>
      <c r="H489" s="21" t="s">
        <v>820</v>
      </c>
      <c r="I489" s="22" t="s">
        <v>27</v>
      </c>
      <c r="J489" s="22" t="s">
        <v>821</v>
      </c>
      <c r="K489" s="22" t="s">
        <v>24</v>
      </c>
      <c r="L489" s="2" t="str">
        <f t="shared" si="7"/>
        <v>insert into CHB_DATACHECK_RULE (CHECKRULEID,DATATYPE,CHECKCLASS,CHECKMETHOD,SRCPROPERTY,COMPARETO,OBJVALUE,REMARK,STATUS,NULLABLE) values ('W84807E5-DFB8-D920-E050-007F010077FE','CHB_ASSET_INFO','com.joyintech.tams.common.svreport.datacheck.service.BaseCheckLib','inDatadict','INDUSTRY_SHARES2','==','INSTITUTION_INDUSTRY_SECOND_LEVEL','行业不在值域范围内。','E','Y');</v>
      </c>
    </row>
    <row r="490" spans="1:12" x14ac:dyDescent="0.15">
      <c r="A490" s="9">
        <v>487</v>
      </c>
      <c r="B490" s="21" t="s">
        <v>537</v>
      </c>
      <c r="C490" s="23" t="s">
        <v>1484</v>
      </c>
      <c r="D490" s="22" t="s">
        <v>21</v>
      </c>
      <c r="E490" s="22" t="s">
        <v>30</v>
      </c>
      <c r="F490" s="22" t="s">
        <v>1277</v>
      </c>
      <c r="G490" s="22"/>
      <c r="H490" s="21" t="s">
        <v>1278</v>
      </c>
      <c r="I490" s="22" t="s">
        <v>27</v>
      </c>
      <c r="J490" s="22" t="s">
        <v>1279</v>
      </c>
      <c r="K490" s="22" t="s">
        <v>24</v>
      </c>
      <c r="L490" s="2" t="str">
        <f t="shared" si="7"/>
        <v>insert into CHB_DATACHECK_RULE (CHECKRULEID,DATATYPE,CHECKCLASS,CHECKMETHOD,SRCPROPERTY,COMPARETO,OBJVALUE,REMARK,STATUS,NULLABLE) values ('W84807E5-EF00-D001-E050-007F010077FD','CHB_ASSET_INFO','com.joyintech.tams.common.svreport.datacheck.service.BaseCheckLib','inDatadict','PLEDGE_TYPE','','SVR_PLEDGE_TYPE','抵质押物类型要素不在值域范围内。','E','Y');</v>
      </c>
    </row>
    <row r="491" spans="1:12" x14ac:dyDescent="0.15">
      <c r="A491" s="17">
        <v>488</v>
      </c>
      <c r="B491" s="21" t="s">
        <v>538</v>
      </c>
      <c r="C491" s="23" t="s">
        <v>1484</v>
      </c>
      <c r="D491" s="22" t="s">
        <v>21</v>
      </c>
      <c r="E491" s="22" t="s">
        <v>22</v>
      </c>
      <c r="F491" s="22" t="s">
        <v>1280</v>
      </c>
      <c r="G491" s="22"/>
      <c r="H491" s="21"/>
      <c r="I491" s="22" t="s">
        <v>23</v>
      </c>
      <c r="J491" s="22" t="s">
        <v>1281</v>
      </c>
      <c r="K491" s="22" t="s">
        <v>24</v>
      </c>
      <c r="L491" s="2" t="str">
        <f t="shared" si="7"/>
        <v>insert into CHB_DATACHECK_RULE (CHECKRULEID,DATATYPE,CHECKCLASS,CHECKMETHOD,SRCPROPERTY,COMPARETO,OBJVALUE,REMARK,STATUS,NULLABLE) values ('W84807E5-EF00-D002-E050-007F010077FD','CHB_ASSET_INFO','com.joyintech.tams.common.svreport.datacheck.service.BaseCheckLib','isNotEmpty','PLEDGE_VALUE','','','抵质押物价值（元）要素不可为空。','E','N');</v>
      </c>
    </row>
    <row r="492" spans="1:12" x14ac:dyDescent="0.15">
      <c r="A492" s="9">
        <v>489</v>
      </c>
      <c r="B492" s="21" t="s">
        <v>539</v>
      </c>
      <c r="C492" s="23" t="s">
        <v>1484</v>
      </c>
      <c r="D492" s="22" t="s">
        <v>21</v>
      </c>
      <c r="E492" s="22" t="s">
        <v>22</v>
      </c>
      <c r="F492" s="22" t="s">
        <v>1280</v>
      </c>
      <c r="G492" s="22"/>
      <c r="H492" s="21"/>
      <c r="I492" s="22" t="s">
        <v>23</v>
      </c>
      <c r="J492" s="22" t="s">
        <v>1281</v>
      </c>
      <c r="K492" s="22" t="s">
        <v>24</v>
      </c>
      <c r="L492" s="2" t="str">
        <f t="shared" si="7"/>
        <v>insert into CHB_DATACHECK_RULE (CHECKRULEID,DATATYPE,CHECKCLASS,CHECKMETHOD,SRCPROPERTY,COMPARETO,OBJVALUE,REMARK,STATUS,NULLABLE) values ('W84807E5-EF00-D003-E050-007F010077FD','CHB_ASSET_INFO','com.joyintech.tams.common.svreport.datacheck.service.BaseCheckLib','isNotEmpty','PLEDGE_VALUE','','','抵质押物价值（元）要素不可为空。','E','N');</v>
      </c>
    </row>
    <row r="493" spans="1:12" x14ac:dyDescent="0.15">
      <c r="A493" s="17">
        <v>490</v>
      </c>
      <c r="B493" s="21" t="s">
        <v>540</v>
      </c>
      <c r="C493" s="23" t="s">
        <v>1484</v>
      </c>
      <c r="D493" s="22" t="s">
        <v>21</v>
      </c>
      <c r="E493" s="22" t="s">
        <v>62</v>
      </c>
      <c r="F493" s="22" t="s">
        <v>1280</v>
      </c>
      <c r="G493" s="22" t="s">
        <v>25</v>
      </c>
      <c r="H493" s="21" t="s">
        <v>26</v>
      </c>
      <c r="I493" s="22" t="s">
        <v>27</v>
      </c>
      <c r="J493" s="22" t="s">
        <v>1282</v>
      </c>
      <c r="K493" s="22" t="s">
        <v>24</v>
      </c>
      <c r="L493" s="2" t="str">
        <f t="shared" si="7"/>
        <v>insert into CHB_DATACHECK_RULE (CHECKRULEID,DATATYPE,CHECKCLASS,CHECKMETHOD,SRCPROPERTY,COMPARETO,OBJVALUE,REMARK,STATUS,NULLABLE) values ('W84807E5-EF00-D004-E050-007F010077FD','CHB_ASSET_INFO','com.joyintech.tams.common.svreport.datacheck.service.BaseCheckLib','lessThanCharLength','PLEDGE_VALUE','==','0','抵质押物价值（元）要素必须为空。','E','Y');</v>
      </c>
    </row>
    <row r="494" spans="1:12" x14ac:dyDescent="0.15">
      <c r="A494" s="9">
        <v>491</v>
      </c>
      <c r="B494" s="21" t="s">
        <v>541</v>
      </c>
      <c r="C494" s="23" t="s">
        <v>1484</v>
      </c>
      <c r="D494" s="22" t="s">
        <v>21</v>
      </c>
      <c r="E494" s="22" t="s">
        <v>62</v>
      </c>
      <c r="F494" s="22" t="s">
        <v>1280</v>
      </c>
      <c r="G494" s="22" t="s">
        <v>25</v>
      </c>
      <c r="H494" s="21" t="s">
        <v>26</v>
      </c>
      <c r="I494" s="22" t="s">
        <v>27</v>
      </c>
      <c r="J494" s="22" t="s">
        <v>1282</v>
      </c>
      <c r="K494" s="22" t="s">
        <v>24</v>
      </c>
      <c r="L494" s="2" t="str">
        <f t="shared" si="7"/>
        <v>insert into CHB_DATACHECK_RULE (CHECKRULEID,DATATYPE,CHECKCLASS,CHECKMETHOD,SRCPROPERTY,COMPARETO,OBJVALUE,REMARK,STATUS,NULLABLE) values ('W84807E5-EF00-D005-E050-007F010077FD','CHB_ASSET_INFO','com.joyintech.tams.common.svreport.datacheck.service.BaseCheckLib','lessThanCharLength','PLEDGE_VALUE','==','0','抵质押物价值（元）要素必须为空。','E','Y');</v>
      </c>
    </row>
    <row r="495" spans="1:12" x14ac:dyDescent="0.15">
      <c r="A495" s="17">
        <v>492</v>
      </c>
      <c r="B495" s="21" t="s">
        <v>542</v>
      </c>
      <c r="C495" s="23" t="s">
        <v>1484</v>
      </c>
      <c r="D495" s="22" t="s">
        <v>21</v>
      </c>
      <c r="E495" s="22" t="s">
        <v>32</v>
      </c>
      <c r="F495" s="22" t="s">
        <v>1280</v>
      </c>
      <c r="G495" s="22" t="s">
        <v>35</v>
      </c>
      <c r="H495" s="21" t="s">
        <v>36</v>
      </c>
      <c r="I495" s="22" t="s">
        <v>27</v>
      </c>
      <c r="J495" s="22" t="s">
        <v>1283</v>
      </c>
      <c r="K495" s="22" t="s">
        <v>24</v>
      </c>
      <c r="L495" s="2" t="str">
        <f t="shared" si="7"/>
        <v>insert into CHB_DATACHECK_RULE (CHECKRULEID,DATATYPE,CHECKCLASS,CHECKMETHOD,SRCPROPERTY,COMPARETO,OBJVALUE,REMARK,STATUS,NULLABLE) values ('W84807E5-EF00-D006-E050-007F010077FD','CHB_ASSET_INFO','com.joyintech.tams.common.svreport.datacheck.service.BaseCheckLib','isNumber2','PLEDGE_VALUE','&gt;=','15,2','抵质押物价值（元）要素必须为n(15,2)格式。','E','Y');</v>
      </c>
    </row>
    <row r="496" spans="1:12" x14ac:dyDescent="0.15">
      <c r="A496" s="9">
        <v>493</v>
      </c>
      <c r="B496" s="21" t="s">
        <v>543</v>
      </c>
      <c r="C496" s="23" t="s">
        <v>1484</v>
      </c>
      <c r="D496" s="22" t="s">
        <v>21</v>
      </c>
      <c r="E496" s="22" t="s">
        <v>22</v>
      </c>
      <c r="F496" s="22" t="s">
        <v>1284</v>
      </c>
      <c r="G496" s="22"/>
      <c r="H496" s="21"/>
      <c r="I496" s="22" t="s">
        <v>23</v>
      </c>
      <c r="J496" s="22" t="s">
        <v>1285</v>
      </c>
      <c r="K496" s="22" t="s">
        <v>24</v>
      </c>
      <c r="L496" s="2" t="str">
        <f t="shared" si="7"/>
        <v>insert into CHB_DATACHECK_RULE (CHECKRULEID,DATATYPE,CHECKCLASS,CHECKMETHOD,SRCPROPERTY,COMPARETO,OBJVALUE,REMARK,STATUS,NULLABLE) values ('W84807E5-EF00-D007-E050-007F010077FD','CHB_ASSET_INFO','com.joyintech.tams.common.svreport.datacheck.service.BaseCheckLib','isNotEmpty','NATURE_GUARANTEE','','','担保性质要素不可为空。','E','N');</v>
      </c>
    </row>
    <row r="497" spans="1:12" x14ac:dyDescent="0.15">
      <c r="A497" s="17">
        <v>494</v>
      </c>
      <c r="B497" s="21" t="s">
        <v>544</v>
      </c>
      <c r="C497" s="23" t="s">
        <v>1484</v>
      </c>
      <c r="D497" s="22" t="s">
        <v>21</v>
      </c>
      <c r="E497" s="22" t="s">
        <v>22</v>
      </c>
      <c r="F497" s="22" t="s">
        <v>1284</v>
      </c>
      <c r="G497" s="22"/>
      <c r="H497" s="21"/>
      <c r="I497" s="22" t="s">
        <v>23</v>
      </c>
      <c r="J497" s="22" t="s">
        <v>1285</v>
      </c>
      <c r="K497" s="22" t="s">
        <v>24</v>
      </c>
      <c r="L497" s="2" t="str">
        <f t="shared" si="7"/>
        <v>insert into CHB_DATACHECK_RULE (CHECKRULEID,DATATYPE,CHECKCLASS,CHECKMETHOD,SRCPROPERTY,COMPARETO,OBJVALUE,REMARK,STATUS,NULLABLE) values ('W84807E5-EF00-D008-E050-007F010077FD','CHB_ASSET_INFO','com.joyintech.tams.common.svreport.datacheck.service.BaseCheckLib','isNotEmpty','NATURE_GUARANTEE','','','担保性质要素不可为空。','E','N');</v>
      </c>
    </row>
    <row r="498" spans="1:12" x14ac:dyDescent="0.15">
      <c r="A498" s="9">
        <v>495</v>
      </c>
      <c r="B498" s="21" t="s">
        <v>2406</v>
      </c>
      <c r="C498" s="23" t="s">
        <v>1484</v>
      </c>
      <c r="D498" s="22" t="s">
        <v>21</v>
      </c>
      <c r="E498" s="22" t="s">
        <v>62</v>
      </c>
      <c r="F498" s="22" t="s">
        <v>1284</v>
      </c>
      <c r="G498" s="22" t="s">
        <v>25</v>
      </c>
      <c r="H498" s="21" t="s">
        <v>26</v>
      </c>
      <c r="I498" s="22" t="s">
        <v>27</v>
      </c>
      <c r="J498" s="22" t="s">
        <v>1286</v>
      </c>
      <c r="K498" s="22" t="s">
        <v>24</v>
      </c>
      <c r="L498" s="2" t="str">
        <f t="shared" si="7"/>
        <v>insert into CHB_DATACHECK_RULE (CHECKRULEID,DATATYPE,CHECKCLASS,CHECKMETHOD,SRCPROPERTY,COMPARETO,OBJVALUE,REMARK,STATUS,NULLABLE) values ('W84807E5-EF00-D009-E050-007F010077FD','CHB_ASSET_INFO','com.joyintech.tams.common.svreport.datacheck.service.BaseCheckLib','lessThanCharLength','NATURE_GUARANTEE','==','0','担保性质要素必须为空。','E','Y');</v>
      </c>
    </row>
    <row r="499" spans="1:12" x14ac:dyDescent="0.15">
      <c r="A499" s="17">
        <v>496</v>
      </c>
      <c r="B499" s="21" t="s">
        <v>546</v>
      </c>
      <c r="C499" s="23" t="s">
        <v>1484</v>
      </c>
      <c r="D499" s="22" t="s">
        <v>21</v>
      </c>
      <c r="E499" s="22" t="s">
        <v>30</v>
      </c>
      <c r="F499" s="22" t="s">
        <v>1284</v>
      </c>
      <c r="G499" s="22"/>
      <c r="H499" s="21" t="s">
        <v>1287</v>
      </c>
      <c r="I499" s="22" t="s">
        <v>27</v>
      </c>
      <c r="J499" s="22" t="s">
        <v>1288</v>
      </c>
      <c r="K499" s="22" t="s">
        <v>24</v>
      </c>
      <c r="L499" s="2" t="str">
        <f t="shared" si="7"/>
        <v>insert into CHB_DATACHECK_RULE (CHECKRULEID,DATATYPE,CHECKCLASS,CHECKMETHOD,SRCPROPERTY,COMPARETO,OBJVALUE,REMARK,STATUS,NULLABLE) values ('W84807E5-EF00-D011-E050-007F010077FD','CHB_ASSET_INFO','com.joyintech.tams.common.svreport.datacheck.service.BaseCheckLib','inDatadict','NATURE_GUARANTEE','','SVR_NATURE_GUARANTEE','担保性质要素不在值域范围内。','E','Y');</v>
      </c>
    </row>
    <row r="500" spans="1:12" x14ac:dyDescent="0.15">
      <c r="A500" s="9">
        <v>497</v>
      </c>
      <c r="B500" s="21" t="s">
        <v>547</v>
      </c>
      <c r="C500" s="23" t="s">
        <v>1484</v>
      </c>
      <c r="D500" s="22" t="s">
        <v>21</v>
      </c>
      <c r="E500" s="22" t="s">
        <v>22</v>
      </c>
      <c r="F500" s="22" t="s">
        <v>1289</v>
      </c>
      <c r="G500" s="22"/>
      <c r="H500" s="21"/>
      <c r="I500" s="22" t="s">
        <v>23</v>
      </c>
      <c r="J500" s="22" t="s">
        <v>1290</v>
      </c>
      <c r="K500" s="22" t="s">
        <v>24</v>
      </c>
      <c r="L500" s="2" t="str">
        <f t="shared" si="7"/>
        <v>insert into CHB_DATACHECK_RULE (CHECKRULEID,DATATYPE,CHECKCLASS,CHECKMETHOD,SRCPROPERTY,COMPARETO,OBJVALUE,REMARK,STATUS,NULLABLE) values ('W84807E5-EF00-D012-E050-007F010077FD','CHB_ASSET_INFO','com.joyintech.tams.common.svreport.datacheck.service.BaseCheckLib','isNotEmpty','RELATION_FINAN','','','担保人与融资人关系要素不可为空。','E','N');</v>
      </c>
    </row>
    <row r="501" spans="1:12" x14ac:dyDescent="0.15">
      <c r="A501" s="17">
        <v>498</v>
      </c>
      <c r="B501" s="21" t="s">
        <v>548</v>
      </c>
      <c r="C501" s="23" t="s">
        <v>1484</v>
      </c>
      <c r="D501" s="22" t="s">
        <v>21</v>
      </c>
      <c r="E501" s="22" t="s">
        <v>22</v>
      </c>
      <c r="F501" s="22" t="s">
        <v>1289</v>
      </c>
      <c r="G501" s="22"/>
      <c r="H501" s="21"/>
      <c r="I501" s="22" t="s">
        <v>23</v>
      </c>
      <c r="J501" s="22" t="s">
        <v>1290</v>
      </c>
      <c r="K501" s="22" t="s">
        <v>24</v>
      </c>
      <c r="L501" s="2" t="str">
        <f t="shared" si="7"/>
        <v>insert into CHB_DATACHECK_RULE (CHECKRULEID,DATATYPE,CHECKCLASS,CHECKMETHOD,SRCPROPERTY,COMPARETO,OBJVALUE,REMARK,STATUS,NULLABLE) values ('W84807E5-EF00-D013-E050-007F010077FD','CHB_ASSET_INFO','com.joyintech.tams.common.svreport.datacheck.service.BaseCheckLib','isNotEmpty','RELATION_FINAN','','','担保人与融资人关系要素不可为空。','E','N');</v>
      </c>
    </row>
    <row r="502" spans="1:12" x14ac:dyDescent="0.15">
      <c r="A502" s="9">
        <v>499</v>
      </c>
      <c r="B502" s="21" t="s">
        <v>2408</v>
      </c>
      <c r="C502" s="23" t="s">
        <v>1484</v>
      </c>
      <c r="D502" s="22" t="s">
        <v>21</v>
      </c>
      <c r="E502" s="22" t="s">
        <v>62</v>
      </c>
      <c r="F502" s="22" t="s">
        <v>1289</v>
      </c>
      <c r="G502" s="22" t="s">
        <v>25</v>
      </c>
      <c r="H502" s="21" t="s">
        <v>26</v>
      </c>
      <c r="I502" s="22" t="s">
        <v>27</v>
      </c>
      <c r="J502" s="22" t="s">
        <v>1291</v>
      </c>
      <c r="K502" s="22" t="s">
        <v>24</v>
      </c>
      <c r="L502" s="2" t="str">
        <f t="shared" si="7"/>
        <v>insert into CHB_DATACHECK_RULE (CHECKRULEID,DATATYPE,CHECKCLASS,CHECKMETHOD,SRCPROPERTY,COMPARETO,OBJVALUE,REMARK,STATUS,NULLABLE) values ('W84807E5-EF00-D015-E050-007F010077FD','CHB_ASSET_INFO','com.joyintech.tams.common.svreport.datacheck.service.BaseCheckLib','lessThanCharLength','RELATION_FINAN','==','0','担保人与融资人关系要素必须为空。','E','Y');</v>
      </c>
    </row>
    <row r="503" spans="1:12" x14ac:dyDescent="0.15">
      <c r="A503" s="17">
        <v>500</v>
      </c>
      <c r="B503" s="21" t="s">
        <v>550</v>
      </c>
      <c r="C503" s="23" t="s">
        <v>1484</v>
      </c>
      <c r="D503" s="22" t="s">
        <v>21</v>
      </c>
      <c r="E503" s="22" t="s">
        <v>30</v>
      </c>
      <c r="F503" s="22" t="s">
        <v>1289</v>
      </c>
      <c r="G503" s="22"/>
      <c r="H503" s="21" t="s">
        <v>1292</v>
      </c>
      <c r="I503" s="22" t="s">
        <v>27</v>
      </c>
      <c r="J503" s="22" t="s">
        <v>1293</v>
      </c>
      <c r="K503" s="22" t="s">
        <v>24</v>
      </c>
      <c r="L503" s="2" t="str">
        <f t="shared" si="7"/>
        <v>insert into CHB_DATACHECK_RULE (CHECKRULEID,DATATYPE,CHECKCLASS,CHECKMETHOD,SRCPROPERTY,COMPARETO,OBJVALUE,REMARK,STATUS,NULLABLE) values ('W84807E5-EF00-D017-E050-007F010077FD','CHB_ASSET_INFO','com.joyintech.tams.common.svreport.datacheck.service.BaseCheckLib','inDatadict','RELATION_FINAN','','SVR_RELATION_FINAN','担保人与融资人关系要素不在值域范围内。','E','Y');</v>
      </c>
    </row>
    <row r="504" spans="1:12" x14ac:dyDescent="0.15">
      <c r="A504" s="9">
        <v>501</v>
      </c>
      <c r="B504" s="21" t="s">
        <v>551</v>
      </c>
      <c r="C504" s="23" t="s">
        <v>1484</v>
      </c>
      <c r="D504" s="22" t="s">
        <v>21</v>
      </c>
      <c r="E504" s="22" t="s">
        <v>62</v>
      </c>
      <c r="F504" s="22" t="s">
        <v>1294</v>
      </c>
      <c r="G504" s="22" t="s">
        <v>25</v>
      </c>
      <c r="H504" s="21" t="s">
        <v>26</v>
      </c>
      <c r="I504" s="22" t="s">
        <v>27</v>
      </c>
      <c r="J504" s="22" t="s">
        <v>1295</v>
      </c>
      <c r="K504" s="22" t="s">
        <v>24</v>
      </c>
      <c r="L504" s="2" t="str">
        <f t="shared" si="7"/>
        <v>insert into CHB_DATACHECK_RULE (CHECKRULEID,DATATYPE,CHECKCLASS,CHECKMETHOD,SRCPROPERTY,COMPARETO,OBJVALUE,REMARK,STATUS,NULLABLE) values ('W84807E5-EF00-D018-E050-007F010077FD','CHB_ASSET_INFO','com.joyintech.tams.common.svreport.datacheck.service.BaseCheckLib','lessThanCharLength','CONTAIN_TYPE','==','0','含权类型要素必须为空。','E','Y');</v>
      </c>
    </row>
    <row r="505" spans="1:12" x14ac:dyDescent="0.15">
      <c r="A505" s="17">
        <v>502</v>
      </c>
      <c r="B505" s="21" t="s">
        <v>552</v>
      </c>
      <c r="C505" s="23" t="s">
        <v>1484</v>
      </c>
      <c r="D505" s="22" t="s">
        <v>21</v>
      </c>
      <c r="E505" s="22" t="s">
        <v>30</v>
      </c>
      <c r="F505" s="22" t="s">
        <v>1294</v>
      </c>
      <c r="G505" s="22"/>
      <c r="H505" s="21" t="s">
        <v>1296</v>
      </c>
      <c r="I505" s="22" t="s">
        <v>27</v>
      </c>
      <c r="J505" s="22" t="s">
        <v>1297</v>
      </c>
      <c r="K505" s="22" t="s">
        <v>24</v>
      </c>
      <c r="L505" s="2" t="str">
        <f t="shared" si="7"/>
        <v>insert into CHB_DATACHECK_RULE (CHECKRULEID,DATATYPE,CHECKCLASS,CHECKMETHOD,SRCPROPERTY,COMPARETO,OBJVALUE,REMARK,STATUS,NULLABLE) values ('W84807E5-EF00-D019-E050-007F010077FD','CHB_ASSET_INFO','com.joyintech.tams.common.svreport.datacheck.service.BaseCheckLib','inDatadict','CONTAIN_TYPE','','SVR_CONTAIN_TYPE','含权类型要素不在值域范围内。','E','Y');</v>
      </c>
    </row>
    <row r="506" spans="1:12" x14ac:dyDescent="0.15">
      <c r="A506" s="9">
        <v>503</v>
      </c>
      <c r="B506" s="21" t="s">
        <v>553</v>
      </c>
      <c r="C506" s="23" t="s">
        <v>1484</v>
      </c>
      <c r="D506" s="22" t="s">
        <v>21</v>
      </c>
      <c r="E506" s="22" t="s">
        <v>22</v>
      </c>
      <c r="F506" s="22" t="s">
        <v>1298</v>
      </c>
      <c r="G506" s="22"/>
      <c r="H506" s="21"/>
      <c r="I506" s="22" t="s">
        <v>23</v>
      </c>
      <c r="J506" s="22" t="s">
        <v>1299</v>
      </c>
      <c r="K506" s="22" t="s">
        <v>24</v>
      </c>
      <c r="L506" s="2" t="str">
        <f t="shared" si="7"/>
        <v>insert into CHB_DATACHECK_RULE (CHECKRULEID,DATATYPE,CHECKCLASS,CHECKMETHOD,SRCPROPERTY,COMPARETO,OBJVALUE,REMARK,STATUS,NULLABLE) values ('W84807E5-EF00-D020-E050-007F010077FD','CHB_ASSET_INFO','com.joyintech.tams.common.svreport.datacheck.service.BaseCheckLib','isNotEmpty','EXERCISE_TYPE','','','行权方式要素不可为空。','E','N');</v>
      </c>
    </row>
    <row r="507" spans="1:12" x14ac:dyDescent="0.15">
      <c r="A507" s="17">
        <v>504</v>
      </c>
      <c r="B507" s="21" t="s">
        <v>554</v>
      </c>
      <c r="C507" s="23" t="s">
        <v>1484</v>
      </c>
      <c r="D507" s="22" t="s">
        <v>21</v>
      </c>
      <c r="E507" s="22" t="s">
        <v>62</v>
      </c>
      <c r="F507" s="22" t="s">
        <v>1298</v>
      </c>
      <c r="G507" s="22" t="s">
        <v>25</v>
      </c>
      <c r="H507" s="21" t="s">
        <v>26</v>
      </c>
      <c r="I507" s="22" t="s">
        <v>27</v>
      </c>
      <c r="J507" s="22" t="s">
        <v>1300</v>
      </c>
      <c r="K507" s="22" t="s">
        <v>24</v>
      </c>
      <c r="L507" s="2" t="str">
        <f t="shared" si="7"/>
        <v>insert into CHB_DATACHECK_RULE (CHECKRULEID,DATATYPE,CHECKCLASS,CHECKMETHOD,SRCPROPERTY,COMPARETO,OBJVALUE,REMARK,STATUS,NULLABLE) values ('W84807E5-EF00-D021-E050-007F010077FD','CHB_ASSET_INFO','com.joyintech.tams.common.svreport.datacheck.service.BaseCheckLib','lessThanCharLength','EXERCISE_TYPE','==','0','行权方式要素必须为空。','E','Y');</v>
      </c>
    </row>
    <row r="508" spans="1:12" x14ac:dyDescent="0.15">
      <c r="A508" s="9">
        <v>505</v>
      </c>
      <c r="B508" s="21" t="s">
        <v>555</v>
      </c>
      <c r="C508" s="23" t="s">
        <v>1484</v>
      </c>
      <c r="D508" s="22" t="s">
        <v>21</v>
      </c>
      <c r="E508" s="22" t="s">
        <v>30</v>
      </c>
      <c r="F508" s="22" t="s">
        <v>1298</v>
      </c>
      <c r="G508" s="22"/>
      <c r="H508" s="21" t="s">
        <v>1301</v>
      </c>
      <c r="I508" s="22" t="s">
        <v>27</v>
      </c>
      <c r="J508" s="22" t="s">
        <v>1302</v>
      </c>
      <c r="K508" s="22" t="s">
        <v>24</v>
      </c>
      <c r="L508" s="2" t="str">
        <f t="shared" si="7"/>
        <v>insert into CHB_DATACHECK_RULE (CHECKRULEID,DATATYPE,CHECKCLASS,CHECKMETHOD,SRCPROPERTY,COMPARETO,OBJVALUE,REMARK,STATUS,NULLABLE) values ('W84807E5-EF00-D022-E050-007F010077FD','CHB_ASSET_INFO','com.joyintech.tams.common.svreport.datacheck.service.BaseCheckLib','inDatadict','EXERCISE_TYPE','','SVR_EXERCISE_TYPE','行权方式要素不在值域范围内。','E','Y');</v>
      </c>
    </row>
    <row r="509" spans="1:12" x14ac:dyDescent="0.15">
      <c r="A509" s="17">
        <v>506</v>
      </c>
      <c r="B509" s="21" t="s">
        <v>556</v>
      </c>
      <c r="C509" s="23" t="s">
        <v>1484</v>
      </c>
      <c r="D509" s="22" t="s">
        <v>21</v>
      </c>
      <c r="E509" s="22" t="s">
        <v>22</v>
      </c>
      <c r="F509" s="22" t="s">
        <v>1303</v>
      </c>
      <c r="G509" s="22"/>
      <c r="H509" s="21"/>
      <c r="I509" s="22" t="s">
        <v>23</v>
      </c>
      <c r="J509" s="22" t="s">
        <v>1304</v>
      </c>
      <c r="K509" s="22" t="s">
        <v>24</v>
      </c>
      <c r="L509" s="2" t="str">
        <f t="shared" si="7"/>
        <v>insert into CHB_DATACHECK_RULE (CHECKRULEID,DATATYPE,CHECKCLASS,CHECKMETHOD,SRCPROPERTY,COMPARETO,OBJVALUE,REMARK,STATUS,NULLABLE) values ('W84807E5-EF00-D023-E050-007F010077FD','CHB_ASSET_INFO','com.joyintech.tams.common.svreport.datacheck.service.BaseCheckLib','isNotEmpty','EXERCISE_DATE','','','固定行权日要素不可为空。','E','N');</v>
      </c>
    </row>
    <row r="510" spans="1:12" x14ac:dyDescent="0.15">
      <c r="A510" s="9">
        <v>507</v>
      </c>
      <c r="B510" s="21" t="s">
        <v>557</v>
      </c>
      <c r="C510" s="23" t="s">
        <v>1484</v>
      </c>
      <c r="D510" s="22" t="s">
        <v>21</v>
      </c>
      <c r="E510" s="22" t="s">
        <v>62</v>
      </c>
      <c r="F510" s="22" t="s">
        <v>1303</v>
      </c>
      <c r="G510" s="22" t="s">
        <v>25</v>
      </c>
      <c r="H510" s="21" t="s">
        <v>26</v>
      </c>
      <c r="I510" s="22" t="s">
        <v>27</v>
      </c>
      <c r="J510" s="22" t="s">
        <v>1305</v>
      </c>
      <c r="K510" s="22" t="s">
        <v>24</v>
      </c>
      <c r="L510" s="2" t="str">
        <f t="shared" si="7"/>
        <v>insert into CHB_DATACHECK_RULE (CHECKRULEID,DATATYPE,CHECKCLASS,CHECKMETHOD,SRCPROPERTY,COMPARETO,OBJVALUE,REMARK,STATUS,NULLABLE) values ('W84807E5-EF00-D024-E050-007F010077FD','CHB_ASSET_INFO','com.joyintech.tams.common.svreport.datacheck.service.BaseCheckLib','lessThanCharLength','EXERCISE_DATE','==','0','固定行权日要素必须为空。','E','Y');</v>
      </c>
    </row>
    <row r="511" spans="1:12" x14ac:dyDescent="0.15">
      <c r="A511" s="17">
        <v>508</v>
      </c>
      <c r="B511" s="21" t="s">
        <v>558</v>
      </c>
      <c r="C511" s="23" t="s">
        <v>1484</v>
      </c>
      <c r="D511" s="22" t="s">
        <v>21</v>
      </c>
      <c r="E511" s="22" t="s">
        <v>62</v>
      </c>
      <c r="F511" s="22" t="s">
        <v>1303</v>
      </c>
      <c r="G511" s="22" t="s">
        <v>25</v>
      </c>
      <c r="H511" s="21" t="s">
        <v>26</v>
      </c>
      <c r="I511" s="22" t="s">
        <v>27</v>
      </c>
      <c r="J511" s="22" t="s">
        <v>1305</v>
      </c>
      <c r="K511" s="22" t="s">
        <v>2389</v>
      </c>
      <c r="L511" s="2" t="str">
        <f t="shared" si="7"/>
        <v>insert into CHB_DATACHECK_RULE (CHECKRULEID,DATATYPE,CHECKCLASS,CHECKMETHOD,SRCPROPERTY,COMPARETO,OBJVALUE,REMARK,STATUS,NULLABLE) values ('W84807E5-EF00-D025-E050-007F010077FD','CHB_ASSET_INFO','com.joyintech.tams.common.svreport.datacheck.service.BaseCheckLib','lessThanCharLength','EXERCISE_DATE','==','0','固定行权日要素必须为空。','D','Y');</v>
      </c>
    </row>
    <row r="512" spans="1:12" x14ac:dyDescent="0.15">
      <c r="A512" s="9">
        <v>509</v>
      </c>
      <c r="B512" s="21" t="s">
        <v>559</v>
      </c>
      <c r="C512" s="23" t="s">
        <v>1484</v>
      </c>
      <c r="D512" s="22" t="s">
        <v>21</v>
      </c>
      <c r="E512" s="22" t="s">
        <v>22</v>
      </c>
      <c r="F512" s="22" t="s">
        <v>1306</v>
      </c>
      <c r="G512" s="22"/>
      <c r="H512" s="21"/>
      <c r="I512" s="22" t="s">
        <v>23</v>
      </c>
      <c r="J512" s="22" t="s">
        <v>1307</v>
      </c>
      <c r="K512" s="22" t="s">
        <v>24</v>
      </c>
      <c r="L512" s="2" t="str">
        <f t="shared" si="7"/>
        <v>insert into CHB_DATACHECK_RULE (CHECKRULEID,DATATYPE,CHECKCLASS,CHECKMETHOD,SRCPROPERTY,COMPARETO,OBJVALUE,REMARK,STATUS,NULLABLE) values ('W84807E5-EF00-D027-E050-007F010077FD','CHB_ASSET_INFO','com.joyintech.tams.common.svreport.datacheck.service.BaseCheckLib','isNotEmpty','FIRST_EXERCISE_DATE','','','首次行权日期要素不可为空。','E','N');</v>
      </c>
    </row>
    <row r="513" spans="1:12" x14ac:dyDescent="0.15">
      <c r="A513" s="17">
        <v>510</v>
      </c>
      <c r="B513" s="21" t="s">
        <v>560</v>
      </c>
      <c r="C513" s="23" t="s">
        <v>1484</v>
      </c>
      <c r="D513" s="22" t="s">
        <v>21</v>
      </c>
      <c r="E513" s="22" t="s">
        <v>62</v>
      </c>
      <c r="F513" s="22" t="s">
        <v>1306</v>
      </c>
      <c r="G513" s="22" t="s">
        <v>25</v>
      </c>
      <c r="H513" s="21" t="s">
        <v>26</v>
      </c>
      <c r="I513" s="22" t="s">
        <v>27</v>
      </c>
      <c r="J513" s="22" t="s">
        <v>1308</v>
      </c>
      <c r="K513" s="22" t="s">
        <v>24</v>
      </c>
      <c r="L513" s="2" t="str">
        <f t="shared" si="7"/>
        <v>insert into CHB_DATACHECK_RULE (CHECKRULEID,DATATYPE,CHECKCLASS,CHECKMETHOD,SRCPROPERTY,COMPARETO,OBJVALUE,REMARK,STATUS,NULLABLE) values ('W84807E5-EF00-D028-E050-007F010077FD','CHB_ASSET_INFO','com.joyintech.tams.common.svreport.datacheck.service.BaseCheckLib','lessThanCharLength','FIRST_EXERCISE_DATE','==','0','首次行权日期要素必须为空。','E','Y');</v>
      </c>
    </row>
    <row r="514" spans="1:12" x14ac:dyDescent="0.15">
      <c r="A514" s="9">
        <v>511</v>
      </c>
      <c r="B514" s="21" t="s">
        <v>561</v>
      </c>
      <c r="C514" s="23" t="s">
        <v>1484</v>
      </c>
      <c r="D514" s="22" t="s">
        <v>21</v>
      </c>
      <c r="E514" s="22" t="s">
        <v>62</v>
      </c>
      <c r="F514" s="22" t="s">
        <v>1306</v>
      </c>
      <c r="G514" s="22" t="s">
        <v>25</v>
      </c>
      <c r="H514" s="21" t="s">
        <v>26</v>
      </c>
      <c r="I514" s="22" t="s">
        <v>27</v>
      </c>
      <c r="J514" s="22" t="s">
        <v>1308</v>
      </c>
      <c r="K514" s="22" t="s">
        <v>2391</v>
      </c>
      <c r="L514" s="2" t="str">
        <f t="shared" si="7"/>
        <v>insert into CHB_DATACHECK_RULE (CHECKRULEID,DATATYPE,CHECKCLASS,CHECKMETHOD,SRCPROPERTY,COMPARETO,OBJVALUE,REMARK,STATUS,NULLABLE) values ('W84807E5-EF00-D029-E050-007F010077FD','CHB_ASSET_INFO','com.joyintech.tams.common.svreport.datacheck.service.BaseCheckLib','lessThanCharLength','FIRST_EXERCISE_DATE','==','0','首次行权日期要素必须为空。','D','Y');</v>
      </c>
    </row>
    <row r="515" spans="1:12" x14ac:dyDescent="0.15">
      <c r="A515" s="17">
        <v>512</v>
      </c>
      <c r="B515" s="21" t="s">
        <v>562</v>
      </c>
      <c r="C515" s="23" t="s">
        <v>1484</v>
      </c>
      <c r="D515" s="22" t="s">
        <v>21</v>
      </c>
      <c r="E515" s="22" t="s">
        <v>22</v>
      </c>
      <c r="F515" s="22" t="s">
        <v>1309</v>
      </c>
      <c r="G515" s="22"/>
      <c r="H515" s="21"/>
      <c r="I515" s="22" t="s">
        <v>23</v>
      </c>
      <c r="J515" s="22" t="s">
        <v>1310</v>
      </c>
      <c r="K515" s="22" t="s">
        <v>24</v>
      </c>
      <c r="L515" s="2" t="str">
        <f t="shared" ref="L515:L578" si="8">CONCATENATE("insert into CHB_DATACHECK_RULE (CHECKRULEID,DATATYPE,CHECKCLASS,CHECKMETHOD,SRCPROPERTY,COMPARETO,OBJVALUE,REMARK,STATUS,NULLABLE) values ('",B515,"','",C515,"','",D515,"','",E515,"','",F515,"','",G515,"','",H515,"','",J515,"','",K515,"','",I515,"');")</f>
        <v>insert into CHB_DATACHECK_RULE (CHECKRULEID,DATATYPE,CHECKCLASS,CHECKMETHOD,SRCPROPERTY,COMPARETO,OBJVALUE,REMARK,STATUS,NULLABLE) values ('W84807E5-EF00-D031-E050-007F010077FD','CHB_ASSET_INFO','com.joyintech.tams.common.svreport.datacheck.service.BaseCheckLib','isNotEmpty','EXERCISE_PERIOD','','','行权周期要素不可为空。','E','N');</v>
      </c>
    </row>
    <row r="516" spans="1:12" x14ac:dyDescent="0.15">
      <c r="A516" s="9">
        <v>513</v>
      </c>
      <c r="B516" s="21" t="s">
        <v>2383</v>
      </c>
      <c r="C516" s="23" t="s">
        <v>1484</v>
      </c>
      <c r="D516" s="22" t="s">
        <v>21</v>
      </c>
      <c r="E516" s="22" t="s">
        <v>62</v>
      </c>
      <c r="F516" s="22" t="s">
        <v>1309</v>
      </c>
      <c r="G516" s="22" t="s">
        <v>25</v>
      </c>
      <c r="H516" s="21" t="s">
        <v>26</v>
      </c>
      <c r="I516" s="22" t="s">
        <v>27</v>
      </c>
      <c r="J516" s="22" t="s">
        <v>1311</v>
      </c>
      <c r="K516" s="22" t="s">
        <v>24</v>
      </c>
      <c r="L516" s="2" t="str">
        <f t="shared" si="8"/>
        <v>insert into CHB_DATACHECK_RULE (CHECKRULEID,DATATYPE,CHECKCLASS,CHECKMETHOD,SRCPROPERTY,COMPARETO,OBJVALUE,REMARK,STATUS,NULLABLE) values ('W84807E5-EF00-D032-E050-007F010077FD','CHB_ASSET_INFO','com.joyintech.tams.common.svreport.datacheck.service.BaseCheckLib','lessThanCharLength','EXERCISE_PERIOD','==','0','行权周期要素必须为空。','E','Y');</v>
      </c>
    </row>
    <row r="517" spans="1:12" x14ac:dyDescent="0.15">
      <c r="A517" s="17">
        <v>514</v>
      </c>
      <c r="B517" s="21" t="s">
        <v>2384</v>
      </c>
      <c r="C517" s="23" t="s">
        <v>1484</v>
      </c>
      <c r="D517" s="22" t="s">
        <v>21</v>
      </c>
      <c r="E517" s="22" t="s">
        <v>62</v>
      </c>
      <c r="F517" s="22" t="s">
        <v>1309</v>
      </c>
      <c r="G517" s="22" t="s">
        <v>25</v>
      </c>
      <c r="H517" s="21" t="s">
        <v>26</v>
      </c>
      <c r="I517" s="22" t="s">
        <v>27</v>
      </c>
      <c r="J517" s="22" t="s">
        <v>1311</v>
      </c>
      <c r="K517" s="22" t="s">
        <v>2386</v>
      </c>
      <c r="L517" s="2" t="str">
        <f t="shared" si="8"/>
        <v>insert into CHB_DATACHECK_RULE (CHECKRULEID,DATATYPE,CHECKCLASS,CHECKMETHOD,SRCPROPERTY,COMPARETO,OBJVALUE,REMARK,STATUS,NULLABLE) values ('W84807E5-EF00-D033-E050-007F010077FD','CHB_ASSET_INFO','com.joyintech.tams.common.svreport.datacheck.service.BaseCheckLib','lessThanCharLength','EXERCISE_PERIOD','==','0','行权周期要素必须为空。','D','Y');</v>
      </c>
    </row>
    <row r="518" spans="1:12" x14ac:dyDescent="0.15">
      <c r="A518" s="9">
        <v>515</v>
      </c>
      <c r="B518" s="21" t="s">
        <v>564</v>
      </c>
      <c r="C518" s="23" t="s">
        <v>1484</v>
      </c>
      <c r="D518" s="22" t="s">
        <v>21</v>
      </c>
      <c r="E518" s="22" t="s">
        <v>28</v>
      </c>
      <c r="F518" s="22" t="s">
        <v>1309</v>
      </c>
      <c r="G518" s="22" t="s">
        <v>35</v>
      </c>
      <c r="H518" s="21" t="s">
        <v>29</v>
      </c>
      <c r="I518" s="22" t="s">
        <v>27</v>
      </c>
      <c r="J518" s="22" t="s">
        <v>1312</v>
      </c>
      <c r="K518" s="22" t="s">
        <v>24</v>
      </c>
      <c r="L518" s="2" t="str">
        <f t="shared" si="8"/>
        <v>insert into CHB_DATACHECK_RULE (CHECKRULEID,DATATYPE,CHECKCLASS,CHECKMETHOD,SRCPROPERTY,COMPARETO,OBJVALUE,REMARK,STATUS,NULLABLE) values ('W84807E5-EF00-D034-E050-007F010077FD','CHB_ASSET_INFO','com.joyintech.tams.common.svreport.datacheck.service.BaseCheckLib','isNumber','EXERCISE_PERIOD','&gt;=','5,0','行权周期要素必须为n(5)格式。','E','Y');</v>
      </c>
    </row>
    <row r="519" spans="1:12" x14ac:dyDescent="0.15">
      <c r="A519" s="17">
        <v>516</v>
      </c>
      <c r="B519" s="21" t="s">
        <v>565</v>
      </c>
      <c r="C519" s="23" t="s">
        <v>1484</v>
      </c>
      <c r="D519" s="22" t="s">
        <v>21</v>
      </c>
      <c r="E519" s="22" t="s">
        <v>34</v>
      </c>
      <c r="F519" s="22" t="s">
        <v>1309</v>
      </c>
      <c r="G519" s="22" t="s">
        <v>35</v>
      </c>
      <c r="H519" s="21" t="s">
        <v>26</v>
      </c>
      <c r="I519" s="22" t="s">
        <v>27</v>
      </c>
      <c r="J519" s="22" t="s">
        <v>1313</v>
      </c>
      <c r="K519" s="22" t="s">
        <v>24</v>
      </c>
      <c r="L519" s="2" t="str">
        <f t="shared" si="8"/>
        <v>insert into CHB_DATACHECK_RULE (CHECKRULEID,DATATYPE,CHECKCLASS,CHECKMETHOD,SRCPROPERTY,COMPARETO,OBJVALUE,REMARK,STATUS,NULLABLE) values ('W84807E5-EF00-D035-E050-007F010077FD','CHB_ASSET_INFO','com.joyintech.tams.common.svreport.datacheck.service.BaseCheckLib','compareValueAsNumber','EXERCISE_PERIOD','&gt;=','0','行权周期要素必须大于等于0。','E','Y');</v>
      </c>
    </row>
    <row r="520" spans="1:12" x14ac:dyDescent="0.15">
      <c r="A520" s="9">
        <v>517</v>
      </c>
      <c r="B520" s="21" t="s">
        <v>566</v>
      </c>
      <c r="C520" s="23" t="s">
        <v>1484</v>
      </c>
      <c r="D520" s="22" t="s">
        <v>21</v>
      </c>
      <c r="E520" s="22" t="s">
        <v>22</v>
      </c>
      <c r="F520" s="22" t="s">
        <v>1314</v>
      </c>
      <c r="G520" s="22"/>
      <c r="H520" s="21"/>
      <c r="I520" s="22" t="s">
        <v>23</v>
      </c>
      <c r="J520" s="22" t="s">
        <v>1315</v>
      </c>
      <c r="K520" s="22" t="s">
        <v>24</v>
      </c>
      <c r="L520" s="2" t="str">
        <f t="shared" si="8"/>
        <v>insert into CHB_DATACHECK_RULE (CHECKRULEID,DATATYPE,CHECKCLASS,CHECKMETHOD,SRCPROPERTY,COMPARETO,OBJVALUE,REMARK,STATUS,NULLABLE) values ('W84807E5-EF00-D036-E050-007F010077FD','CHB_ASSET_INFO','com.joyintech.tams.common.svreport.datacheck.service.BaseCheckLib','isNotEmpty','EXERCISE_PRICE','','','行权价格要素不可为空。','E','N');</v>
      </c>
    </row>
    <row r="521" spans="1:12" x14ac:dyDescent="0.15">
      <c r="A521" s="17">
        <v>518</v>
      </c>
      <c r="B521" s="21" t="s">
        <v>567</v>
      </c>
      <c r="C521" s="23" t="s">
        <v>1484</v>
      </c>
      <c r="D521" s="22" t="s">
        <v>21</v>
      </c>
      <c r="E521" s="22" t="s">
        <v>22</v>
      </c>
      <c r="F521" s="22" t="s">
        <v>1314</v>
      </c>
      <c r="G521" s="22"/>
      <c r="H521" s="21"/>
      <c r="I521" s="22" t="s">
        <v>23</v>
      </c>
      <c r="J521" s="22" t="s">
        <v>1315</v>
      </c>
      <c r="K521" s="22" t="s">
        <v>24</v>
      </c>
      <c r="L521" s="2" t="str">
        <f t="shared" si="8"/>
        <v>insert into CHB_DATACHECK_RULE (CHECKRULEID,DATATYPE,CHECKCLASS,CHECKMETHOD,SRCPROPERTY,COMPARETO,OBJVALUE,REMARK,STATUS,NULLABLE) values ('W84807E5-EF00-D037-E050-007F010077FD','CHB_ASSET_INFO','com.joyintech.tams.common.svreport.datacheck.service.BaseCheckLib','isNotEmpty','EXERCISE_PRICE','','','行权价格要素不可为空。','E','N');</v>
      </c>
    </row>
    <row r="522" spans="1:12" x14ac:dyDescent="0.15">
      <c r="A522" s="9">
        <v>519</v>
      </c>
      <c r="B522" s="21" t="s">
        <v>568</v>
      </c>
      <c r="C522" s="23" t="s">
        <v>1484</v>
      </c>
      <c r="D522" s="22" t="s">
        <v>21</v>
      </c>
      <c r="E522" s="22" t="s">
        <v>32</v>
      </c>
      <c r="F522" s="22" t="s">
        <v>1314</v>
      </c>
      <c r="G522" s="22" t="s">
        <v>35</v>
      </c>
      <c r="H522" s="21" t="s">
        <v>1316</v>
      </c>
      <c r="I522" s="22" t="s">
        <v>27</v>
      </c>
      <c r="J522" s="22" t="s">
        <v>1317</v>
      </c>
      <c r="K522" s="22" t="s">
        <v>24</v>
      </c>
      <c r="L522" s="2" t="str">
        <f t="shared" si="8"/>
        <v>insert into CHB_DATACHECK_RULE (CHECKRULEID,DATATYPE,CHECKCLASS,CHECKMETHOD,SRCPROPERTY,COMPARETO,OBJVALUE,REMARK,STATUS,NULLABLE) values ('W84807E5-EF00-D038-E050-007F010077FD','CHB_ASSET_INFO','com.joyintech.tams.common.svreport.datacheck.service.BaseCheckLib','isNumber2','EXERCISE_PRICE','&gt;=','17,4','行权价格要素必须为n(17,4)格式。','E','Y');</v>
      </c>
    </row>
    <row r="523" spans="1:12" x14ac:dyDescent="0.15">
      <c r="A523" s="17">
        <v>520</v>
      </c>
      <c r="B523" s="21" t="s">
        <v>569</v>
      </c>
      <c r="C523" s="23" t="s">
        <v>1484</v>
      </c>
      <c r="D523" s="22" t="s">
        <v>21</v>
      </c>
      <c r="E523" s="22" t="s">
        <v>22</v>
      </c>
      <c r="F523" s="22" t="s">
        <v>1318</v>
      </c>
      <c r="G523" s="22"/>
      <c r="H523" s="21"/>
      <c r="I523" s="22" t="s">
        <v>23</v>
      </c>
      <c r="J523" s="22" t="s">
        <v>1319</v>
      </c>
      <c r="K523" s="22" t="s">
        <v>24</v>
      </c>
      <c r="L523" s="2" t="str">
        <f t="shared" si="8"/>
        <v>insert into CHB_DATACHECK_RULE (CHECKRULEID,DATATYPE,CHECKCLASS,CHECKMETHOD,SRCPROPERTY,COMPARETO,OBJVALUE,REMARK,STATUS,NULLABLE) values ('W84807E5-EF00-D039-E050-007F010077FD','CHB_ASSET_INFO','com.joyintech.tams.common.svreport.datacheck.service.BaseCheckLib','isNotEmpty','PERPETUAL_CLAUSE_TYPE','','','永续条款类型要素不可为空。','E','N');</v>
      </c>
    </row>
    <row r="524" spans="1:12" x14ac:dyDescent="0.15">
      <c r="A524" s="9">
        <v>521</v>
      </c>
      <c r="B524" s="21" t="s">
        <v>570</v>
      </c>
      <c r="C524" s="23" t="s">
        <v>1484</v>
      </c>
      <c r="D524" s="22" t="s">
        <v>21</v>
      </c>
      <c r="E524" s="22" t="s">
        <v>62</v>
      </c>
      <c r="F524" s="22" t="s">
        <v>1318</v>
      </c>
      <c r="G524" s="22" t="s">
        <v>25</v>
      </c>
      <c r="H524" s="21" t="s">
        <v>26</v>
      </c>
      <c r="I524" s="22" t="s">
        <v>27</v>
      </c>
      <c r="J524" s="22" t="s">
        <v>1320</v>
      </c>
      <c r="K524" s="22" t="s">
        <v>24</v>
      </c>
      <c r="L524" s="2" t="str">
        <f t="shared" si="8"/>
        <v>insert into CHB_DATACHECK_RULE (CHECKRULEID,DATATYPE,CHECKCLASS,CHECKMETHOD,SRCPROPERTY,COMPARETO,OBJVALUE,REMARK,STATUS,NULLABLE) values ('W84807E5-EF00-D047-E050-007F010077FD','CHB_ASSET_INFO','com.joyintech.tams.common.svreport.datacheck.service.BaseCheckLib','lessThanCharLength','PERPETUAL_CLAUSE_TYPE','==','0','永续条款类型要素必须为空。','E','Y');</v>
      </c>
    </row>
    <row r="525" spans="1:12" x14ac:dyDescent="0.15">
      <c r="A525" s="17">
        <v>522</v>
      </c>
      <c r="B525" s="21" t="s">
        <v>571</v>
      </c>
      <c r="C525" s="23" t="s">
        <v>1484</v>
      </c>
      <c r="D525" s="22" t="s">
        <v>21</v>
      </c>
      <c r="E525" s="22" t="s">
        <v>30</v>
      </c>
      <c r="F525" s="22" t="s">
        <v>1318</v>
      </c>
      <c r="G525" s="22"/>
      <c r="H525" s="21" t="s">
        <v>1321</v>
      </c>
      <c r="I525" s="22" t="s">
        <v>27</v>
      </c>
      <c r="J525" s="22" t="s">
        <v>1322</v>
      </c>
      <c r="K525" s="22" t="s">
        <v>24</v>
      </c>
      <c r="L525" s="2" t="str">
        <f t="shared" si="8"/>
        <v>insert into CHB_DATACHECK_RULE (CHECKRULEID,DATATYPE,CHECKCLASS,CHECKMETHOD,SRCPROPERTY,COMPARETO,OBJVALUE,REMARK,STATUS,NULLABLE) values ('W84807E5-EF00-D048-E050-007F010077FD','CHB_ASSET_INFO','com.joyintech.tams.common.svreport.datacheck.service.BaseCheckLib','inDatadict','PERPETUAL_CLAUSE_TYPE','','SVR_PERPETUAL_CLAUSE_TYPE','永续条款类型要素不在值域范围内。','E','Y');</v>
      </c>
    </row>
    <row r="526" spans="1:12" x14ac:dyDescent="0.15">
      <c r="A526" s="9">
        <v>523</v>
      </c>
      <c r="B526" s="21" t="s">
        <v>572</v>
      </c>
      <c r="C526" s="23" t="s">
        <v>1484</v>
      </c>
      <c r="D526" s="22" t="s">
        <v>21</v>
      </c>
      <c r="E526" s="22" t="s">
        <v>22</v>
      </c>
      <c r="F526" s="22" t="s">
        <v>1323</v>
      </c>
      <c r="G526" s="22"/>
      <c r="H526" s="21"/>
      <c r="I526" s="22" t="s">
        <v>23</v>
      </c>
      <c r="J526" s="22" t="s">
        <v>1324</v>
      </c>
      <c r="K526" s="22" t="s">
        <v>24</v>
      </c>
      <c r="L526" s="2" t="str">
        <f t="shared" si="8"/>
        <v>insert into CHB_DATACHECK_RULE (CHECKRULEID,DATATYPE,CHECKCLASS,CHECKMETHOD,SRCPROPERTY,COMPARETO,OBJVALUE,REMARK,STATUS,NULLABLE) values ('W84807E5-EF00-D049-E050-007F010077FD','CHB_ASSET_INFO','com.joyintech.tams.common.svreport.datacheck.service.BaseCheckLib','isNotEmpty','DEFERRED_INTEREST_TYPE','','','利息递延条款类型要素不可为空。','E','N');</v>
      </c>
    </row>
    <row r="527" spans="1:12" x14ac:dyDescent="0.15">
      <c r="A527" s="17">
        <v>524</v>
      </c>
      <c r="B527" s="21" t="s">
        <v>573</v>
      </c>
      <c r="C527" s="23" t="s">
        <v>1484</v>
      </c>
      <c r="D527" s="22" t="s">
        <v>21</v>
      </c>
      <c r="E527" s="22" t="s">
        <v>22</v>
      </c>
      <c r="F527" s="22" t="s">
        <v>1323</v>
      </c>
      <c r="G527" s="22"/>
      <c r="H527" s="21"/>
      <c r="I527" s="22" t="s">
        <v>23</v>
      </c>
      <c r="J527" s="22" t="s">
        <v>1324</v>
      </c>
      <c r="K527" s="22" t="s">
        <v>24</v>
      </c>
      <c r="L527" s="2" t="str">
        <f t="shared" si="8"/>
        <v>insert into CHB_DATACHECK_RULE (CHECKRULEID,DATATYPE,CHECKCLASS,CHECKMETHOD,SRCPROPERTY,COMPARETO,OBJVALUE,REMARK,STATUS,NULLABLE) values ('W84807E5-EF00-D050-E050-007F010077FD','CHB_ASSET_INFO','com.joyintech.tams.common.svreport.datacheck.service.BaseCheckLib','isNotEmpty','DEFERRED_INTEREST_TYPE','','','利息递延条款类型要素不可为空。','E','N');</v>
      </c>
    </row>
    <row r="528" spans="1:12" x14ac:dyDescent="0.15">
      <c r="A528" s="9">
        <v>525</v>
      </c>
      <c r="B528" s="21" t="s">
        <v>574</v>
      </c>
      <c r="C528" s="23" t="s">
        <v>1484</v>
      </c>
      <c r="D528" s="22" t="s">
        <v>21</v>
      </c>
      <c r="E528" s="22" t="s">
        <v>22</v>
      </c>
      <c r="F528" s="22" t="s">
        <v>1323</v>
      </c>
      <c r="G528" s="22"/>
      <c r="H528" s="21"/>
      <c r="I528" s="22" t="s">
        <v>23</v>
      </c>
      <c r="J528" s="22" t="s">
        <v>1324</v>
      </c>
      <c r="K528" s="22" t="s">
        <v>24</v>
      </c>
      <c r="L528" s="2" t="str">
        <f t="shared" si="8"/>
        <v>insert into CHB_DATACHECK_RULE (CHECKRULEID,DATATYPE,CHECKCLASS,CHECKMETHOD,SRCPROPERTY,COMPARETO,OBJVALUE,REMARK,STATUS,NULLABLE) values ('W84807E5-EF00-D051-E050-007F010077FD','CHB_ASSET_INFO','com.joyintech.tams.common.svreport.datacheck.service.BaseCheckLib','isNotEmpty','DEFERRED_INTEREST_TYPE','','','利息递延条款类型要素不可为空。','E','N');</v>
      </c>
    </row>
    <row r="529" spans="1:12" x14ac:dyDescent="0.15">
      <c r="A529" s="17">
        <v>526</v>
      </c>
      <c r="B529" s="21" t="s">
        <v>575</v>
      </c>
      <c r="C529" s="23" t="s">
        <v>1484</v>
      </c>
      <c r="D529" s="22" t="s">
        <v>21</v>
      </c>
      <c r="E529" s="22" t="s">
        <v>22</v>
      </c>
      <c r="F529" s="22" t="s">
        <v>1323</v>
      </c>
      <c r="G529" s="22"/>
      <c r="H529" s="21"/>
      <c r="I529" s="22" t="s">
        <v>23</v>
      </c>
      <c r="J529" s="22" t="s">
        <v>1324</v>
      </c>
      <c r="K529" s="22" t="s">
        <v>24</v>
      </c>
      <c r="L529" s="2" t="str">
        <f t="shared" si="8"/>
        <v>insert into CHB_DATACHECK_RULE (CHECKRULEID,DATATYPE,CHECKCLASS,CHECKMETHOD,SRCPROPERTY,COMPARETO,OBJVALUE,REMARK,STATUS,NULLABLE) values ('W84807E5-EF00-D052-E050-007F010077FD','CHB_ASSET_INFO','com.joyintech.tams.common.svreport.datacheck.service.BaseCheckLib','isNotEmpty','DEFERRED_INTEREST_TYPE','','','利息递延条款类型要素不可为空。','E','N');</v>
      </c>
    </row>
    <row r="530" spans="1:12" x14ac:dyDescent="0.15">
      <c r="A530" s="9">
        <v>527</v>
      </c>
      <c r="B530" s="21" t="s">
        <v>576</v>
      </c>
      <c r="C530" s="23" t="s">
        <v>1484</v>
      </c>
      <c r="D530" s="22" t="s">
        <v>21</v>
      </c>
      <c r="E530" s="22" t="s">
        <v>22</v>
      </c>
      <c r="F530" s="22" t="s">
        <v>1323</v>
      </c>
      <c r="G530" s="22"/>
      <c r="H530" s="21"/>
      <c r="I530" s="22" t="s">
        <v>23</v>
      </c>
      <c r="J530" s="22" t="s">
        <v>1324</v>
      </c>
      <c r="K530" s="22" t="s">
        <v>24</v>
      </c>
      <c r="L530" s="2" t="str">
        <f t="shared" si="8"/>
        <v>insert into CHB_DATACHECK_RULE (CHECKRULEID,DATATYPE,CHECKCLASS,CHECKMETHOD,SRCPROPERTY,COMPARETO,OBJVALUE,REMARK,STATUS,NULLABLE) values ('W84807E5-EF00-D053-E050-007F010077FD','CHB_ASSET_INFO','com.joyintech.tams.common.svreport.datacheck.service.BaseCheckLib','isNotEmpty','DEFERRED_INTEREST_TYPE','','','利息递延条款类型要素不可为空。','E','N');</v>
      </c>
    </row>
    <row r="531" spans="1:12" x14ac:dyDescent="0.15">
      <c r="A531" s="17">
        <v>528</v>
      </c>
      <c r="B531" s="21" t="s">
        <v>577</v>
      </c>
      <c r="C531" s="23" t="s">
        <v>1484</v>
      </c>
      <c r="D531" s="22" t="s">
        <v>21</v>
      </c>
      <c r="E531" s="22" t="s">
        <v>22</v>
      </c>
      <c r="F531" s="22" t="s">
        <v>1323</v>
      </c>
      <c r="G531" s="22"/>
      <c r="H531" s="21"/>
      <c r="I531" s="22" t="s">
        <v>23</v>
      </c>
      <c r="J531" s="22" t="s">
        <v>1324</v>
      </c>
      <c r="K531" s="22" t="s">
        <v>24</v>
      </c>
      <c r="L531" s="2" t="str">
        <f t="shared" si="8"/>
        <v>insert into CHB_DATACHECK_RULE (CHECKRULEID,DATATYPE,CHECKCLASS,CHECKMETHOD,SRCPROPERTY,COMPARETO,OBJVALUE,REMARK,STATUS,NULLABLE) values ('W84807E5-EF00-D054-E050-007F010077FD','CHB_ASSET_INFO','com.joyintech.tams.common.svreport.datacheck.service.BaseCheckLib','isNotEmpty','DEFERRED_INTEREST_TYPE','','','利息递延条款类型要素不可为空。','E','N');</v>
      </c>
    </row>
    <row r="532" spans="1:12" x14ac:dyDescent="0.15">
      <c r="A532" s="9">
        <v>529</v>
      </c>
      <c r="B532" s="21" t="s">
        <v>578</v>
      </c>
      <c r="C532" s="23" t="s">
        <v>1484</v>
      </c>
      <c r="D532" s="22" t="s">
        <v>21</v>
      </c>
      <c r="E532" s="22" t="s">
        <v>22</v>
      </c>
      <c r="F532" s="22" t="s">
        <v>1323</v>
      </c>
      <c r="G532" s="22"/>
      <c r="H532" s="21"/>
      <c r="I532" s="22" t="s">
        <v>23</v>
      </c>
      <c r="J532" s="22" t="s">
        <v>1324</v>
      </c>
      <c r="K532" s="22" t="s">
        <v>24</v>
      </c>
      <c r="L532" s="2" t="str">
        <f t="shared" si="8"/>
        <v>insert into CHB_DATACHECK_RULE (CHECKRULEID,DATATYPE,CHECKCLASS,CHECKMETHOD,SRCPROPERTY,COMPARETO,OBJVALUE,REMARK,STATUS,NULLABLE) values ('W84807E5-EF00-D055-E050-007F010077FD','CHB_ASSET_INFO','com.joyintech.tams.common.svreport.datacheck.service.BaseCheckLib','isNotEmpty','DEFERRED_INTEREST_TYPE','','','利息递延条款类型要素不可为空。','E','N');</v>
      </c>
    </row>
    <row r="533" spans="1:12" x14ac:dyDescent="0.15">
      <c r="A533" s="17">
        <v>530</v>
      </c>
      <c r="B533" s="21" t="s">
        <v>579</v>
      </c>
      <c r="C533" s="23" t="s">
        <v>1484</v>
      </c>
      <c r="D533" s="22" t="s">
        <v>21</v>
      </c>
      <c r="E533" s="22" t="s">
        <v>22</v>
      </c>
      <c r="F533" s="22" t="s">
        <v>1323</v>
      </c>
      <c r="G533" s="22"/>
      <c r="H533" s="21"/>
      <c r="I533" s="22" t="s">
        <v>23</v>
      </c>
      <c r="J533" s="22" t="s">
        <v>1324</v>
      </c>
      <c r="K533" s="22" t="s">
        <v>24</v>
      </c>
      <c r="L533" s="2" t="str">
        <f t="shared" si="8"/>
        <v>insert into CHB_DATACHECK_RULE (CHECKRULEID,DATATYPE,CHECKCLASS,CHECKMETHOD,SRCPROPERTY,COMPARETO,OBJVALUE,REMARK,STATUS,NULLABLE) values ('W84807E5-EF00-D056-E050-007F010077FD','CHB_ASSET_INFO','com.joyintech.tams.common.svreport.datacheck.service.BaseCheckLib','isNotEmpty','DEFERRED_INTEREST_TYPE','','','利息递延条款类型要素不可为空。','E','N');</v>
      </c>
    </row>
    <row r="534" spans="1:12" x14ac:dyDescent="0.15">
      <c r="A534" s="9">
        <v>531</v>
      </c>
      <c r="B534" s="21" t="s">
        <v>580</v>
      </c>
      <c r="C534" s="23" t="s">
        <v>1484</v>
      </c>
      <c r="D534" s="22" t="s">
        <v>21</v>
      </c>
      <c r="E534" s="22" t="s">
        <v>62</v>
      </c>
      <c r="F534" s="22" t="s">
        <v>1323</v>
      </c>
      <c r="G534" s="22" t="s">
        <v>25</v>
      </c>
      <c r="H534" s="21" t="s">
        <v>26</v>
      </c>
      <c r="I534" s="22" t="s">
        <v>27</v>
      </c>
      <c r="J534" s="22" t="s">
        <v>1325</v>
      </c>
      <c r="K534" s="22" t="s">
        <v>24</v>
      </c>
      <c r="L534" s="2" t="str">
        <f t="shared" si="8"/>
        <v>insert into CHB_DATACHECK_RULE (CHECKRULEID,DATATYPE,CHECKCLASS,CHECKMETHOD,SRCPROPERTY,COMPARETO,OBJVALUE,REMARK,STATUS,NULLABLE) values ('W84807E5-EF00-D057-E050-007F010077FD','CHB_ASSET_INFO','com.joyintech.tams.common.svreport.datacheck.service.BaseCheckLib','lessThanCharLength','DEFERRED_INTEREST_TYPE','==','0','利息递延条款类型要素必须为空。','E','Y');</v>
      </c>
    </row>
    <row r="535" spans="1:12" x14ac:dyDescent="0.15">
      <c r="A535" s="17">
        <v>532</v>
      </c>
      <c r="B535" s="21" t="s">
        <v>581</v>
      </c>
      <c r="C535" s="23" t="s">
        <v>1484</v>
      </c>
      <c r="D535" s="22" t="s">
        <v>21</v>
      </c>
      <c r="E535" s="22" t="s">
        <v>30</v>
      </c>
      <c r="F535" s="22" t="s">
        <v>1323</v>
      </c>
      <c r="G535" s="22"/>
      <c r="H535" s="21" t="s">
        <v>1326</v>
      </c>
      <c r="I535" s="22" t="s">
        <v>27</v>
      </c>
      <c r="J535" s="22" t="s">
        <v>1327</v>
      </c>
      <c r="K535" s="22" t="s">
        <v>24</v>
      </c>
      <c r="L535" s="2" t="str">
        <f t="shared" si="8"/>
        <v>insert into CHB_DATACHECK_RULE (CHECKRULEID,DATATYPE,CHECKCLASS,CHECKMETHOD,SRCPROPERTY,COMPARETO,OBJVALUE,REMARK,STATUS,NULLABLE) values ('W84807E5-EF00-D058-E050-007F010077FD','CHB_ASSET_INFO','com.joyintech.tams.common.svreport.datacheck.service.BaseCheckLib','inDatadict','DEFERRED_INTEREST_TYPE','','SVR_DEFERRED_INTEREST_TYPE','利息递延条款类型要素不在值域范围内。','E','Y');</v>
      </c>
    </row>
    <row r="536" spans="1:12" x14ac:dyDescent="0.15">
      <c r="A536" s="9">
        <v>533</v>
      </c>
      <c r="B536" s="21" t="s">
        <v>582</v>
      </c>
      <c r="C536" s="23" t="s">
        <v>1484</v>
      </c>
      <c r="D536" s="22" t="s">
        <v>21</v>
      </c>
      <c r="E536" s="22" t="s">
        <v>22</v>
      </c>
      <c r="F536" s="22" t="s">
        <v>1328</v>
      </c>
      <c r="G536" s="22"/>
      <c r="H536" s="21"/>
      <c r="I536" s="22" t="s">
        <v>23</v>
      </c>
      <c r="J536" s="22" t="s">
        <v>1329</v>
      </c>
      <c r="K536" s="22" t="s">
        <v>24</v>
      </c>
      <c r="L536" s="2" t="str">
        <f t="shared" si="8"/>
        <v>insert into CHB_DATACHECK_RULE (CHECKRULEID,DATATYPE,CHECKCLASS,CHECKMETHOD,SRCPROPERTY,COMPARETO,OBJVALUE,REMARK,STATUS,NULLABLE) values ('W84807E5-EF00-D059-E050-007F010077FD','CHB_ASSET_INFO','com.joyintech.tams.common.svreport.datacheck.service.BaseCheckLib','isNotEmpty','DEFERRED_INTEREST_INT','','','递延利息是否计息要素不可为空。','E','N');</v>
      </c>
    </row>
    <row r="537" spans="1:12" x14ac:dyDescent="0.15">
      <c r="A537" s="17">
        <v>534</v>
      </c>
      <c r="B537" s="21" t="s">
        <v>583</v>
      </c>
      <c r="C537" s="23" t="s">
        <v>1484</v>
      </c>
      <c r="D537" s="22" t="s">
        <v>21</v>
      </c>
      <c r="E537" s="22" t="s">
        <v>22</v>
      </c>
      <c r="F537" s="22" t="s">
        <v>1328</v>
      </c>
      <c r="G537" s="22"/>
      <c r="H537" s="21"/>
      <c r="I537" s="22" t="s">
        <v>23</v>
      </c>
      <c r="J537" s="22" t="s">
        <v>1329</v>
      </c>
      <c r="K537" s="22" t="s">
        <v>24</v>
      </c>
      <c r="L537" s="2" t="str">
        <f t="shared" si="8"/>
        <v>insert into CHB_DATACHECK_RULE (CHECKRULEID,DATATYPE,CHECKCLASS,CHECKMETHOD,SRCPROPERTY,COMPARETO,OBJVALUE,REMARK,STATUS,NULLABLE) values ('W84807E5-EF00-D060-E050-007F010077FD','CHB_ASSET_INFO','com.joyintech.tams.common.svreport.datacheck.service.BaseCheckLib','isNotEmpty','DEFERRED_INTEREST_INT','','','递延利息是否计息要素不可为空。','E','N');</v>
      </c>
    </row>
    <row r="538" spans="1:12" x14ac:dyDescent="0.15">
      <c r="A538" s="9">
        <v>535</v>
      </c>
      <c r="B538" s="21" t="s">
        <v>584</v>
      </c>
      <c r="C538" s="23" t="s">
        <v>1484</v>
      </c>
      <c r="D538" s="22" t="s">
        <v>21</v>
      </c>
      <c r="E538" s="22" t="s">
        <v>62</v>
      </c>
      <c r="F538" s="22" t="s">
        <v>1328</v>
      </c>
      <c r="G538" s="22" t="s">
        <v>25</v>
      </c>
      <c r="H538" s="21" t="s">
        <v>26</v>
      </c>
      <c r="I538" s="22" t="s">
        <v>27</v>
      </c>
      <c r="J538" s="22" t="s">
        <v>1330</v>
      </c>
      <c r="K538" s="22" t="s">
        <v>24</v>
      </c>
      <c r="L538" s="2" t="str">
        <f t="shared" si="8"/>
        <v>insert into CHB_DATACHECK_RULE (CHECKRULEID,DATATYPE,CHECKCLASS,CHECKMETHOD,SRCPROPERTY,COMPARETO,OBJVALUE,REMARK,STATUS,NULLABLE) values ('W84807E5-EF00-D061-E050-007F010077FD','CHB_ASSET_INFO','com.joyintech.tams.common.svreport.datacheck.service.BaseCheckLib','lessThanCharLength','DEFERRED_INTEREST_INT','==','0','递延利息是否计息要素必须为空。','E','Y');</v>
      </c>
    </row>
    <row r="539" spans="1:12" x14ac:dyDescent="0.15">
      <c r="A539" s="17">
        <v>536</v>
      </c>
      <c r="B539" s="21" t="s">
        <v>585</v>
      </c>
      <c r="C539" s="23" t="s">
        <v>1484</v>
      </c>
      <c r="D539" s="22" t="s">
        <v>21</v>
      </c>
      <c r="E539" s="22" t="s">
        <v>62</v>
      </c>
      <c r="F539" s="22" t="s">
        <v>1328</v>
      </c>
      <c r="G539" s="22" t="s">
        <v>25</v>
      </c>
      <c r="H539" s="21" t="s">
        <v>26</v>
      </c>
      <c r="I539" s="22" t="s">
        <v>27</v>
      </c>
      <c r="J539" s="22" t="s">
        <v>1330</v>
      </c>
      <c r="K539" s="22" t="s">
        <v>24</v>
      </c>
      <c r="L539" s="2" t="str">
        <f t="shared" si="8"/>
        <v>insert into CHB_DATACHECK_RULE (CHECKRULEID,DATATYPE,CHECKCLASS,CHECKMETHOD,SRCPROPERTY,COMPARETO,OBJVALUE,REMARK,STATUS,NULLABLE) values ('W84807E5-EF00-D062-E050-007F010077FD','CHB_ASSET_INFO','com.joyintech.tams.common.svreport.datacheck.service.BaseCheckLib','lessThanCharLength','DEFERRED_INTEREST_INT','==','0','递延利息是否计息要素必须为空。','E','Y');</v>
      </c>
    </row>
    <row r="540" spans="1:12" x14ac:dyDescent="0.15">
      <c r="A540" s="9">
        <v>537</v>
      </c>
      <c r="B540" s="21" t="s">
        <v>586</v>
      </c>
      <c r="C540" s="23" t="s">
        <v>1484</v>
      </c>
      <c r="D540" s="22" t="s">
        <v>21</v>
      </c>
      <c r="E540" s="22" t="s">
        <v>30</v>
      </c>
      <c r="F540" s="22" t="s">
        <v>1328</v>
      </c>
      <c r="G540" s="22"/>
      <c r="H540" s="21" t="s">
        <v>814</v>
      </c>
      <c r="I540" s="22" t="s">
        <v>27</v>
      </c>
      <c r="J540" s="22" t="s">
        <v>1331</v>
      </c>
      <c r="K540" s="22" t="s">
        <v>24</v>
      </c>
      <c r="L540" s="2" t="str">
        <f t="shared" si="8"/>
        <v>insert into CHB_DATACHECK_RULE (CHECKRULEID,DATATYPE,CHECKCLASS,CHECKMETHOD,SRCPROPERTY,COMPARETO,OBJVALUE,REMARK,STATUS,NULLABLE) values ('W84807E5-EF00-D063-E050-007F010077FD','CHB_ASSET_INFO','com.joyintech.tams.common.svreport.datacheck.service.BaseCheckLib','inDatadict','DEFERRED_INTEREST_INT','','SVR_YES_OR_NO','递延利息是否计息要素不在值域范围内。','E','Y');</v>
      </c>
    </row>
    <row r="541" spans="1:12" x14ac:dyDescent="0.15">
      <c r="A541" s="17">
        <v>538</v>
      </c>
      <c r="B541" s="21" t="s">
        <v>587</v>
      </c>
      <c r="C541" s="23" t="s">
        <v>1484</v>
      </c>
      <c r="D541" s="22" t="s">
        <v>21</v>
      </c>
      <c r="E541" s="22" t="s">
        <v>22</v>
      </c>
      <c r="F541" s="22" t="s">
        <v>1332</v>
      </c>
      <c r="G541" s="22"/>
      <c r="H541" s="21"/>
      <c r="I541" s="22" t="s">
        <v>23</v>
      </c>
      <c r="J541" s="22" t="s">
        <v>1333</v>
      </c>
      <c r="K541" s="22" t="s">
        <v>24</v>
      </c>
      <c r="L541" s="2" t="str">
        <f t="shared" si="8"/>
        <v>insert into CHB_DATACHECK_RULE (CHECKRULEID,DATATYPE,CHECKCLASS,CHECKMETHOD,SRCPROPERTY,COMPARETO,OBJVALUE,REMARK,STATUS,NULLABLE) values ('W84807E5-EF00-D064-E050-007F010077FD','CHB_ASSET_INFO','com.joyintech.tams.common.svreport.datacheck.service.BaseCheckLib','isNotEmpty','FIRST_REPRCE_DATE','','','首次重定价日期要素不可为空。','E','N');</v>
      </c>
    </row>
    <row r="542" spans="1:12" x14ac:dyDescent="0.15">
      <c r="A542" s="9">
        <v>539</v>
      </c>
      <c r="B542" s="21" t="s">
        <v>588</v>
      </c>
      <c r="C542" s="23" t="s">
        <v>1484</v>
      </c>
      <c r="D542" s="22" t="s">
        <v>21</v>
      </c>
      <c r="E542" s="22" t="s">
        <v>22</v>
      </c>
      <c r="F542" s="22" t="s">
        <v>1332</v>
      </c>
      <c r="G542" s="22"/>
      <c r="H542" s="21"/>
      <c r="I542" s="22" t="s">
        <v>23</v>
      </c>
      <c r="J542" s="22" t="s">
        <v>1333</v>
      </c>
      <c r="K542" s="22" t="s">
        <v>24</v>
      </c>
      <c r="L542" s="2" t="str">
        <f t="shared" si="8"/>
        <v>insert into CHB_DATACHECK_RULE (CHECKRULEID,DATATYPE,CHECKCLASS,CHECKMETHOD,SRCPROPERTY,COMPARETO,OBJVALUE,REMARK,STATUS,NULLABLE) values ('W84807E5-EF00-D065-E050-007F010077FD','CHB_ASSET_INFO','com.joyintech.tams.common.svreport.datacheck.service.BaseCheckLib','isNotEmpty','FIRST_REPRCE_DATE','','','首次重定价日期要素不可为空。','E','N');</v>
      </c>
    </row>
    <row r="543" spans="1:12" x14ac:dyDescent="0.15">
      <c r="A543" s="17">
        <v>540</v>
      </c>
      <c r="B543" s="21" t="s">
        <v>589</v>
      </c>
      <c r="C543" s="23" t="s">
        <v>1484</v>
      </c>
      <c r="D543" s="22" t="s">
        <v>21</v>
      </c>
      <c r="E543" s="22" t="s">
        <v>62</v>
      </c>
      <c r="F543" s="22" t="s">
        <v>1332</v>
      </c>
      <c r="G543" s="22" t="s">
        <v>25</v>
      </c>
      <c r="H543" s="21" t="s">
        <v>26</v>
      </c>
      <c r="I543" s="22" t="s">
        <v>27</v>
      </c>
      <c r="J543" s="22" t="s">
        <v>1334</v>
      </c>
      <c r="K543" s="22" t="s">
        <v>24</v>
      </c>
      <c r="L543" s="2" t="str">
        <f t="shared" si="8"/>
        <v>insert into CHB_DATACHECK_RULE (CHECKRULEID,DATATYPE,CHECKCLASS,CHECKMETHOD,SRCPROPERTY,COMPARETO,OBJVALUE,REMARK,STATUS,NULLABLE) values ('W84807E5-EF00-D066-E050-007F010077FD','CHB_ASSET_INFO','com.joyintech.tams.common.svreport.datacheck.service.BaseCheckLib','lessThanCharLength','FIRST_REPRCE_DATE','==','0','首次重定价日期要素必须为空。','E','Y');</v>
      </c>
    </row>
    <row r="544" spans="1:12" x14ac:dyDescent="0.15">
      <c r="A544" s="9">
        <v>541</v>
      </c>
      <c r="B544" s="21" t="s">
        <v>590</v>
      </c>
      <c r="C544" s="23" t="s">
        <v>1484</v>
      </c>
      <c r="D544" s="22" t="s">
        <v>21</v>
      </c>
      <c r="E544" s="22" t="s">
        <v>62</v>
      </c>
      <c r="F544" s="22" t="s">
        <v>1332</v>
      </c>
      <c r="G544" s="22" t="s">
        <v>25</v>
      </c>
      <c r="H544" s="21" t="s">
        <v>26</v>
      </c>
      <c r="I544" s="22" t="s">
        <v>27</v>
      </c>
      <c r="J544" s="22" t="s">
        <v>1334</v>
      </c>
      <c r="K544" s="22" t="s">
        <v>24</v>
      </c>
      <c r="L544" s="2" t="str">
        <f t="shared" si="8"/>
        <v>insert into CHB_DATACHECK_RULE (CHECKRULEID,DATATYPE,CHECKCLASS,CHECKMETHOD,SRCPROPERTY,COMPARETO,OBJVALUE,REMARK,STATUS,NULLABLE) values ('W84807E5-EF00-D067-E050-007F010077FD','CHB_ASSET_INFO','com.joyintech.tams.common.svreport.datacheck.service.BaseCheckLib','lessThanCharLength','FIRST_REPRCE_DATE','==','0','首次重定价日期要素必须为空。','E','Y');</v>
      </c>
    </row>
    <row r="545" spans="1:12" x14ac:dyDescent="0.15">
      <c r="A545" s="17">
        <v>542</v>
      </c>
      <c r="B545" s="21" t="s">
        <v>591</v>
      </c>
      <c r="C545" s="23" t="s">
        <v>1484</v>
      </c>
      <c r="D545" s="22" t="s">
        <v>21</v>
      </c>
      <c r="E545" s="22" t="s">
        <v>38</v>
      </c>
      <c r="F545" s="22" t="s">
        <v>1332</v>
      </c>
      <c r="G545" s="22"/>
      <c r="H545" s="21" t="s">
        <v>767</v>
      </c>
      <c r="I545" s="22" t="s">
        <v>27</v>
      </c>
      <c r="J545" s="22" t="s">
        <v>1335</v>
      </c>
      <c r="K545" s="22" t="s">
        <v>24</v>
      </c>
      <c r="L545" s="2" t="str">
        <f t="shared" si="8"/>
        <v>insert into CHB_DATACHECK_RULE (CHECKRULEID,DATATYPE,CHECKCLASS,CHECKMETHOD,SRCPROPERTY,COMPARETO,OBJVALUE,REMARK,STATUS,NULLABLE) values ('W84807E5-EF00-D068-E050-007F010077FD','CHB_ASSET_INFO','com.joyintech.tams.common.svreport.datacheck.service.BaseCheckLib','isValidDate','FIRST_REPRCE_DATE','','yyyy-MM-dd','首次重定价日期要素必须为日期格式（YYYY-MM-DD）。','E','Y');</v>
      </c>
    </row>
    <row r="546" spans="1:12" x14ac:dyDescent="0.15">
      <c r="A546" s="9">
        <v>543</v>
      </c>
      <c r="B546" s="21" t="s">
        <v>592</v>
      </c>
      <c r="C546" s="23" t="s">
        <v>1484</v>
      </c>
      <c r="D546" s="22" t="s">
        <v>21</v>
      </c>
      <c r="E546" s="22" t="s">
        <v>22</v>
      </c>
      <c r="F546" s="22" t="s">
        <v>1336</v>
      </c>
      <c r="G546" s="22"/>
      <c r="H546" s="21"/>
      <c r="I546" s="22" t="s">
        <v>23</v>
      </c>
      <c r="J546" s="22" t="s">
        <v>1337</v>
      </c>
      <c r="K546" s="22" t="s">
        <v>24</v>
      </c>
      <c r="L546" s="2" t="str">
        <f t="shared" si="8"/>
        <v>insert into CHB_DATACHECK_RULE (CHECKRULEID,DATATYPE,CHECKCLASS,CHECKMETHOD,SRCPROPERTY,COMPARETO,OBJVALUE,REMARK,STATUS,NULLABLE) values ('W84807E5-EF00-D069-E050-007F010077FD','CHB_ASSET_INFO','com.joyintech.tams.common.svreport.datacheck.service.BaseCheckLib','isNotEmpty','REPRCE_CYCLE','','','重定价周期要素不可为空。','E','N');</v>
      </c>
    </row>
    <row r="547" spans="1:12" x14ac:dyDescent="0.15">
      <c r="A547" s="17">
        <v>544</v>
      </c>
      <c r="B547" s="21" t="s">
        <v>593</v>
      </c>
      <c r="C547" s="23" t="s">
        <v>1484</v>
      </c>
      <c r="D547" s="22" t="s">
        <v>21</v>
      </c>
      <c r="E547" s="22" t="s">
        <v>22</v>
      </c>
      <c r="F547" s="22" t="s">
        <v>1336</v>
      </c>
      <c r="G547" s="22"/>
      <c r="H547" s="21"/>
      <c r="I547" s="22" t="s">
        <v>23</v>
      </c>
      <c r="J547" s="22" t="s">
        <v>1337</v>
      </c>
      <c r="K547" s="22" t="s">
        <v>24</v>
      </c>
      <c r="L547" s="2" t="str">
        <f t="shared" si="8"/>
        <v>insert into CHB_DATACHECK_RULE (CHECKRULEID,DATATYPE,CHECKCLASS,CHECKMETHOD,SRCPROPERTY,COMPARETO,OBJVALUE,REMARK,STATUS,NULLABLE) values ('W84807E5-EF00-D070-E050-007F010077FD','CHB_ASSET_INFO','com.joyintech.tams.common.svreport.datacheck.service.BaseCheckLib','isNotEmpty','REPRCE_CYCLE','','','重定价周期要素不可为空。','E','N');</v>
      </c>
    </row>
    <row r="548" spans="1:12" x14ac:dyDescent="0.15">
      <c r="A548" s="9">
        <v>545</v>
      </c>
      <c r="B548" s="21" t="s">
        <v>594</v>
      </c>
      <c r="C548" s="23" t="s">
        <v>1484</v>
      </c>
      <c r="D548" s="22" t="s">
        <v>21</v>
      </c>
      <c r="E548" s="22" t="s">
        <v>62</v>
      </c>
      <c r="F548" s="22" t="s">
        <v>1336</v>
      </c>
      <c r="G548" s="22" t="s">
        <v>25</v>
      </c>
      <c r="H548" s="21" t="s">
        <v>26</v>
      </c>
      <c r="I548" s="22" t="s">
        <v>27</v>
      </c>
      <c r="J548" s="22" t="s">
        <v>1338</v>
      </c>
      <c r="K548" s="22" t="s">
        <v>24</v>
      </c>
      <c r="L548" s="2" t="str">
        <f t="shared" si="8"/>
        <v>insert into CHB_DATACHECK_RULE (CHECKRULEID,DATATYPE,CHECKCLASS,CHECKMETHOD,SRCPROPERTY,COMPARETO,OBJVALUE,REMARK,STATUS,NULLABLE) values ('W84807E5-EF00-D071-E050-007F010077FD','CHB_ASSET_INFO','com.joyintech.tams.common.svreport.datacheck.service.BaseCheckLib','lessThanCharLength','REPRCE_CYCLE','==','0','重定价周期要素必须为空。','E','Y');</v>
      </c>
    </row>
    <row r="549" spans="1:12" x14ac:dyDescent="0.15">
      <c r="A549" s="17">
        <v>546</v>
      </c>
      <c r="B549" s="21" t="s">
        <v>595</v>
      </c>
      <c r="C549" s="23" t="s">
        <v>1484</v>
      </c>
      <c r="D549" s="22" t="s">
        <v>21</v>
      </c>
      <c r="E549" s="22" t="s">
        <v>62</v>
      </c>
      <c r="F549" s="22" t="s">
        <v>1336</v>
      </c>
      <c r="G549" s="22" t="s">
        <v>25</v>
      </c>
      <c r="H549" s="21" t="s">
        <v>26</v>
      </c>
      <c r="I549" s="22" t="s">
        <v>27</v>
      </c>
      <c r="J549" s="22" t="s">
        <v>1338</v>
      </c>
      <c r="K549" s="22" t="s">
        <v>24</v>
      </c>
      <c r="L549" s="2" t="str">
        <f t="shared" si="8"/>
        <v>insert into CHB_DATACHECK_RULE (CHECKRULEID,DATATYPE,CHECKCLASS,CHECKMETHOD,SRCPROPERTY,COMPARETO,OBJVALUE,REMARK,STATUS,NULLABLE) values ('W84807E5-EF00-D072-E050-007F010077FD','CHB_ASSET_INFO','com.joyintech.tams.common.svreport.datacheck.service.BaseCheckLib','lessThanCharLength','REPRCE_CYCLE','==','0','重定价周期要素必须为空。','E','Y');</v>
      </c>
    </row>
    <row r="550" spans="1:12" x14ac:dyDescent="0.15">
      <c r="A550" s="9">
        <v>547</v>
      </c>
      <c r="B550" s="21" t="s">
        <v>596</v>
      </c>
      <c r="C550" s="23" t="s">
        <v>1484</v>
      </c>
      <c r="D550" s="22" t="s">
        <v>21</v>
      </c>
      <c r="E550" s="22" t="s">
        <v>28</v>
      </c>
      <c r="F550" s="22" t="s">
        <v>1336</v>
      </c>
      <c r="G550" s="22" t="s">
        <v>35</v>
      </c>
      <c r="H550" s="21" t="s">
        <v>29</v>
      </c>
      <c r="I550" s="22" t="s">
        <v>27</v>
      </c>
      <c r="J550" s="22" t="s">
        <v>1339</v>
      </c>
      <c r="K550" s="22" t="s">
        <v>24</v>
      </c>
      <c r="L550" s="2" t="str">
        <f t="shared" si="8"/>
        <v>insert into CHB_DATACHECK_RULE (CHECKRULEID,DATATYPE,CHECKCLASS,CHECKMETHOD,SRCPROPERTY,COMPARETO,OBJVALUE,REMARK,STATUS,NULLABLE) values ('W84807E5-EF00-D073-E050-007F010077FD','CHB_ASSET_INFO','com.joyintech.tams.common.svreport.datacheck.service.BaseCheckLib','isNumber','REPRCE_CYCLE','&gt;=','5,0','重定价周期要素必须为n(5)格式。','E','Y');</v>
      </c>
    </row>
    <row r="551" spans="1:12" x14ac:dyDescent="0.15">
      <c r="A551" s="17">
        <v>548</v>
      </c>
      <c r="B551" s="21" t="s">
        <v>597</v>
      </c>
      <c r="C551" s="23" t="s">
        <v>1484</v>
      </c>
      <c r="D551" s="22" t="s">
        <v>21</v>
      </c>
      <c r="E551" s="22" t="s">
        <v>34</v>
      </c>
      <c r="F551" s="22" t="s">
        <v>1336</v>
      </c>
      <c r="G551" s="22" t="s">
        <v>35</v>
      </c>
      <c r="H551" s="21" t="s">
        <v>26</v>
      </c>
      <c r="I551" s="22" t="s">
        <v>27</v>
      </c>
      <c r="J551" s="22" t="s">
        <v>1340</v>
      </c>
      <c r="K551" s="22" t="s">
        <v>24</v>
      </c>
      <c r="L551" s="2" t="str">
        <f t="shared" si="8"/>
        <v>insert into CHB_DATACHECK_RULE (CHECKRULEID,DATATYPE,CHECKCLASS,CHECKMETHOD,SRCPROPERTY,COMPARETO,OBJVALUE,REMARK,STATUS,NULLABLE) values ('W84807E5-EF00-D074-E050-007F010077FD','CHB_ASSET_INFO','com.joyintech.tams.common.svreport.datacheck.service.BaseCheckLib','compareValueAsNumber','REPRCE_CYCLE','&gt;=','0','重定价周期要素必须大于0。','E','Y');</v>
      </c>
    </row>
    <row r="552" spans="1:12" x14ac:dyDescent="0.15">
      <c r="A552" s="9">
        <v>549</v>
      </c>
      <c r="B552" s="21" t="s">
        <v>598</v>
      </c>
      <c r="C552" s="23" t="s">
        <v>1484</v>
      </c>
      <c r="D552" s="22" t="s">
        <v>21</v>
      </c>
      <c r="E552" s="22" t="s">
        <v>22</v>
      </c>
      <c r="F552" s="22" t="s">
        <v>1341</v>
      </c>
      <c r="G552" s="22"/>
      <c r="H552" s="21"/>
      <c r="I552" s="22" t="s">
        <v>23</v>
      </c>
      <c r="J552" s="22" t="s">
        <v>1342</v>
      </c>
      <c r="K552" s="22" t="s">
        <v>24</v>
      </c>
      <c r="L552" s="2" t="str">
        <f t="shared" si="8"/>
        <v>insert into CHB_DATACHECK_RULE (CHECKRULEID,DATATYPE,CHECKCLASS,CHECKMETHOD,SRCPROPERTY,COMPARETO,OBJVALUE,REMARK,STATUS,NULLABLE) values ('W84807E5-EF00-D075-E050-007F010077FD','CHB_ASSET_INFO','com.joyintech.tams.common.svreport.datacheck.service.BaseCheckLib','isNotEmpty','PART_REDEM_FLAG','','','部分赎回标识要素不可为空。','E','N');</v>
      </c>
    </row>
    <row r="553" spans="1:12" x14ac:dyDescent="0.15">
      <c r="A553" s="17">
        <v>550</v>
      </c>
      <c r="B553" s="21" t="s">
        <v>599</v>
      </c>
      <c r="C553" s="23" t="s">
        <v>1484</v>
      </c>
      <c r="D553" s="22" t="s">
        <v>21</v>
      </c>
      <c r="E553" s="22" t="s">
        <v>22</v>
      </c>
      <c r="F553" s="22" t="s">
        <v>1341</v>
      </c>
      <c r="G553" s="22"/>
      <c r="H553" s="21"/>
      <c r="I553" s="22" t="s">
        <v>23</v>
      </c>
      <c r="J553" s="22" t="s">
        <v>1342</v>
      </c>
      <c r="K553" s="22" t="s">
        <v>24</v>
      </c>
      <c r="L553" s="2" t="str">
        <f t="shared" si="8"/>
        <v>insert into CHB_DATACHECK_RULE (CHECKRULEID,DATATYPE,CHECKCLASS,CHECKMETHOD,SRCPROPERTY,COMPARETO,OBJVALUE,REMARK,STATUS,NULLABLE) values ('W84807E5-EF00-D076-E050-007F010077FD','CHB_ASSET_INFO','com.joyintech.tams.common.svreport.datacheck.service.BaseCheckLib','isNotEmpty','PART_REDEM_FLAG','','','部分赎回标识要素不可为空。','E','N');</v>
      </c>
    </row>
    <row r="554" spans="1:12" x14ac:dyDescent="0.15">
      <c r="A554" s="9">
        <v>551</v>
      </c>
      <c r="B554" s="21" t="s">
        <v>600</v>
      </c>
      <c r="C554" s="23" t="s">
        <v>1484</v>
      </c>
      <c r="D554" s="22" t="s">
        <v>21</v>
      </c>
      <c r="E554" s="22" t="s">
        <v>22</v>
      </c>
      <c r="F554" s="22" t="s">
        <v>1341</v>
      </c>
      <c r="G554" s="22"/>
      <c r="H554" s="21"/>
      <c r="I554" s="22" t="s">
        <v>23</v>
      </c>
      <c r="J554" s="22" t="s">
        <v>1342</v>
      </c>
      <c r="K554" s="22" t="s">
        <v>24</v>
      </c>
      <c r="L554" s="2" t="str">
        <f t="shared" si="8"/>
        <v>insert into CHB_DATACHECK_RULE (CHECKRULEID,DATATYPE,CHECKCLASS,CHECKMETHOD,SRCPROPERTY,COMPARETO,OBJVALUE,REMARK,STATUS,NULLABLE) values ('W84807E5-EF00-D077-E050-007F010077FD','CHB_ASSET_INFO','com.joyintech.tams.common.svreport.datacheck.service.BaseCheckLib','isNotEmpty','PART_REDEM_FLAG','','','部分赎回标识要素不可为空。','E','N');</v>
      </c>
    </row>
    <row r="555" spans="1:12" x14ac:dyDescent="0.15">
      <c r="A555" s="17">
        <v>552</v>
      </c>
      <c r="B555" s="21" t="s">
        <v>601</v>
      </c>
      <c r="C555" s="23" t="s">
        <v>1484</v>
      </c>
      <c r="D555" s="22" t="s">
        <v>21</v>
      </c>
      <c r="E555" s="22" t="s">
        <v>22</v>
      </c>
      <c r="F555" s="22" t="s">
        <v>1341</v>
      </c>
      <c r="G555" s="22"/>
      <c r="H555" s="21"/>
      <c r="I555" s="22" t="s">
        <v>23</v>
      </c>
      <c r="J555" s="22" t="s">
        <v>1342</v>
      </c>
      <c r="K555" s="22" t="s">
        <v>24</v>
      </c>
      <c r="L555" s="2" t="str">
        <f t="shared" si="8"/>
        <v>insert into CHB_DATACHECK_RULE (CHECKRULEID,DATATYPE,CHECKCLASS,CHECKMETHOD,SRCPROPERTY,COMPARETO,OBJVALUE,REMARK,STATUS,NULLABLE) values ('W84807E5-EF00-D078-E050-007F010077FD','CHB_ASSET_INFO','com.joyintech.tams.common.svreport.datacheck.service.BaseCheckLib','isNotEmpty','PART_REDEM_FLAG','','','部分赎回标识要素不可为空。','E','N');</v>
      </c>
    </row>
    <row r="556" spans="1:12" x14ac:dyDescent="0.15">
      <c r="A556" s="9">
        <v>553</v>
      </c>
      <c r="B556" s="21" t="s">
        <v>602</v>
      </c>
      <c r="C556" s="23" t="s">
        <v>1484</v>
      </c>
      <c r="D556" s="22" t="s">
        <v>21</v>
      </c>
      <c r="E556" s="22" t="s">
        <v>22</v>
      </c>
      <c r="F556" s="22" t="s">
        <v>1341</v>
      </c>
      <c r="G556" s="22"/>
      <c r="H556" s="21"/>
      <c r="I556" s="22" t="s">
        <v>23</v>
      </c>
      <c r="J556" s="22" t="s">
        <v>1342</v>
      </c>
      <c r="K556" s="22" t="s">
        <v>24</v>
      </c>
      <c r="L556" s="2" t="str">
        <f t="shared" si="8"/>
        <v>insert into CHB_DATACHECK_RULE (CHECKRULEID,DATATYPE,CHECKCLASS,CHECKMETHOD,SRCPROPERTY,COMPARETO,OBJVALUE,REMARK,STATUS,NULLABLE) values ('W84807E5-EF00-D079-E050-007F010077FD','CHB_ASSET_INFO','com.joyintech.tams.common.svreport.datacheck.service.BaseCheckLib','isNotEmpty','PART_REDEM_FLAG','','','部分赎回标识要素不可为空。','E','N');</v>
      </c>
    </row>
    <row r="557" spans="1:12" x14ac:dyDescent="0.15">
      <c r="A557" s="17">
        <v>554</v>
      </c>
      <c r="B557" s="21" t="s">
        <v>603</v>
      </c>
      <c r="C557" s="23" t="s">
        <v>1484</v>
      </c>
      <c r="D557" s="22" t="s">
        <v>21</v>
      </c>
      <c r="E557" s="22" t="s">
        <v>22</v>
      </c>
      <c r="F557" s="22" t="s">
        <v>1341</v>
      </c>
      <c r="G557" s="22"/>
      <c r="H557" s="21"/>
      <c r="I557" s="22" t="s">
        <v>23</v>
      </c>
      <c r="J557" s="22" t="s">
        <v>1342</v>
      </c>
      <c r="K557" s="22" t="s">
        <v>24</v>
      </c>
      <c r="L557" s="2" t="str">
        <f t="shared" si="8"/>
        <v>insert into CHB_DATACHECK_RULE (CHECKRULEID,DATATYPE,CHECKCLASS,CHECKMETHOD,SRCPROPERTY,COMPARETO,OBJVALUE,REMARK,STATUS,NULLABLE) values ('W84807E5-EF00-D080-E050-007F010077FD','CHB_ASSET_INFO','com.joyintech.tams.common.svreport.datacheck.service.BaseCheckLib','isNotEmpty','PART_REDEM_FLAG','','','部分赎回标识要素不可为空。','E','N');</v>
      </c>
    </row>
    <row r="558" spans="1:12" x14ac:dyDescent="0.15">
      <c r="A558" s="9">
        <v>555</v>
      </c>
      <c r="B558" s="21" t="s">
        <v>604</v>
      </c>
      <c r="C558" s="23" t="s">
        <v>1484</v>
      </c>
      <c r="D558" s="22" t="s">
        <v>21</v>
      </c>
      <c r="E558" s="22" t="s">
        <v>22</v>
      </c>
      <c r="F558" s="22" t="s">
        <v>1341</v>
      </c>
      <c r="G558" s="22"/>
      <c r="H558" s="21"/>
      <c r="I558" s="22" t="s">
        <v>23</v>
      </c>
      <c r="J558" s="22" t="s">
        <v>1342</v>
      </c>
      <c r="K558" s="22" t="s">
        <v>24</v>
      </c>
      <c r="L558" s="2" t="str">
        <f t="shared" si="8"/>
        <v>insert into CHB_DATACHECK_RULE (CHECKRULEID,DATATYPE,CHECKCLASS,CHECKMETHOD,SRCPROPERTY,COMPARETO,OBJVALUE,REMARK,STATUS,NULLABLE) values ('W84807E5-EF00-D081-E050-007F010077FD','CHB_ASSET_INFO','com.joyintech.tams.common.svreport.datacheck.service.BaseCheckLib','isNotEmpty','PART_REDEM_FLAG','','','部分赎回标识要素不可为空。','E','N');</v>
      </c>
    </row>
    <row r="559" spans="1:12" x14ac:dyDescent="0.15">
      <c r="A559" s="17">
        <v>556</v>
      </c>
      <c r="B559" s="21" t="s">
        <v>605</v>
      </c>
      <c r="C559" s="23" t="s">
        <v>1484</v>
      </c>
      <c r="D559" s="22" t="s">
        <v>21</v>
      </c>
      <c r="E559" s="22" t="s">
        <v>22</v>
      </c>
      <c r="F559" s="22" t="s">
        <v>1341</v>
      </c>
      <c r="G559" s="22"/>
      <c r="H559" s="21"/>
      <c r="I559" s="22" t="s">
        <v>23</v>
      </c>
      <c r="J559" s="22" t="s">
        <v>1342</v>
      </c>
      <c r="K559" s="22" t="s">
        <v>24</v>
      </c>
      <c r="L559" s="2" t="str">
        <f t="shared" si="8"/>
        <v>insert into CHB_DATACHECK_RULE (CHECKRULEID,DATATYPE,CHECKCLASS,CHECKMETHOD,SRCPROPERTY,COMPARETO,OBJVALUE,REMARK,STATUS,NULLABLE) values ('W84807E5-EF00-D082-E050-007F010077FD','CHB_ASSET_INFO','com.joyintech.tams.common.svreport.datacheck.service.BaseCheckLib','isNotEmpty','PART_REDEM_FLAG','','','部分赎回标识要素不可为空。','E','N');</v>
      </c>
    </row>
    <row r="560" spans="1:12" x14ac:dyDescent="0.15">
      <c r="A560" s="9">
        <v>557</v>
      </c>
      <c r="B560" s="21" t="s">
        <v>606</v>
      </c>
      <c r="C560" s="23" t="s">
        <v>1484</v>
      </c>
      <c r="D560" s="22" t="s">
        <v>21</v>
      </c>
      <c r="E560" s="22" t="s">
        <v>62</v>
      </c>
      <c r="F560" s="22" t="s">
        <v>1341</v>
      </c>
      <c r="G560" s="22" t="s">
        <v>25</v>
      </c>
      <c r="H560" s="21" t="s">
        <v>26</v>
      </c>
      <c r="I560" s="22" t="s">
        <v>27</v>
      </c>
      <c r="J560" s="22" t="s">
        <v>1343</v>
      </c>
      <c r="K560" s="22" t="s">
        <v>24</v>
      </c>
      <c r="L560" s="2" t="str">
        <f t="shared" si="8"/>
        <v>insert into CHB_DATACHECK_RULE (CHECKRULEID,DATATYPE,CHECKCLASS,CHECKMETHOD,SRCPROPERTY,COMPARETO,OBJVALUE,REMARK,STATUS,NULLABLE) values ('W84807E5-EF00-D083-E050-007F010077FD','CHB_ASSET_INFO','com.joyintech.tams.common.svreport.datacheck.service.BaseCheckLib','lessThanCharLength','PART_REDEM_FLAG','==','0','部分赎回标识要素必须为空。','E','Y');</v>
      </c>
    </row>
    <row r="561" spans="1:12" x14ac:dyDescent="0.15">
      <c r="A561" s="17">
        <v>558</v>
      </c>
      <c r="B561" s="21" t="s">
        <v>607</v>
      </c>
      <c r="C561" s="23" t="s">
        <v>1484</v>
      </c>
      <c r="D561" s="22" t="s">
        <v>21</v>
      </c>
      <c r="E561" s="22" t="s">
        <v>30</v>
      </c>
      <c r="F561" s="22" t="s">
        <v>1341</v>
      </c>
      <c r="G561" s="22"/>
      <c r="H561" s="21" t="s">
        <v>814</v>
      </c>
      <c r="I561" s="22" t="s">
        <v>27</v>
      </c>
      <c r="J561" s="22" t="s">
        <v>1344</v>
      </c>
      <c r="K561" s="22" t="s">
        <v>24</v>
      </c>
      <c r="L561" s="2" t="str">
        <f t="shared" si="8"/>
        <v>insert into CHB_DATACHECK_RULE (CHECKRULEID,DATATYPE,CHECKCLASS,CHECKMETHOD,SRCPROPERTY,COMPARETO,OBJVALUE,REMARK,STATUS,NULLABLE) values ('W84807E5-EF00-D084-E050-007F010077FD','CHB_ASSET_INFO','com.joyintech.tams.common.svreport.datacheck.service.BaseCheckLib','inDatadict','PART_REDEM_FLAG','','SVR_YES_OR_NO','部分赎回标识要素不在值域范围内。','E','Y');</v>
      </c>
    </row>
    <row r="562" spans="1:12" x14ac:dyDescent="0.15">
      <c r="A562" s="9">
        <v>559</v>
      </c>
      <c r="B562" s="21" t="s">
        <v>608</v>
      </c>
      <c r="C562" s="23" t="s">
        <v>1484</v>
      </c>
      <c r="D562" s="22" t="s">
        <v>21</v>
      </c>
      <c r="E562" s="22" t="s">
        <v>62</v>
      </c>
      <c r="F562" s="22" t="s">
        <v>1345</v>
      </c>
      <c r="G562" s="22" t="s">
        <v>25</v>
      </c>
      <c r="H562" s="21" t="s">
        <v>26</v>
      </c>
      <c r="I562" s="22" t="s">
        <v>27</v>
      </c>
      <c r="J562" s="22" t="s">
        <v>1346</v>
      </c>
      <c r="K562" s="22" t="s">
        <v>24</v>
      </c>
      <c r="L562" s="2" t="str">
        <f t="shared" si="8"/>
        <v>insert into CHB_DATACHECK_RULE (CHECKRULEID,DATATYPE,CHECKCLASS,CHECKMETHOD,SRCPROPERTY,COMPARETO,OBJVALUE,REMARK,STATUS,NULLABLE) values ('W84807E5-EF00-D086-E050-007F010077FD','CHB_ASSET_INFO','com.joyintech.tams.common.svreport.datacheck.service.BaseCheckLib','lessThanCharLength','PART_REDEM_RATE','==','0','部分赎回比例%要素必须为空。','E','Y');</v>
      </c>
    </row>
    <row r="563" spans="1:12" x14ac:dyDescent="0.15">
      <c r="A563" s="17">
        <v>560</v>
      </c>
      <c r="B563" s="21" t="s">
        <v>609</v>
      </c>
      <c r="C563" s="23" t="s">
        <v>1484</v>
      </c>
      <c r="D563" s="22" t="s">
        <v>21</v>
      </c>
      <c r="E563" s="22" t="s">
        <v>62</v>
      </c>
      <c r="F563" s="22" t="s">
        <v>1345</v>
      </c>
      <c r="G563" s="22" t="s">
        <v>25</v>
      </c>
      <c r="H563" s="21" t="s">
        <v>26</v>
      </c>
      <c r="I563" s="22" t="s">
        <v>27</v>
      </c>
      <c r="J563" s="22" t="s">
        <v>1346</v>
      </c>
      <c r="K563" s="22" t="s">
        <v>24</v>
      </c>
      <c r="L563" s="2" t="str">
        <f t="shared" si="8"/>
        <v>insert into CHB_DATACHECK_RULE (CHECKRULEID,DATATYPE,CHECKCLASS,CHECKMETHOD,SRCPROPERTY,COMPARETO,OBJVALUE,REMARK,STATUS,NULLABLE) values ('W84807E5-EF00-D087-E050-007F010077FD','CHB_ASSET_INFO','com.joyintech.tams.common.svreport.datacheck.service.BaseCheckLib','lessThanCharLength','PART_REDEM_RATE','==','0','部分赎回比例%要素必须为空。','E','Y');</v>
      </c>
    </row>
    <row r="564" spans="1:12" x14ac:dyDescent="0.15">
      <c r="A564" s="9">
        <v>561</v>
      </c>
      <c r="B564" s="21" t="s">
        <v>610</v>
      </c>
      <c r="C564" s="23" t="s">
        <v>1484</v>
      </c>
      <c r="D564" s="22" t="s">
        <v>21</v>
      </c>
      <c r="E564" s="22" t="s">
        <v>32</v>
      </c>
      <c r="F564" s="22" t="s">
        <v>1345</v>
      </c>
      <c r="G564" s="22" t="s">
        <v>35</v>
      </c>
      <c r="H564" s="21" t="s">
        <v>33</v>
      </c>
      <c r="I564" s="22" t="s">
        <v>27</v>
      </c>
      <c r="J564" s="22" t="s">
        <v>1347</v>
      </c>
      <c r="K564" s="22" t="s">
        <v>24</v>
      </c>
      <c r="L564" s="2" t="str">
        <f t="shared" si="8"/>
        <v>insert into CHB_DATACHECK_RULE (CHECKRULEID,DATATYPE,CHECKCLASS,CHECKMETHOD,SRCPROPERTY,COMPARETO,OBJVALUE,REMARK,STATUS,NULLABLE) values ('W84807E5-EF00-D088-E050-007F010077FD','CHB_ASSET_INFO','com.joyintech.tams.common.svreport.datacheck.service.BaseCheckLib','isNumber2','PART_REDEM_RATE','&gt;=','8,5','部分赎回比例%要素必须为n(8,5)格式。','E','Y');</v>
      </c>
    </row>
    <row r="565" spans="1:12" x14ac:dyDescent="0.15">
      <c r="A565" s="17">
        <v>562</v>
      </c>
      <c r="B565" s="21" t="s">
        <v>611</v>
      </c>
      <c r="C565" s="23" t="s">
        <v>1484</v>
      </c>
      <c r="D565" s="22" t="s">
        <v>21</v>
      </c>
      <c r="E565" s="22" t="s">
        <v>34</v>
      </c>
      <c r="F565" s="22" t="s">
        <v>1345</v>
      </c>
      <c r="G565" s="22" t="s">
        <v>35</v>
      </c>
      <c r="H565" s="21" t="s">
        <v>26</v>
      </c>
      <c r="I565" s="22" t="s">
        <v>27</v>
      </c>
      <c r="J565" s="22" t="s">
        <v>1348</v>
      </c>
      <c r="K565" s="22" t="s">
        <v>24</v>
      </c>
      <c r="L565" s="2" t="str">
        <f t="shared" si="8"/>
        <v>insert into CHB_DATACHECK_RULE (CHECKRULEID,DATATYPE,CHECKCLASS,CHECKMETHOD,SRCPROPERTY,COMPARETO,OBJVALUE,REMARK,STATUS,NULLABLE) values ('W84807E5-EF00-D089-E050-007F010077FD','CHB_ASSET_INFO','com.joyintech.tams.common.svreport.datacheck.service.BaseCheckLib','compareValueAsNumber','PART_REDEM_RATE','&gt;=','0','部分赎回比例%要素必须大于等于0。','E','Y');</v>
      </c>
    </row>
    <row r="566" spans="1:12" x14ac:dyDescent="0.15">
      <c r="A566" s="9">
        <v>563</v>
      </c>
      <c r="B566" s="21" t="s">
        <v>612</v>
      </c>
      <c r="C566" s="23" t="s">
        <v>1484</v>
      </c>
      <c r="D566" s="22" t="s">
        <v>21</v>
      </c>
      <c r="E566" s="22" t="s">
        <v>22</v>
      </c>
      <c r="F566" s="22" t="s">
        <v>1349</v>
      </c>
      <c r="G566" s="22"/>
      <c r="H566" s="21"/>
      <c r="I566" s="22" t="s">
        <v>23</v>
      </c>
      <c r="J566" s="22" t="s">
        <v>1350</v>
      </c>
      <c r="K566" s="22" t="s">
        <v>24</v>
      </c>
      <c r="L566" s="2" t="str">
        <f t="shared" si="8"/>
        <v>insert into CHB_DATACHECK_RULE (CHECKRULEID,DATATYPE,CHECKCLASS,CHECKMETHOD,SRCPROPERTY,COMPARETO,OBJVALUE,REMARK,STATUS,NULLABLE) values ('W84807E5-EF00-D090-E050-007F010077FD','CHB_ASSET_INFO','com.joyintech.tams.common.svreport.datacheck.service.BaseCheckLib','isNotEmpty','CREDIT_ORG_CODE','','','增信机构代码要素不可为空。','E','N');</v>
      </c>
    </row>
    <row r="567" spans="1:12" x14ac:dyDescent="0.15">
      <c r="A567" s="17">
        <v>564</v>
      </c>
      <c r="B567" s="21" t="s">
        <v>613</v>
      </c>
      <c r="C567" s="23" t="s">
        <v>1484</v>
      </c>
      <c r="D567" s="22" t="s">
        <v>21</v>
      </c>
      <c r="E567" s="22" t="s">
        <v>22</v>
      </c>
      <c r="F567" s="22" t="s">
        <v>1349</v>
      </c>
      <c r="G567" s="22"/>
      <c r="H567" s="21"/>
      <c r="I567" s="22" t="s">
        <v>23</v>
      </c>
      <c r="J567" s="22" t="s">
        <v>1350</v>
      </c>
      <c r="K567" s="22" t="s">
        <v>24</v>
      </c>
      <c r="L567" s="2" t="str">
        <f t="shared" si="8"/>
        <v>insert into CHB_DATACHECK_RULE (CHECKRULEID,DATATYPE,CHECKCLASS,CHECKMETHOD,SRCPROPERTY,COMPARETO,OBJVALUE,REMARK,STATUS,NULLABLE) values ('W84807E5-EF00-D091-E050-007F010077FD','CHB_ASSET_INFO','com.joyintech.tams.common.svreport.datacheck.service.BaseCheckLib','isNotEmpty','CREDIT_ORG_CODE','','','增信机构代码要素不可为空。','E','N');</v>
      </c>
    </row>
    <row r="568" spans="1:12" x14ac:dyDescent="0.15">
      <c r="A568" s="9">
        <v>565</v>
      </c>
      <c r="B568" s="21" t="s">
        <v>614</v>
      </c>
      <c r="C568" s="23" t="s">
        <v>1484</v>
      </c>
      <c r="D568" s="22" t="s">
        <v>21</v>
      </c>
      <c r="E568" s="22" t="s">
        <v>22</v>
      </c>
      <c r="F568" s="22" t="s">
        <v>1349</v>
      </c>
      <c r="G568" s="22"/>
      <c r="H568" s="21"/>
      <c r="I568" s="22" t="s">
        <v>23</v>
      </c>
      <c r="J568" s="22" t="s">
        <v>1350</v>
      </c>
      <c r="K568" s="22" t="s">
        <v>24</v>
      </c>
      <c r="L568" s="2" t="str">
        <f t="shared" si="8"/>
        <v>insert into CHB_DATACHECK_RULE (CHECKRULEID,DATATYPE,CHECKCLASS,CHECKMETHOD,SRCPROPERTY,COMPARETO,OBJVALUE,REMARK,STATUS,NULLABLE) values ('W84807E5-EF00-D092-E050-007F010077FD','CHB_ASSET_INFO','com.joyintech.tams.common.svreport.datacheck.service.BaseCheckLib','isNotEmpty','CREDIT_ORG_CODE','','','增信机构代码要素不可为空。','E','N');</v>
      </c>
    </row>
    <row r="569" spans="1:12" x14ac:dyDescent="0.15">
      <c r="A569" s="17">
        <v>566</v>
      </c>
      <c r="B569" s="21" t="s">
        <v>615</v>
      </c>
      <c r="C569" s="23" t="s">
        <v>1484</v>
      </c>
      <c r="D569" s="22" t="s">
        <v>21</v>
      </c>
      <c r="E569" s="22" t="s">
        <v>22</v>
      </c>
      <c r="F569" s="22" t="s">
        <v>1349</v>
      </c>
      <c r="G569" s="22"/>
      <c r="H569" s="21"/>
      <c r="I569" s="22" t="s">
        <v>23</v>
      </c>
      <c r="J569" s="22" t="s">
        <v>1350</v>
      </c>
      <c r="K569" s="22" t="s">
        <v>24</v>
      </c>
      <c r="L569" s="2" t="str">
        <f t="shared" si="8"/>
        <v>insert into CHB_DATACHECK_RULE (CHECKRULEID,DATATYPE,CHECKCLASS,CHECKMETHOD,SRCPROPERTY,COMPARETO,OBJVALUE,REMARK,STATUS,NULLABLE) values ('W84807E5-EF00-D093-E050-007F010077FD','CHB_ASSET_INFO','com.joyintech.tams.common.svreport.datacheck.service.BaseCheckLib','isNotEmpty','CREDIT_ORG_CODE','','','增信机构代码要素不可为空。','E','N');</v>
      </c>
    </row>
    <row r="570" spans="1:12" x14ac:dyDescent="0.15">
      <c r="A570" s="9">
        <v>567</v>
      </c>
      <c r="B570" s="21" t="s">
        <v>616</v>
      </c>
      <c r="C570" s="23" t="s">
        <v>1484</v>
      </c>
      <c r="D570" s="22" t="s">
        <v>21</v>
      </c>
      <c r="E570" s="22" t="s">
        <v>22</v>
      </c>
      <c r="F570" s="22" t="s">
        <v>1349</v>
      </c>
      <c r="G570" s="22"/>
      <c r="H570" s="21"/>
      <c r="I570" s="22" t="s">
        <v>23</v>
      </c>
      <c r="J570" s="22" t="s">
        <v>1350</v>
      </c>
      <c r="K570" s="22" t="s">
        <v>24</v>
      </c>
      <c r="L570" s="2" t="str">
        <f t="shared" si="8"/>
        <v>insert into CHB_DATACHECK_RULE (CHECKRULEID,DATATYPE,CHECKCLASS,CHECKMETHOD,SRCPROPERTY,COMPARETO,OBJVALUE,REMARK,STATUS,NULLABLE) values ('W84807E5-EF00-D094-E050-007F010077FD','CHB_ASSET_INFO','com.joyintech.tams.common.svreport.datacheck.service.BaseCheckLib','isNotEmpty','CREDIT_ORG_CODE','','','增信机构代码要素不可为空。','E','N');</v>
      </c>
    </row>
    <row r="571" spans="1:12" x14ac:dyDescent="0.15">
      <c r="A571" s="17">
        <v>568</v>
      </c>
      <c r="B571" s="21" t="s">
        <v>617</v>
      </c>
      <c r="C571" s="23" t="s">
        <v>1484</v>
      </c>
      <c r="D571" s="22" t="s">
        <v>21</v>
      </c>
      <c r="E571" s="22" t="s">
        <v>22</v>
      </c>
      <c r="F571" s="22" t="s">
        <v>1349</v>
      </c>
      <c r="G571" s="22"/>
      <c r="H571" s="21"/>
      <c r="I571" s="22" t="s">
        <v>23</v>
      </c>
      <c r="J571" s="22" t="s">
        <v>1350</v>
      </c>
      <c r="K571" s="22" t="s">
        <v>24</v>
      </c>
      <c r="L571" s="2" t="str">
        <f t="shared" si="8"/>
        <v>insert into CHB_DATACHECK_RULE (CHECKRULEID,DATATYPE,CHECKCLASS,CHECKMETHOD,SRCPROPERTY,COMPARETO,OBJVALUE,REMARK,STATUS,NULLABLE) values ('W84807E5-EF00-D095-E050-007F010077FD','CHB_ASSET_INFO','com.joyintech.tams.common.svreport.datacheck.service.BaseCheckLib','isNotEmpty','CREDIT_ORG_CODE','','','增信机构代码要素不可为空。','E','N');</v>
      </c>
    </row>
    <row r="572" spans="1:12" x14ac:dyDescent="0.15">
      <c r="A572" s="9">
        <v>569</v>
      </c>
      <c r="B572" s="21" t="s">
        <v>618</v>
      </c>
      <c r="C572" s="23" t="s">
        <v>1484</v>
      </c>
      <c r="D572" s="22" t="s">
        <v>21</v>
      </c>
      <c r="E572" s="22" t="s">
        <v>22</v>
      </c>
      <c r="F572" s="22" t="s">
        <v>1349</v>
      </c>
      <c r="G572" s="22"/>
      <c r="H572" s="21"/>
      <c r="I572" s="22" t="s">
        <v>23</v>
      </c>
      <c r="J572" s="22" t="s">
        <v>1350</v>
      </c>
      <c r="K572" s="22" t="s">
        <v>24</v>
      </c>
      <c r="L572" s="2" t="str">
        <f t="shared" si="8"/>
        <v>insert into CHB_DATACHECK_RULE (CHECKRULEID,DATATYPE,CHECKCLASS,CHECKMETHOD,SRCPROPERTY,COMPARETO,OBJVALUE,REMARK,STATUS,NULLABLE) values ('W84807E5-EF00-D096-E050-007F010077FD','CHB_ASSET_INFO','com.joyintech.tams.common.svreport.datacheck.service.BaseCheckLib','isNotEmpty','CREDIT_ORG_CODE','','','增信机构代码要素不可为空。','E','N');</v>
      </c>
    </row>
    <row r="573" spans="1:12" x14ac:dyDescent="0.15">
      <c r="A573" s="17">
        <v>570</v>
      </c>
      <c r="B573" s="21" t="s">
        <v>619</v>
      </c>
      <c r="C573" s="23" t="s">
        <v>1484</v>
      </c>
      <c r="D573" s="22" t="s">
        <v>21</v>
      </c>
      <c r="E573" s="22" t="s">
        <v>22</v>
      </c>
      <c r="F573" s="22" t="s">
        <v>1349</v>
      </c>
      <c r="G573" s="22"/>
      <c r="H573" s="21"/>
      <c r="I573" s="22" t="s">
        <v>23</v>
      </c>
      <c r="J573" s="22" t="s">
        <v>1350</v>
      </c>
      <c r="K573" s="22" t="s">
        <v>24</v>
      </c>
      <c r="L573" s="2" t="str">
        <f t="shared" si="8"/>
        <v>insert into CHB_DATACHECK_RULE (CHECKRULEID,DATATYPE,CHECKCLASS,CHECKMETHOD,SRCPROPERTY,COMPARETO,OBJVALUE,REMARK,STATUS,NULLABLE) values ('W84807E5-EF00-D097-E050-007F010077FD','CHB_ASSET_INFO','com.joyintech.tams.common.svreport.datacheck.service.BaseCheckLib','isNotEmpty','CREDIT_ORG_CODE','','','增信机构代码要素不可为空。','E','N');</v>
      </c>
    </row>
    <row r="574" spans="1:12" x14ac:dyDescent="0.15">
      <c r="A574" s="9">
        <v>571</v>
      </c>
      <c r="B574" s="21" t="s">
        <v>620</v>
      </c>
      <c r="C574" s="23" t="s">
        <v>1484</v>
      </c>
      <c r="D574" s="22" t="s">
        <v>21</v>
      </c>
      <c r="E574" s="22" t="s">
        <v>62</v>
      </c>
      <c r="F574" s="22" t="s">
        <v>1349</v>
      </c>
      <c r="G574" s="22" t="s">
        <v>25</v>
      </c>
      <c r="H574" s="21" t="s">
        <v>26</v>
      </c>
      <c r="I574" s="22" t="s">
        <v>27</v>
      </c>
      <c r="J574" s="22" t="s">
        <v>1351</v>
      </c>
      <c r="K574" s="22" t="s">
        <v>24</v>
      </c>
      <c r="L574" s="2" t="str">
        <f t="shared" si="8"/>
        <v>insert into CHB_DATACHECK_RULE (CHECKRULEID,DATATYPE,CHECKCLASS,CHECKMETHOD,SRCPROPERTY,COMPARETO,OBJVALUE,REMARK,STATUS,NULLABLE) values ('W84807E5-EF00-D098-E050-007F010077FD','CHB_ASSET_INFO','com.joyintech.tams.common.svreport.datacheck.service.BaseCheckLib','lessThanCharLength','CREDIT_ORG_CODE','==','0','增信机构代码要素必须为空。','E','Y');</v>
      </c>
    </row>
    <row r="575" spans="1:12" x14ac:dyDescent="0.15">
      <c r="A575" s="17">
        <v>572</v>
      </c>
      <c r="B575" s="21" t="s">
        <v>621</v>
      </c>
      <c r="C575" s="23" t="s">
        <v>1484</v>
      </c>
      <c r="D575" s="22" t="s">
        <v>21</v>
      </c>
      <c r="E575" s="22" t="s">
        <v>48</v>
      </c>
      <c r="F575" s="22" t="s">
        <v>1349</v>
      </c>
      <c r="G575" s="22"/>
      <c r="H575" s="21" t="s">
        <v>1352</v>
      </c>
      <c r="I575" s="22" t="s">
        <v>27</v>
      </c>
      <c r="J575" s="22" t="s">
        <v>1353</v>
      </c>
      <c r="K575" s="22" t="s">
        <v>24</v>
      </c>
      <c r="L575" s="2" t="str">
        <f t="shared" si="8"/>
        <v>insert into CHB_DATACHECK_RULE (CHECKRULEID,DATATYPE,CHECKCLASS,CHECKMETHOD,SRCPROPERTY,COMPARETO,OBJVALUE,REMARK,STATUS,NULLABLE) values ('W84807E5-EF00-D099-E050-007F010077FD','CHB_ASSET_INFO','com.joyintech.tams.common.svreport.datacheck.service.BaseCheckLib','isCustomizedString','CREDIT_ORG_CODE','','(([0-9A-Z]{9})|([0-9A-Z]{18})|([\u65e0]))','增信机构代码要素格式不对。正确的格式：9或18位大写字母或数字（社会信用代码，如果没有则填写无）。','E','Y');</v>
      </c>
    </row>
    <row r="576" spans="1:12" x14ac:dyDescent="0.15">
      <c r="A576" s="9">
        <v>573</v>
      </c>
      <c r="B576" s="21" t="s">
        <v>622</v>
      </c>
      <c r="C576" s="23" t="s">
        <v>1484</v>
      </c>
      <c r="D576" s="22" t="s">
        <v>21</v>
      </c>
      <c r="E576" s="22" t="s">
        <v>22</v>
      </c>
      <c r="F576" s="22" t="s">
        <v>1354</v>
      </c>
      <c r="G576" s="22"/>
      <c r="H576" s="21"/>
      <c r="I576" s="22" t="s">
        <v>23</v>
      </c>
      <c r="J576" s="22" t="s">
        <v>1355</v>
      </c>
      <c r="K576" s="22" t="s">
        <v>24</v>
      </c>
      <c r="L576" s="2" t="str">
        <f t="shared" si="8"/>
        <v>insert into CHB_DATACHECK_RULE (CHECKRULEID,DATATYPE,CHECKCLASS,CHECKMETHOD,SRCPROPERTY,COMPARETO,OBJVALUE,REMARK,STATUS,NULLABLE) values ('W84807E5-EF00-D100-E050-007F010077FD','CHB_ASSET_INFO','com.joyintech.tams.common.svreport.datacheck.service.BaseCheckLib','isNotEmpty','CREDIT_ORG_NAME','','','增信机构名称要素不可为空。','E','N');</v>
      </c>
    </row>
    <row r="577" spans="1:12" x14ac:dyDescent="0.15">
      <c r="A577" s="17">
        <v>574</v>
      </c>
      <c r="B577" s="21" t="s">
        <v>623</v>
      </c>
      <c r="C577" s="23" t="s">
        <v>1484</v>
      </c>
      <c r="D577" s="22" t="s">
        <v>21</v>
      </c>
      <c r="E577" s="22" t="s">
        <v>22</v>
      </c>
      <c r="F577" s="22" t="s">
        <v>1354</v>
      </c>
      <c r="G577" s="22"/>
      <c r="H577" s="21"/>
      <c r="I577" s="22" t="s">
        <v>23</v>
      </c>
      <c r="J577" s="22" t="s">
        <v>1355</v>
      </c>
      <c r="K577" s="22" t="s">
        <v>24</v>
      </c>
      <c r="L577" s="2" t="str">
        <f t="shared" si="8"/>
        <v>insert into CHB_DATACHECK_RULE (CHECKRULEID,DATATYPE,CHECKCLASS,CHECKMETHOD,SRCPROPERTY,COMPARETO,OBJVALUE,REMARK,STATUS,NULLABLE) values ('W84807E5-EF00-D101-E050-007F010077FD','CHB_ASSET_INFO','com.joyintech.tams.common.svreport.datacheck.service.BaseCheckLib','isNotEmpty','CREDIT_ORG_NAME','','','增信机构名称要素不可为空。','E','N');</v>
      </c>
    </row>
    <row r="578" spans="1:12" x14ac:dyDescent="0.15">
      <c r="A578" s="9">
        <v>575</v>
      </c>
      <c r="B578" s="21" t="s">
        <v>624</v>
      </c>
      <c r="C578" s="23" t="s">
        <v>1484</v>
      </c>
      <c r="D578" s="22" t="s">
        <v>21</v>
      </c>
      <c r="E578" s="22" t="s">
        <v>22</v>
      </c>
      <c r="F578" s="22" t="s">
        <v>1354</v>
      </c>
      <c r="G578" s="22"/>
      <c r="H578" s="21"/>
      <c r="I578" s="22" t="s">
        <v>23</v>
      </c>
      <c r="J578" s="22" t="s">
        <v>1355</v>
      </c>
      <c r="K578" s="22" t="s">
        <v>24</v>
      </c>
      <c r="L578" s="2" t="str">
        <f t="shared" si="8"/>
        <v>insert into CHB_DATACHECK_RULE (CHECKRULEID,DATATYPE,CHECKCLASS,CHECKMETHOD,SRCPROPERTY,COMPARETO,OBJVALUE,REMARK,STATUS,NULLABLE) values ('W84807E5-EF00-D102-E050-007F010077FD','CHB_ASSET_INFO','com.joyintech.tams.common.svreport.datacheck.service.BaseCheckLib','isNotEmpty','CREDIT_ORG_NAME','','','增信机构名称要素不可为空。','E','N');</v>
      </c>
    </row>
    <row r="579" spans="1:12" x14ac:dyDescent="0.15">
      <c r="A579" s="17">
        <v>576</v>
      </c>
      <c r="B579" s="21" t="s">
        <v>625</v>
      </c>
      <c r="C579" s="23" t="s">
        <v>1484</v>
      </c>
      <c r="D579" s="22" t="s">
        <v>21</v>
      </c>
      <c r="E579" s="22" t="s">
        <v>22</v>
      </c>
      <c r="F579" s="22" t="s">
        <v>1354</v>
      </c>
      <c r="G579" s="22"/>
      <c r="H579" s="21"/>
      <c r="I579" s="22" t="s">
        <v>23</v>
      </c>
      <c r="J579" s="22" t="s">
        <v>1355</v>
      </c>
      <c r="K579" s="22" t="s">
        <v>24</v>
      </c>
      <c r="L579" s="2" t="str">
        <f t="shared" ref="L579:L642" si="9">CONCATENATE("insert into CHB_DATACHECK_RULE (CHECKRULEID,DATATYPE,CHECKCLASS,CHECKMETHOD,SRCPROPERTY,COMPARETO,OBJVALUE,REMARK,STATUS,NULLABLE) values ('",B579,"','",C579,"','",D579,"','",E579,"','",F579,"','",G579,"','",H579,"','",J579,"','",K579,"','",I579,"');")</f>
        <v>insert into CHB_DATACHECK_RULE (CHECKRULEID,DATATYPE,CHECKCLASS,CHECKMETHOD,SRCPROPERTY,COMPARETO,OBJVALUE,REMARK,STATUS,NULLABLE) values ('W84807E5-EF00-D103-E050-007F010077FD','CHB_ASSET_INFO','com.joyintech.tams.common.svreport.datacheck.service.BaseCheckLib','isNotEmpty','CREDIT_ORG_NAME','','','增信机构名称要素不可为空。','E','N');</v>
      </c>
    </row>
    <row r="580" spans="1:12" x14ac:dyDescent="0.15">
      <c r="A580" s="9">
        <v>577</v>
      </c>
      <c r="B580" s="21" t="s">
        <v>626</v>
      </c>
      <c r="C580" s="23" t="s">
        <v>1484</v>
      </c>
      <c r="D580" s="22" t="s">
        <v>21</v>
      </c>
      <c r="E580" s="22" t="s">
        <v>22</v>
      </c>
      <c r="F580" s="22" t="s">
        <v>1354</v>
      </c>
      <c r="G580" s="22"/>
      <c r="H580" s="21"/>
      <c r="I580" s="22" t="s">
        <v>23</v>
      </c>
      <c r="J580" s="22" t="s">
        <v>1355</v>
      </c>
      <c r="K580" s="22" t="s">
        <v>24</v>
      </c>
      <c r="L580" s="2" t="str">
        <f t="shared" si="9"/>
        <v>insert into CHB_DATACHECK_RULE (CHECKRULEID,DATATYPE,CHECKCLASS,CHECKMETHOD,SRCPROPERTY,COMPARETO,OBJVALUE,REMARK,STATUS,NULLABLE) values ('W84807E5-EF00-D104-E050-007F010077FD','CHB_ASSET_INFO','com.joyintech.tams.common.svreport.datacheck.service.BaseCheckLib','isNotEmpty','CREDIT_ORG_NAME','','','增信机构名称要素不可为空。','E','N');</v>
      </c>
    </row>
    <row r="581" spans="1:12" x14ac:dyDescent="0.15">
      <c r="A581" s="17">
        <v>578</v>
      </c>
      <c r="B581" s="21" t="s">
        <v>627</v>
      </c>
      <c r="C581" s="23" t="s">
        <v>1484</v>
      </c>
      <c r="D581" s="22" t="s">
        <v>21</v>
      </c>
      <c r="E581" s="22" t="s">
        <v>22</v>
      </c>
      <c r="F581" s="22" t="s">
        <v>1354</v>
      </c>
      <c r="G581" s="22"/>
      <c r="H581" s="21"/>
      <c r="I581" s="22" t="s">
        <v>23</v>
      </c>
      <c r="J581" s="22" t="s">
        <v>1355</v>
      </c>
      <c r="K581" s="22" t="s">
        <v>24</v>
      </c>
      <c r="L581" s="2" t="str">
        <f t="shared" si="9"/>
        <v>insert into CHB_DATACHECK_RULE (CHECKRULEID,DATATYPE,CHECKCLASS,CHECKMETHOD,SRCPROPERTY,COMPARETO,OBJVALUE,REMARK,STATUS,NULLABLE) values ('W84807E5-EF00-D105-E050-007F010077FD','CHB_ASSET_INFO','com.joyintech.tams.common.svreport.datacheck.service.BaseCheckLib','isNotEmpty','CREDIT_ORG_NAME','','','增信机构名称要素不可为空。','E','N');</v>
      </c>
    </row>
    <row r="582" spans="1:12" x14ac:dyDescent="0.15">
      <c r="A582" s="9">
        <v>579</v>
      </c>
      <c r="B582" s="21" t="s">
        <v>628</v>
      </c>
      <c r="C582" s="23" t="s">
        <v>1484</v>
      </c>
      <c r="D582" s="22" t="s">
        <v>21</v>
      </c>
      <c r="E582" s="22" t="s">
        <v>22</v>
      </c>
      <c r="F582" s="22" t="s">
        <v>1354</v>
      </c>
      <c r="G582" s="22"/>
      <c r="H582" s="21"/>
      <c r="I582" s="22" t="s">
        <v>23</v>
      </c>
      <c r="J582" s="22" t="s">
        <v>1355</v>
      </c>
      <c r="K582" s="22" t="s">
        <v>24</v>
      </c>
      <c r="L582" s="2" t="str">
        <f t="shared" si="9"/>
        <v>insert into CHB_DATACHECK_RULE (CHECKRULEID,DATATYPE,CHECKCLASS,CHECKMETHOD,SRCPROPERTY,COMPARETO,OBJVALUE,REMARK,STATUS,NULLABLE) values ('W84807E5-EF00-D106-E050-007F010077FD','CHB_ASSET_INFO','com.joyintech.tams.common.svreport.datacheck.service.BaseCheckLib','isNotEmpty','CREDIT_ORG_NAME','','','增信机构名称要素不可为空。','E','N');</v>
      </c>
    </row>
    <row r="583" spans="1:12" x14ac:dyDescent="0.15">
      <c r="A583" s="17">
        <v>580</v>
      </c>
      <c r="B583" s="21" t="s">
        <v>629</v>
      </c>
      <c r="C583" s="23" t="s">
        <v>1484</v>
      </c>
      <c r="D583" s="22" t="s">
        <v>21</v>
      </c>
      <c r="E583" s="22" t="s">
        <v>22</v>
      </c>
      <c r="F583" s="22" t="s">
        <v>1354</v>
      </c>
      <c r="G583" s="22"/>
      <c r="H583" s="21"/>
      <c r="I583" s="22" t="s">
        <v>23</v>
      </c>
      <c r="J583" s="22" t="s">
        <v>1355</v>
      </c>
      <c r="K583" s="22" t="s">
        <v>24</v>
      </c>
      <c r="L583" s="2" t="str">
        <f t="shared" si="9"/>
        <v>insert into CHB_DATACHECK_RULE (CHECKRULEID,DATATYPE,CHECKCLASS,CHECKMETHOD,SRCPROPERTY,COMPARETO,OBJVALUE,REMARK,STATUS,NULLABLE) values ('W84807E5-EF00-D107-E050-007F010077FD','CHB_ASSET_INFO','com.joyintech.tams.common.svreport.datacheck.service.BaseCheckLib','isNotEmpty','CREDIT_ORG_NAME','','','增信机构名称要素不可为空。','E','N');</v>
      </c>
    </row>
    <row r="584" spans="1:12" x14ac:dyDescent="0.15">
      <c r="A584" s="9">
        <v>581</v>
      </c>
      <c r="B584" s="21" t="s">
        <v>630</v>
      </c>
      <c r="C584" s="23" t="s">
        <v>1484</v>
      </c>
      <c r="D584" s="22" t="s">
        <v>21</v>
      </c>
      <c r="E584" s="22" t="s">
        <v>62</v>
      </c>
      <c r="F584" s="22" t="s">
        <v>1354</v>
      </c>
      <c r="G584" s="22" t="s">
        <v>25</v>
      </c>
      <c r="H584" s="21" t="s">
        <v>26</v>
      </c>
      <c r="I584" s="22" t="s">
        <v>27</v>
      </c>
      <c r="J584" s="22" t="s">
        <v>1356</v>
      </c>
      <c r="K584" s="22" t="s">
        <v>24</v>
      </c>
      <c r="L584" s="2" t="str">
        <f t="shared" si="9"/>
        <v>insert into CHB_DATACHECK_RULE (CHECKRULEID,DATATYPE,CHECKCLASS,CHECKMETHOD,SRCPROPERTY,COMPARETO,OBJVALUE,REMARK,STATUS,NULLABLE) values ('W84807E5-EF00-D108-E050-007F010077FD','CHB_ASSET_INFO','com.joyintech.tams.common.svreport.datacheck.service.BaseCheckLib','lessThanCharLength','CREDIT_ORG_NAME','==','0','增信机构名称要素必须为空。','E','Y');</v>
      </c>
    </row>
    <row r="585" spans="1:12" x14ac:dyDescent="0.15">
      <c r="A585" s="17">
        <v>582</v>
      </c>
      <c r="B585" s="21" t="s">
        <v>631</v>
      </c>
      <c r="C585" s="23" t="s">
        <v>1484</v>
      </c>
      <c r="D585" s="22" t="s">
        <v>21</v>
      </c>
      <c r="E585" s="22" t="s">
        <v>62</v>
      </c>
      <c r="F585" s="22" t="s">
        <v>1354</v>
      </c>
      <c r="G585" s="22"/>
      <c r="H585" s="21" t="s">
        <v>2330</v>
      </c>
      <c r="I585" s="22" t="s">
        <v>27</v>
      </c>
      <c r="J585" s="22" t="s">
        <v>1357</v>
      </c>
      <c r="K585" s="22" t="s">
        <v>24</v>
      </c>
      <c r="L585" s="2" t="str">
        <f t="shared" si="9"/>
        <v>insert into CHB_DATACHECK_RULE (CHECKRULEID,DATATYPE,CHECKCLASS,CHECKMETHOD,SRCPROPERTY,COMPARETO,OBJVALUE,REMARK,STATUS,NULLABLE) values ('W84807E5-EF00-D109-E050-007F010077FD','CHB_ASSET_INFO','com.joyintech.tams.common.svreport.datacheck.service.BaseCheckLib','lessThanCharLength','CREDIT_ORG_NAME','','201','增信机构名称要素过长，最大长c..200。如果没有则填写无','E','Y');</v>
      </c>
    </row>
    <row r="586" spans="1:12" x14ac:dyDescent="0.15">
      <c r="A586" s="9">
        <v>583</v>
      </c>
      <c r="B586" s="21" t="s">
        <v>632</v>
      </c>
      <c r="C586" s="23" t="s">
        <v>1484</v>
      </c>
      <c r="D586" s="22" t="s">
        <v>21</v>
      </c>
      <c r="E586" s="22" t="s">
        <v>48</v>
      </c>
      <c r="F586" s="22" t="s">
        <v>1354</v>
      </c>
      <c r="G586" s="22"/>
      <c r="H586" s="21" t="s">
        <v>63</v>
      </c>
      <c r="I586" s="22" t="s">
        <v>27</v>
      </c>
      <c r="J586" s="22" t="s">
        <v>1358</v>
      </c>
      <c r="K586" s="22" t="s">
        <v>24</v>
      </c>
      <c r="L586" s="2" t="str">
        <f t="shared" si="9"/>
        <v>insert into CHB_DATACHECK_RULE (CHECKRULEID,DATATYPE,CHECKCLASS,CHECKMETHOD,SRCPROPERTY,COMPARETO,OBJVALUE,REMARK,STATUS,NULLABLE) values ('W84807E5-EF00-D110-E050-007F010077FD','CHB_ASSET_INFO','com.joyintech.tams.common.svreport.datacheck.service.BaseCheckLib','isCustomizedString','CREDIT_ORG_NAME','','^[\u4e00-\u9fa5\ue815-\ue864\uff01-\uff5e\uffe0-\uffe5\u3000-\u3003\u3005-\u3017\u301d-\u301e\u2010\u2013-\u2016\u2018-\u2019\u201c-\u201d\u2025-\u2026\u2030\u2032-\u2033\u2035\u203b\u00b7\u0030-\u0039\u0041-\u005a\u0061-\u007a\u2160-\u216b\u0020-\u0026\u0028-\u007B\u007D\u007E]{0,}$','增信机构名称要素必须填写白名单中的文字。','E','Y');</v>
      </c>
    </row>
    <row r="587" spans="1:12" x14ac:dyDescent="0.15">
      <c r="A587" s="17">
        <v>584</v>
      </c>
      <c r="B587" s="21" t="s">
        <v>633</v>
      </c>
      <c r="C587" s="23" t="s">
        <v>1484</v>
      </c>
      <c r="D587" s="22" t="s">
        <v>21</v>
      </c>
      <c r="E587" s="22" t="s">
        <v>22</v>
      </c>
      <c r="F587" s="22" t="s">
        <v>1359</v>
      </c>
      <c r="G587" s="22"/>
      <c r="H587" s="21"/>
      <c r="I587" s="22" t="s">
        <v>23</v>
      </c>
      <c r="J587" s="22" t="s">
        <v>1360</v>
      </c>
      <c r="K587" s="22" t="s">
        <v>24</v>
      </c>
      <c r="L587" s="2" t="str">
        <f t="shared" si="9"/>
        <v>insert into CHB_DATACHECK_RULE (CHECKRULEID,DATATYPE,CHECKCLASS,CHECKMETHOD,SRCPROPERTY,COMPARETO,OBJVALUE,REMARK,STATUS,NULLABLE) values ('W84807E5-EF00-D111-E050-007F010077FD','CHB_ASSET_INFO','com.joyintech.tams.common.svreport.datacheck.service.BaseCheckLib','isNotEmpty','EQUITY_QUIT','','','股权退出安排要素不可为空。','E','N');</v>
      </c>
    </row>
    <row r="588" spans="1:12" x14ac:dyDescent="0.15">
      <c r="A588" s="9">
        <v>585</v>
      </c>
      <c r="B588" s="21" t="s">
        <v>634</v>
      </c>
      <c r="C588" s="23" t="s">
        <v>1484</v>
      </c>
      <c r="D588" s="22" t="s">
        <v>21</v>
      </c>
      <c r="E588" s="22" t="s">
        <v>62</v>
      </c>
      <c r="F588" s="22" t="s">
        <v>1359</v>
      </c>
      <c r="G588" s="22" t="s">
        <v>25</v>
      </c>
      <c r="H588" s="21" t="s">
        <v>26</v>
      </c>
      <c r="I588" s="22" t="s">
        <v>27</v>
      </c>
      <c r="J588" s="22" t="s">
        <v>1361</v>
      </c>
      <c r="K588" s="22" t="s">
        <v>24</v>
      </c>
      <c r="L588" s="2" t="str">
        <f t="shared" si="9"/>
        <v>insert into CHB_DATACHECK_RULE (CHECKRULEID,DATATYPE,CHECKCLASS,CHECKMETHOD,SRCPROPERTY,COMPARETO,OBJVALUE,REMARK,STATUS,NULLABLE) values ('W84807E5-EF00-D112-E050-007F010077FD','CHB_ASSET_INFO','com.joyintech.tams.common.svreport.datacheck.service.BaseCheckLib','lessThanCharLength','EQUITY_QUIT','==','0','股权退出安排要素必须为空。','E','Y');</v>
      </c>
    </row>
    <row r="589" spans="1:12" x14ac:dyDescent="0.15">
      <c r="A589" s="17">
        <v>586</v>
      </c>
      <c r="B589" s="21" t="s">
        <v>635</v>
      </c>
      <c r="C589" s="23" t="s">
        <v>1484</v>
      </c>
      <c r="D589" s="22" t="s">
        <v>21</v>
      </c>
      <c r="E589" s="22" t="s">
        <v>38</v>
      </c>
      <c r="F589" s="22" t="s">
        <v>1359</v>
      </c>
      <c r="G589" s="22"/>
      <c r="H589" s="21" t="s">
        <v>767</v>
      </c>
      <c r="I589" s="22" t="s">
        <v>27</v>
      </c>
      <c r="J589" s="22" t="s">
        <v>1362</v>
      </c>
      <c r="K589" s="22" t="s">
        <v>24</v>
      </c>
      <c r="L589" s="2" t="str">
        <f t="shared" si="9"/>
        <v>insert into CHB_DATACHECK_RULE (CHECKRULEID,DATATYPE,CHECKCLASS,CHECKMETHOD,SRCPROPERTY,COMPARETO,OBJVALUE,REMARK,STATUS,NULLABLE) values ('W84807E5-EF00-D113-E050-007F010077FD','CHB_ASSET_INFO','com.joyintech.tams.common.svreport.datacheck.service.BaseCheckLib','isValidDate','EQUITY_QUIT','','yyyy-MM-dd','股权退出安排必须为日期格式（YYYY-MM-DD）。','E','Y');</v>
      </c>
    </row>
    <row r="590" spans="1:12" x14ac:dyDescent="0.15">
      <c r="A590" s="9">
        <v>587</v>
      </c>
      <c r="B590" s="21" t="s">
        <v>636</v>
      </c>
      <c r="C590" s="23" t="s">
        <v>1484</v>
      </c>
      <c r="D590" s="22" t="s">
        <v>21</v>
      </c>
      <c r="E590" s="22" t="s">
        <v>22</v>
      </c>
      <c r="F590" s="22" t="s">
        <v>1363</v>
      </c>
      <c r="G590" s="22"/>
      <c r="H590" s="21"/>
      <c r="I590" s="22" t="s">
        <v>23</v>
      </c>
      <c r="J590" s="22" t="s">
        <v>1364</v>
      </c>
      <c r="K590" s="22" t="s">
        <v>24</v>
      </c>
      <c r="L590" s="2" t="str">
        <f t="shared" si="9"/>
        <v>insert into CHB_DATACHECK_RULE (CHECKRULEID,DATATYPE,CHECKCLASS,CHECKMETHOD,SRCPROPERTY,COMPARETO,OBJVALUE,REMARK,STATUS,NULLABLE) values ('W84807E5-EF00-D114-E050-007F010077FD','CHB_ASSET_INFO','com.joyintech.tams.common.svreport.datacheck.service.BaseCheckLib','isNotEmpty','DEPT_EQUITY','','','是否为债转股要素不能为空。','E','N');</v>
      </c>
    </row>
    <row r="591" spans="1:12" x14ac:dyDescent="0.15">
      <c r="A591" s="17">
        <v>588</v>
      </c>
      <c r="B591" s="21" t="s">
        <v>637</v>
      </c>
      <c r="C591" s="23" t="s">
        <v>1484</v>
      </c>
      <c r="D591" s="22" t="s">
        <v>21</v>
      </c>
      <c r="E591" s="22" t="s">
        <v>22</v>
      </c>
      <c r="F591" s="22" t="s">
        <v>1363</v>
      </c>
      <c r="G591" s="22"/>
      <c r="H591" s="21"/>
      <c r="I591" s="22" t="s">
        <v>23</v>
      </c>
      <c r="J591" s="22" t="s">
        <v>1364</v>
      </c>
      <c r="K591" s="22" t="s">
        <v>24</v>
      </c>
      <c r="L591" s="2" t="str">
        <f t="shared" si="9"/>
        <v>insert into CHB_DATACHECK_RULE (CHECKRULEID,DATATYPE,CHECKCLASS,CHECKMETHOD,SRCPROPERTY,COMPARETO,OBJVALUE,REMARK,STATUS,NULLABLE) values ('W84807E5-EF00-D115-E050-007F010077FD','CHB_ASSET_INFO','com.joyintech.tams.common.svreport.datacheck.service.BaseCheckLib','isNotEmpty','DEPT_EQUITY','','','是否为债转股要素不能为空。','E','N');</v>
      </c>
    </row>
    <row r="592" spans="1:12" x14ac:dyDescent="0.15">
      <c r="A592" s="9">
        <v>589</v>
      </c>
      <c r="B592" s="21" t="s">
        <v>638</v>
      </c>
      <c r="C592" s="23" t="s">
        <v>1484</v>
      </c>
      <c r="D592" s="22" t="s">
        <v>21</v>
      </c>
      <c r="E592" s="22" t="s">
        <v>22</v>
      </c>
      <c r="F592" s="22" t="s">
        <v>1363</v>
      </c>
      <c r="G592" s="22"/>
      <c r="H592" s="21"/>
      <c r="I592" s="22" t="s">
        <v>23</v>
      </c>
      <c r="J592" s="22" t="s">
        <v>1364</v>
      </c>
      <c r="K592" s="22" t="s">
        <v>24</v>
      </c>
      <c r="L592" s="2" t="str">
        <f t="shared" si="9"/>
        <v>insert into CHB_DATACHECK_RULE (CHECKRULEID,DATATYPE,CHECKCLASS,CHECKMETHOD,SRCPROPERTY,COMPARETO,OBJVALUE,REMARK,STATUS,NULLABLE) values ('W84807E5-EF00-D116-E050-007F010077FD','CHB_ASSET_INFO','com.joyintech.tams.common.svreport.datacheck.service.BaseCheckLib','isNotEmpty','DEPT_EQUITY','','','是否为债转股要素不能为空。','E','N');</v>
      </c>
    </row>
    <row r="593" spans="1:12" x14ac:dyDescent="0.15">
      <c r="A593" s="17">
        <v>590</v>
      </c>
      <c r="B593" s="21" t="s">
        <v>639</v>
      </c>
      <c r="C593" s="23" t="s">
        <v>1484</v>
      </c>
      <c r="D593" s="22" t="s">
        <v>21</v>
      </c>
      <c r="E593" s="22" t="s">
        <v>62</v>
      </c>
      <c r="F593" s="22" t="s">
        <v>1363</v>
      </c>
      <c r="G593" s="22" t="s">
        <v>25</v>
      </c>
      <c r="H593" s="21" t="s">
        <v>26</v>
      </c>
      <c r="I593" s="22" t="s">
        <v>27</v>
      </c>
      <c r="J593" s="22" t="s">
        <v>1365</v>
      </c>
      <c r="K593" s="22" t="s">
        <v>24</v>
      </c>
      <c r="L593" s="2" t="str">
        <f t="shared" si="9"/>
        <v>insert into CHB_DATACHECK_RULE (CHECKRULEID,DATATYPE,CHECKCLASS,CHECKMETHOD,SRCPROPERTY,COMPARETO,OBJVALUE,REMARK,STATUS,NULLABLE) values ('W84807E5-EF00-D117-E050-007F010077FD','CHB_ASSET_INFO','com.joyintech.tams.common.svreport.datacheck.service.BaseCheckLib','lessThanCharLength','DEPT_EQUITY','==','0','是否为债转股要素必须为空。','E','Y');</v>
      </c>
    </row>
    <row r="594" spans="1:12" x14ac:dyDescent="0.15">
      <c r="A594" s="9">
        <v>591</v>
      </c>
      <c r="B594" s="21" t="s">
        <v>640</v>
      </c>
      <c r="C594" s="23" t="s">
        <v>1484</v>
      </c>
      <c r="D594" s="22" t="s">
        <v>21</v>
      </c>
      <c r="E594" s="22" t="s">
        <v>30</v>
      </c>
      <c r="F594" s="22" t="s">
        <v>1363</v>
      </c>
      <c r="G594" s="22"/>
      <c r="H594" s="21" t="s">
        <v>814</v>
      </c>
      <c r="I594" s="22" t="s">
        <v>27</v>
      </c>
      <c r="J594" s="22" t="s">
        <v>1366</v>
      </c>
      <c r="K594" s="22" t="s">
        <v>24</v>
      </c>
      <c r="L594" s="2" t="str">
        <f t="shared" si="9"/>
        <v>insert into CHB_DATACHECK_RULE (CHECKRULEID,DATATYPE,CHECKCLASS,CHECKMETHOD,SRCPROPERTY,COMPARETO,OBJVALUE,REMARK,STATUS,NULLABLE) values ('W84807E5-EF00-D118-E050-007F010077FD','CHB_ASSET_INFO','com.joyintech.tams.common.svreport.datacheck.service.BaseCheckLib','inDatadict','DEPT_EQUITY','','SVR_YES_OR_NO','是否为债转股要素不在值域范围内。','E','Y');</v>
      </c>
    </row>
    <row r="595" spans="1:12" x14ac:dyDescent="0.15">
      <c r="A595" s="17">
        <v>592</v>
      </c>
      <c r="B595" s="21" t="s">
        <v>641</v>
      </c>
      <c r="C595" s="23" t="s">
        <v>1484</v>
      </c>
      <c r="D595" s="22" t="s">
        <v>21</v>
      </c>
      <c r="E595" s="22" t="s">
        <v>22</v>
      </c>
      <c r="F595" s="22" t="s">
        <v>1367</v>
      </c>
      <c r="G595" s="22"/>
      <c r="H595" s="21"/>
      <c r="I595" s="22" t="s">
        <v>23</v>
      </c>
      <c r="J595" s="22" t="s">
        <v>1368</v>
      </c>
      <c r="K595" s="22" t="s">
        <v>24</v>
      </c>
      <c r="L595" s="2" t="str">
        <f t="shared" si="9"/>
        <v>insert into CHB_DATACHECK_RULE (CHECKRULEID,DATATYPE,CHECKCLASS,CHECKMETHOD,SRCPROPERTY,COMPARETO,OBJVALUE,REMARK,STATUS,NULLABLE) values ('W84807E5-EF00-D119-E050-007F010077FD','CHB_ASSET_INFO','com.joyintech.tams.common.svreport.datacheck.service.BaseCheckLib','isNotEmpty','HOLD_PURPOSE','','','持有目的要素不可为空。','E','N');</v>
      </c>
    </row>
    <row r="596" spans="1:12" x14ac:dyDescent="0.15">
      <c r="A596" s="9">
        <v>593</v>
      </c>
      <c r="B596" s="21" t="s">
        <v>642</v>
      </c>
      <c r="C596" s="23" t="s">
        <v>1484</v>
      </c>
      <c r="D596" s="22" t="s">
        <v>21</v>
      </c>
      <c r="E596" s="22" t="s">
        <v>30</v>
      </c>
      <c r="F596" s="22" t="s">
        <v>1367</v>
      </c>
      <c r="G596" s="22"/>
      <c r="H596" s="21" t="s">
        <v>1369</v>
      </c>
      <c r="I596" s="22" t="s">
        <v>27</v>
      </c>
      <c r="J596" s="22" t="s">
        <v>1370</v>
      </c>
      <c r="K596" s="22" t="s">
        <v>24</v>
      </c>
      <c r="L596" s="2" t="str">
        <f t="shared" si="9"/>
        <v>insert into CHB_DATACHECK_RULE (CHECKRULEID,DATATYPE,CHECKCLASS,CHECKMETHOD,SRCPROPERTY,COMPARETO,OBJVALUE,REMARK,STATUS,NULLABLE) values ('W84807E5-EF00-D120-E050-007F010077FD','CHB_ASSET_INFO','com.joyintech.tams.common.svreport.datacheck.service.BaseCheckLib','inDatadict','HOLD_PURPOSE','','SVR_HOLD_PURPOSE','持有目的要素不在值域范围内。','E','Y');</v>
      </c>
    </row>
    <row r="597" spans="1:12" x14ac:dyDescent="0.15">
      <c r="A597" s="17">
        <v>594</v>
      </c>
      <c r="B597" s="21" t="s">
        <v>643</v>
      </c>
      <c r="C597" s="23" t="s">
        <v>1484</v>
      </c>
      <c r="D597" s="22" t="s">
        <v>21</v>
      </c>
      <c r="E597" s="22" t="s">
        <v>22</v>
      </c>
      <c r="F597" s="22" t="s">
        <v>1371</v>
      </c>
      <c r="G597" s="22"/>
      <c r="H597" s="21"/>
      <c r="I597" s="22" t="s">
        <v>23</v>
      </c>
      <c r="J597" s="22" t="s">
        <v>1372</v>
      </c>
      <c r="K597" s="22" t="s">
        <v>24</v>
      </c>
      <c r="L597" s="2" t="str">
        <f t="shared" si="9"/>
        <v>insert into CHB_DATACHECK_RULE (CHECKRULEID,DATATYPE,CHECKCLASS,CHECKMETHOD,SRCPROPERTY,COMPARETO,OBJVALUE,REMARK,STATUS,NULLABLE) values ('W84807E5-EF00-D122-E050-007F010077FD','CHB_ASSET_INFO','com.joyintech.tams.common.svreport.datacheck.service.BaseCheckLib','isNotEmpty','FINANCIAL_COMISSUE','','','是否由金融资产投资公司发行要素不能为空。','E','N');</v>
      </c>
    </row>
    <row r="598" spans="1:12" x14ac:dyDescent="0.15">
      <c r="A598" s="9">
        <v>595</v>
      </c>
      <c r="B598" s="21" t="s">
        <v>644</v>
      </c>
      <c r="C598" s="23" t="s">
        <v>1484</v>
      </c>
      <c r="D598" s="22" t="s">
        <v>21</v>
      </c>
      <c r="E598" s="22" t="s">
        <v>62</v>
      </c>
      <c r="F598" s="22" t="s">
        <v>1371</v>
      </c>
      <c r="G598" s="22" t="s">
        <v>25</v>
      </c>
      <c r="H598" s="21" t="s">
        <v>26</v>
      </c>
      <c r="I598" s="22" t="s">
        <v>27</v>
      </c>
      <c r="J598" s="22" t="s">
        <v>1373</v>
      </c>
      <c r="K598" s="22" t="s">
        <v>24</v>
      </c>
      <c r="L598" s="2" t="str">
        <f t="shared" si="9"/>
        <v>insert into CHB_DATACHECK_RULE (CHECKRULEID,DATATYPE,CHECKCLASS,CHECKMETHOD,SRCPROPERTY,COMPARETO,OBJVALUE,REMARK,STATUS,NULLABLE) values ('W84807E5-EF00-D123-E050-007F010077FD','CHB_ASSET_INFO','com.joyintech.tams.common.svreport.datacheck.service.BaseCheckLib','lessThanCharLength','FINANCIAL_COMISSUE','==','0','是否由金融资产投资公司发行要素必须为空。','E','Y');</v>
      </c>
    </row>
    <row r="599" spans="1:12" x14ac:dyDescent="0.15">
      <c r="A599" s="17">
        <v>596</v>
      </c>
      <c r="B599" s="21" t="s">
        <v>645</v>
      </c>
      <c r="C599" s="23" t="s">
        <v>1484</v>
      </c>
      <c r="D599" s="22" t="s">
        <v>21</v>
      </c>
      <c r="E599" s="22" t="s">
        <v>30</v>
      </c>
      <c r="F599" s="22" t="s">
        <v>1371</v>
      </c>
      <c r="G599" s="22"/>
      <c r="H599" s="21" t="s">
        <v>814</v>
      </c>
      <c r="I599" s="22" t="s">
        <v>27</v>
      </c>
      <c r="J599" s="22" t="s">
        <v>1374</v>
      </c>
      <c r="K599" s="22" t="s">
        <v>24</v>
      </c>
      <c r="L599" s="2" t="str">
        <f t="shared" si="9"/>
        <v>insert into CHB_DATACHECK_RULE (CHECKRULEID,DATATYPE,CHECKCLASS,CHECKMETHOD,SRCPROPERTY,COMPARETO,OBJVALUE,REMARK,STATUS,NULLABLE) values ('W84807E5-EF00-D124-E050-007F010077FD','CHB_ASSET_INFO','com.joyintech.tams.common.svreport.datacheck.service.BaseCheckLib','inDatadict','FINANCIAL_COMISSUE','','SVR_YES_OR_NO','是否由金融资产投资公司发行要素不在值域范围内。','E','Y');</v>
      </c>
    </row>
    <row r="600" spans="1:12" x14ac:dyDescent="0.15">
      <c r="A600" s="9">
        <v>597</v>
      </c>
      <c r="B600" s="21" t="s">
        <v>646</v>
      </c>
      <c r="C600" s="23" t="s">
        <v>1484</v>
      </c>
      <c r="D600" s="22" t="s">
        <v>21</v>
      </c>
      <c r="E600" s="22" t="s">
        <v>22</v>
      </c>
      <c r="F600" s="22" t="s">
        <v>1371</v>
      </c>
      <c r="G600" s="22"/>
      <c r="H600" s="21"/>
      <c r="I600" s="22" t="s">
        <v>23</v>
      </c>
      <c r="J600" s="22" t="s">
        <v>1372</v>
      </c>
      <c r="K600" s="22" t="s">
        <v>24</v>
      </c>
      <c r="L600" s="2" t="str">
        <f t="shared" si="9"/>
        <v>insert into CHB_DATACHECK_RULE (CHECKRULEID,DATATYPE,CHECKCLASS,CHECKMETHOD,SRCPROPERTY,COMPARETO,OBJVALUE,REMARK,STATUS,NULLABLE) values ('W84807E5-EF00-D125-E050-007F010077FD','CHB_ASSET_INFO','com.joyintech.tams.common.svreport.datacheck.service.BaseCheckLib','isNotEmpty','FINANCIAL_COMISSUE','','','是否由金融资产投资公司发行要素不能为空。','E','N');</v>
      </c>
    </row>
    <row r="601" spans="1:12" x14ac:dyDescent="0.15">
      <c r="A601" s="17">
        <v>598</v>
      </c>
      <c r="B601" s="21" t="s">
        <v>647</v>
      </c>
      <c r="C601" s="23" t="s">
        <v>1484</v>
      </c>
      <c r="D601" s="22" t="s">
        <v>21</v>
      </c>
      <c r="E601" s="22" t="s">
        <v>22</v>
      </c>
      <c r="F601" s="22" t="s">
        <v>1277</v>
      </c>
      <c r="G601" s="22"/>
      <c r="H601" s="21"/>
      <c r="I601" s="22" t="s">
        <v>23</v>
      </c>
      <c r="J601" s="22" t="s">
        <v>1375</v>
      </c>
      <c r="K601" s="22" t="s">
        <v>24</v>
      </c>
      <c r="L601" s="2" t="str">
        <f t="shared" si="9"/>
        <v>insert into CHB_DATACHECK_RULE (CHECKRULEID,DATATYPE,CHECKCLASS,CHECKMETHOD,SRCPROPERTY,COMPARETO,OBJVALUE,REMARK,STATUS,NULLABLE) values ('W84807E5-EF00-D150-E050-007F010077FD','CHB_ASSET_INFO','com.joyintech.tams.common.svreport.datacheck.service.BaseCheckLib','isNotEmpty','PLEDGE_TYPE','','','抵质押物类型要素不可为空。','E','N');</v>
      </c>
    </row>
    <row r="602" spans="1:12" x14ac:dyDescent="0.15">
      <c r="A602" s="9">
        <v>599</v>
      </c>
      <c r="B602" s="21" t="s">
        <v>648</v>
      </c>
      <c r="C602" s="23" t="s">
        <v>1484</v>
      </c>
      <c r="D602" s="22" t="s">
        <v>21</v>
      </c>
      <c r="E602" s="22" t="s">
        <v>22</v>
      </c>
      <c r="F602" s="22" t="s">
        <v>1277</v>
      </c>
      <c r="G602" s="22"/>
      <c r="H602" s="21"/>
      <c r="I602" s="22" t="s">
        <v>23</v>
      </c>
      <c r="J602" s="22" t="s">
        <v>1375</v>
      </c>
      <c r="K602" s="22" t="s">
        <v>24</v>
      </c>
      <c r="L602" s="2" t="str">
        <f t="shared" si="9"/>
        <v>insert into CHB_DATACHECK_RULE (CHECKRULEID,DATATYPE,CHECKCLASS,CHECKMETHOD,SRCPROPERTY,COMPARETO,OBJVALUE,REMARK,STATUS,NULLABLE) values ('W84807E5-EF00-D151-E050-007F010077FD','CHB_ASSET_INFO','com.joyintech.tams.common.svreport.datacheck.service.BaseCheckLib','isNotEmpty','PLEDGE_TYPE','','','抵质押物类型要素不可为空。','E','N');</v>
      </c>
    </row>
    <row r="603" spans="1:12" x14ac:dyDescent="0.15">
      <c r="A603" s="17">
        <v>600</v>
      </c>
      <c r="B603" s="21" t="s">
        <v>2403</v>
      </c>
      <c r="C603" s="23" t="s">
        <v>1484</v>
      </c>
      <c r="D603" s="22" t="s">
        <v>21</v>
      </c>
      <c r="E603" s="22" t="s">
        <v>62</v>
      </c>
      <c r="F603" s="22" t="s">
        <v>1277</v>
      </c>
      <c r="G603" s="22" t="s">
        <v>25</v>
      </c>
      <c r="H603" s="21" t="s">
        <v>26</v>
      </c>
      <c r="I603" s="22" t="s">
        <v>27</v>
      </c>
      <c r="J603" s="22" t="s">
        <v>1376</v>
      </c>
      <c r="K603" s="22" t="s">
        <v>24</v>
      </c>
      <c r="L603" s="2" t="str">
        <f t="shared" si="9"/>
        <v>insert into CHB_DATACHECK_RULE (CHECKRULEID,DATATYPE,CHECKCLASS,CHECKMETHOD,SRCPROPERTY,COMPARETO,OBJVALUE,REMARK,STATUS,NULLABLE) values ('W84807E5-EF00-D153-E050-007F010077FD','CHB_ASSET_INFO','com.joyintech.tams.common.svreport.datacheck.service.BaseCheckLib','lessThanCharLength','PLEDGE_TYPE','==','0','抵质押物类型要素必须为空。','E','Y');</v>
      </c>
    </row>
    <row r="604" spans="1:12" x14ac:dyDescent="0.15">
      <c r="A604" s="9">
        <v>601</v>
      </c>
      <c r="B604" s="21" t="s">
        <v>650</v>
      </c>
      <c r="C604" s="23" t="s">
        <v>1484</v>
      </c>
      <c r="D604" s="22" t="s">
        <v>21</v>
      </c>
      <c r="E604" s="22" t="s">
        <v>22</v>
      </c>
      <c r="F604" s="22" t="s">
        <v>1280</v>
      </c>
      <c r="G604" s="22"/>
      <c r="H604" s="21"/>
      <c r="I604" s="22" t="s">
        <v>23</v>
      </c>
      <c r="J604" s="22" t="s">
        <v>1281</v>
      </c>
      <c r="K604" s="22" t="s">
        <v>24</v>
      </c>
      <c r="L604" s="2" t="str">
        <f t="shared" si="9"/>
        <v>insert into CHB_DATACHECK_RULE (CHECKRULEID,DATATYPE,CHECKCLASS,CHECKMETHOD,SRCPROPERTY,COMPARETO,OBJVALUE,REMARK,STATUS,NULLABLE) values ('W84807E5-EF00-D156-E050-007F010077FD','CHB_ASSET_INFO','com.joyintech.tams.common.svreport.datacheck.service.BaseCheckLib','isNotEmpty','PLEDGE_VALUE','','','抵质押物价值（元）要素不可为空。','E','N');</v>
      </c>
    </row>
    <row r="605" spans="1:12" x14ac:dyDescent="0.15">
      <c r="A605" s="17">
        <v>602</v>
      </c>
      <c r="B605" s="21" t="s">
        <v>651</v>
      </c>
      <c r="C605" s="23" t="s">
        <v>1484</v>
      </c>
      <c r="D605" s="22" t="s">
        <v>21</v>
      </c>
      <c r="E605" s="22" t="s">
        <v>22</v>
      </c>
      <c r="F605" s="22" t="s">
        <v>1280</v>
      </c>
      <c r="G605" s="22"/>
      <c r="H605" s="21"/>
      <c r="I605" s="22" t="s">
        <v>23</v>
      </c>
      <c r="J605" s="22" t="s">
        <v>1281</v>
      </c>
      <c r="K605" s="22" t="s">
        <v>24</v>
      </c>
      <c r="L605" s="2" t="str">
        <f t="shared" si="9"/>
        <v>insert into CHB_DATACHECK_RULE (CHECKRULEID,DATATYPE,CHECKCLASS,CHECKMETHOD,SRCPROPERTY,COMPARETO,OBJVALUE,REMARK,STATUS,NULLABLE) values ('W84807E5-EF00-D157-E050-007F010077FD','CHB_ASSET_INFO','com.joyintech.tams.common.svreport.datacheck.service.BaseCheckLib','isNotEmpty','PLEDGE_VALUE','','','抵质押物价值（元）要素不可为空。','E','N');</v>
      </c>
    </row>
    <row r="606" spans="1:12" x14ac:dyDescent="0.15">
      <c r="A606" s="9">
        <v>603</v>
      </c>
      <c r="B606" s="21" t="s">
        <v>652</v>
      </c>
      <c r="C606" s="23" t="s">
        <v>1484</v>
      </c>
      <c r="D606" s="22" t="s">
        <v>21</v>
      </c>
      <c r="E606" s="22" t="s">
        <v>62</v>
      </c>
      <c r="F606" s="22" t="s">
        <v>1280</v>
      </c>
      <c r="G606" s="22" t="s">
        <v>25</v>
      </c>
      <c r="H606" s="21" t="s">
        <v>26</v>
      </c>
      <c r="I606" s="22" t="s">
        <v>27</v>
      </c>
      <c r="J606" s="22" t="s">
        <v>1282</v>
      </c>
      <c r="K606" s="22" t="s">
        <v>24</v>
      </c>
      <c r="L606" s="2" t="str">
        <f t="shared" si="9"/>
        <v>insert into CHB_DATACHECK_RULE (CHECKRULEID,DATATYPE,CHECKCLASS,CHECKMETHOD,SRCPROPERTY,COMPARETO,OBJVALUE,REMARK,STATUS,NULLABLE) values ('W84807E5-EF00-D158-E050-007F010077FD','CHB_ASSET_INFO','com.joyintech.tams.common.svreport.datacheck.service.BaseCheckLib','lessThanCharLength','PLEDGE_VALUE','==','0','抵质押物价值（元）要素必须为空。','E','Y');</v>
      </c>
    </row>
    <row r="607" spans="1:12" x14ac:dyDescent="0.15">
      <c r="A607" s="17">
        <v>604</v>
      </c>
      <c r="B607" s="21" t="s">
        <v>653</v>
      </c>
      <c r="C607" s="23" t="s">
        <v>1484</v>
      </c>
      <c r="D607" s="22" t="s">
        <v>21</v>
      </c>
      <c r="E607" s="22" t="s">
        <v>62</v>
      </c>
      <c r="F607" s="22" t="s">
        <v>1280</v>
      </c>
      <c r="G607" s="22" t="s">
        <v>25</v>
      </c>
      <c r="H607" s="21" t="s">
        <v>26</v>
      </c>
      <c r="I607" s="22" t="s">
        <v>27</v>
      </c>
      <c r="J607" s="22" t="s">
        <v>1282</v>
      </c>
      <c r="K607" s="22" t="s">
        <v>24</v>
      </c>
      <c r="L607" s="2" t="str">
        <f t="shared" si="9"/>
        <v>insert into CHB_DATACHECK_RULE (CHECKRULEID,DATATYPE,CHECKCLASS,CHECKMETHOD,SRCPROPERTY,COMPARETO,OBJVALUE,REMARK,STATUS,NULLABLE) values ('W84807E5-EF00-D159-E050-007F010077FD','CHB_ASSET_INFO','com.joyintech.tams.common.svreport.datacheck.service.BaseCheckLib','lessThanCharLength','PLEDGE_VALUE','==','0','抵质押物价值（元）要素必须为空。','E','Y');</v>
      </c>
    </row>
    <row r="608" spans="1:12" x14ac:dyDescent="0.15">
      <c r="A608" s="9">
        <v>605</v>
      </c>
      <c r="B608" s="21" t="s">
        <v>654</v>
      </c>
      <c r="C608" s="23" t="s">
        <v>1484</v>
      </c>
      <c r="D608" s="22" t="s">
        <v>21</v>
      </c>
      <c r="E608" s="22" t="s">
        <v>22</v>
      </c>
      <c r="F608" s="22" t="s">
        <v>1284</v>
      </c>
      <c r="G608" s="22"/>
      <c r="H608" s="21"/>
      <c r="I608" s="22" t="s">
        <v>23</v>
      </c>
      <c r="J608" s="22" t="s">
        <v>1285</v>
      </c>
      <c r="K608" s="22" t="s">
        <v>24</v>
      </c>
      <c r="L608" s="2" t="str">
        <f t="shared" si="9"/>
        <v>insert into CHB_DATACHECK_RULE (CHECKRULEID,DATATYPE,CHECKCLASS,CHECKMETHOD,SRCPROPERTY,COMPARETO,OBJVALUE,REMARK,STATUS,NULLABLE) values ('W84807E5-EF00-D161-E050-007F010077FD','CHB_ASSET_INFO','com.joyintech.tams.common.svreport.datacheck.service.BaseCheckLib','isNotEmpty','NATURE_GUARANTEE','','','担保性质要素不可为空。','E','N');</v>
      </c>
    </row>
    <row r="609" spans="1:12" x14ac:dyDescent="0.15">
      <c r="A609" s="17">
        <v>606</v>
      </c>
      <c r="B609" s="21" t="s">
        <v>655</v>
      </c>
      <c r="C609" s="23" t="s">
        <v>1484</v>
      </c>
      <c r="D609" s="22" t="s">
        <v>21</v>
      </c>
      <c r="E609" s="22" t="s">
        <v>22</v>
      </c>
      <c r="F609" s="22" t="s">
        <v>1284</v>
      </c>
      <c r="G609" s="22"/>
      <c r="H609" s="21"/>
      <c r="I609" s="22" t="s">
        <v>23</v>
      </c>
      <c r="J609" s="22" t="s">
        <v>1285</v>
      </c>
      <c r="K609" s="22" t="s">
        <v>24</v>
      </c>
      <c r="L609" s="2" t="str">
        <f t="shared" si="9"/>
        <v>insert into CHB_DATACHECK_RULE (CHECKRULEID,DATATYPE,CHECKCLASS,CHECKMETHOD,SRCPROPERTY,COMPARETO,OBJVALUE,REMARK,STATUS,NULLABLE) values ('W84807E5-EF00-D162-E050-007F010077FD','CHB_ASSET_INFO','com.joyintech.tams.common.svreport.datacheck.service.BaseCheckLib','isNotEmpty','NATURE_GUARANTEE','','','担保性质要素不可为空。','E','N');</v>
      </c>
    </row>
    <row r="610" spans="1:12" x14ac:dyDescent="0.15">
      <c r="A610" s="9">
        <v>607</v>
      </c>
      <c r="B610" s="21" t="s">
        <v>2407</v>
      </c>
      <c r="C610" s="23" t="s">
        <v>1484</v>
      </c>
      <c r="D610" s="22" t="s">
        <v>21</v>
      </c>
      <c r="E610" s="22" t="s">
        <v>62</v>
      </c>
      <c r="F610" s="22" t="s">
        <v>1284</v>
      </c>
      <c r="G610" s="22" t="s">
        <v>25</v>
      </c>
      <c r="H610" s="21" t="s">
        <v>26</v>
      </c>
      <c r="I610" s="22" t="s">
        <v>27</v>
      </c>
      <c r="J610" s="22" t="s">
        <v>1286</v>
      </c>
      <c r="K610" s="22" t="s">
        <v>24</v>
      </c>
      <c r="L610" s="2" t="str">
        <f t="shared" si="9"/>
        <v>insert into CHB_DATACHECK_RULE (CHECKRULEID,DATATYPE,CHECKCLASS,CHECKMETHOD,SRCPROPERTY,COMPARETO,OBJVALUE,REMARK,STATUS,NULLABLE) values ('W84807E5-EF00-D163-E050-007F010077FD','CHB_ASSET_INFO','com.joyintech.tams.common.svreport.datacheck.service.BaseCheckLib','lessThanCharLength','NATURE_GUARANTEE','==','0','担保性质要素必须为空。','E','Y');</v>
      </c>
    </row>
    <row r="611" spans="1:12" x14ac:dyDescent="0.15">
      <c r="A611" s="17">
        <v>608</v>
      </c>
      <c r="B611" s="21" t="s">
        <v>657</v>
      </c>
      <c r="C611" s="23" t="s">
        <v>1484</v>
      </c>
      <c r="D611" s="22" t="s">
        <v>21</v>
      </c>
      <c r="E611" s="22" t="s">
        <v>30</v>
      </c>
      <c r="F611" s="22" t="s">
        <v>1284</v>
      </c>
      <c r="G611" s="22"/>
      <c r="H611" s="21" t="s">
        <v>1287</v>
      </c>
      <c r="I611" s="22" t="s">
        <v>27</v>
      </c>
      <c r="J611" s="22" t="s">
        <v>1288</v>
      </c>
      <c r="K611" s="22" t="s">
        <v>24</v>
      </c>
      <c r="L611" s="2" t="str">
        <f t="shared" si="9"/>
        <v>insert into CHB_DATACHECK_RULE (CHECKRULEID,DATATYPE,CHECKCLASS,CHECKMETHOD,SRCPROPERTY,COMPARETO,OBJVALUE,REMARK,STATUS,NULLABLE) values ('W84807E5-EF00-D164-E050-007F010077FD','CHB_ASSET_INFO','com.joyintech.tams.common.svreport.datacheck.service.BaseCheckLib','inDatadict','NATURE_GUARANTEE','','SVR_NATURE_GUARANTEE','担保性质要素不在值域范围内。','E','Y');</v>
      </c>
    </row>
    <row r="612" spans="1:12" x14ac:dyDescent="0.15">
      <c r="A612" s="9">
        <v>609</v>
      </c>
      <c r="B612" s="21" t="s">
        <v>658</v>
      </c>
      <c r="C612" s="23" t="s">
        <v>1484</v>
      </c>
      <c r="D612" s="22" t="s">
        <v>21</v>
      </c>
      <c r="E612" s="22" t="s">
        <v>22</v>
      </c>
      <c r="F612" s="22" t="s">
        <v>1289</v>
      </c>
      <c r="G612" s="22"/>
      <c r="H612" s="21"/>
      <c r="I612" s="22" t="s">
        <v>23</v>
      </c>
      <c r="J612" s="22" t="s">
        <v>1290</v>
      </c>
      <c r="K612" s="22" t="s">
        <v>24</v>
      </c>
      <c r="L612" s="2" t="str">
        <f t="shared" si="9"/>
        <v>insert into CHB_DATACHECK_RULE (CHECKRULEID,DATATYPE,CHECKCLASS,CHECKMETHOD,SRCPROPERTY,COMPARETO,OBJVALUE,REMARK,STATUS,NULLABLE) values ('W84807E5-EF00-D165-E050-007F010077FD','CHB_ASSET_INFO','com.joyintech.tams.common.svreport.datacheck.service.BaseCheckLib','isNotEmpty','RELATION_FINAN','','','担保人与融资人关系要素不可为空。','E','N');</v>
      </c>
    </row>
    <row r="613" spans="1:12" x14ac:dyDescent="0.15">
      <c r="A613" s="17">
        <v>610</v>
      </c>
      <c r="B613" s="21" t="s">
        <v>659</v>
      </c>
      <c r="C613" s="23" t="s">
        <v>1484</v>
      </c>
      <c r="D613" s="22" t="s">
        <v>21</v>
      </c>
      <c r="E613" s="22" t="s">
        <v>22</v>
      </c>
      <c r="F613" s="22" t="s">
        <v>1289</v>
      </c>
      <c r="G613" s="22"/>
      <c r="H613" s="21"/>
      <c r="I613" s="22" t="s">
        <v>23</v>
      </c>
      <c r="J613" s="22" t="s">
        <v>1290</v>
      </c>
      <c r="K613" s="22" t="s">
        <v>24</v>
      </c>
      <c r="L613" s="2" t="str">
        <f t="shared" si="9"/>
        <v>insert into CHB_DATACHECK_RULE (CHECKRULEID,DATATYPE,CHECKCLASS,CHECKMETHOD,SRCPROPERTY,COMPARETO,OBJVALUE,REMARK,STATUS,NULLABLE) values ('W84807E5-EF00-D166-E050-007F010077FD','CHB_ASSET_INFO','com.joyintech.tams.common.svreport.datacheck.service.BaseCheckLib','isNotEmpty','RELATION_FINAN','','','担保人与融资人关系要素不可为空。','E','N');</v>
      </c>
    </row>
    <row r="614" spans="1:12" x14ac:dyDescent="0.15">
      <c r="A614" s="9">
        <v>611</v>
      </c>
      <c r="B614" s="21" t="s">
        <v>2409</v>
      </c>
      <c r="C614" s="23" t="s">
        <v>1484</v>
      </c>
      <c r="D614" s="22" t="s">
        <v>21</v>
      </c>
      <c r="E614" s="22" t="s">
        <v>62</v>
      </c>
      <c r="F614" s="22" t="s">
        <v>1289</v>
      </c>
      <c r="G614" s="22" t="s">
        <v>25</v>
      </c>
      <c r="H614" s="21" t="s">
        <v>26</v>
      </c>
      <c r="I614" s="22" t="s">
        <v>27</v>
      </c>
      <c r="J614" s="22" t="s">
        <v>1291</v>
      </c>
      <c r="K614" s="22" t="s">
        <v>24</v>
      </c>
      <c r="L614" s="2" t="str">
        <f t="shared" si="9"/>
        <v>insert into CHB_DATACHECK_RULE (CHECKRULEID,DATATYPE,CHECKCLASS,CHECKMETHOD,SRCPROPERTY,COMPARETO,OBJVALUE,REMARK,STATUS,NULLABLE) values ('W84807E5-EF00-D168-E050-007F010077FD','CHB_ASSET_INFO','com.joyintech.tams.common.svreport.datacheck.service.BaseCheckLib','lessThanCharLength','RELATION_FINAN','==','0','担保人与融资人关系要素必须为空。','E','Y');</v>
      </c>
    </row>
    <row r="615" spans="1:12" s="27" customFormat="1" x14ac:dyDescent="0.15">
      <c r="A615" s="9">
        <v>612</v>
      </c>
      <c r="B615" s="24" t="s">
        <v>2463</v>
      </c>
      <c r="C615" s="25" t="s">
        <v>1484</v>
      </c>
      <c r="D615" s="26" t="s">
        <v>21</v>
      </c>
      <c r="E615" s="26" t="s">
        <v>62</v>
      </c>
      <c r="F615" s="26" t="s">
        <v>1289</v>
      </c>
      <c r="G615" s="26" t="s">
        <v>25</v>
      </c>
      <c r="H615" s="24" t="s">
        <v>26</v>
      </c>
      <c r="I615" s="26" t="s">
        <v>27</v>
      </c>
      <c r="J615" s="26" t="s">
        <v>1291</v>
      </c>
      <c r="K615" s="26" t="s">
        <v>24</v>
      </c>
      <c r="L615" s="19" t="str">
        <f t="shared" ref="L615" si="10">CONCATENATE("insert into CHB_DATACHECK_RULE (CHECKRULEID,DATATYPE,CHECKCLASS,CHECKMETHOD,SRCPROPERTY,COMPARETO,OBJVALUE,REMARK,STATUS,NULLABLE) values ('",B615,"','",C615,"','",D615,"','",E615,"','",F615,"','",G615,"','",H615,"','",J615,"','",K615,"','",I615,"');")</f>
        <v>insert into CHB_DATACHECK_RULE (CHECKRULEID,DATATYPE,CHECKCLASS,CHECKMETHOD,SRCPROPERTY,COMPARETO,OBJVALUE,REMARK,STATUS,NULLABLE) values ('W84807E5-EF00-D169-E050-007F010077FD','CHB_ASSET_INFO','com.joyintech.tams.common.svreport.datacheck.service.BaseCheckLib','lessThanCharLength','RELATION_FINAN','==','0','担保人与融资人关系要素必须为空。','E','Y');</v>
      </c>
    </row>
    <row r="616" spans="1:12" s="27" customFormat="1" x14ac:dyDescent="0.15">
      <c r="A616" s="17">
        <v>613</v>
      </c>
      <c r="B616" s="24" t="s">
        <v>2470</v>
      </c>
      <c r="C616" s="25" t="s">
        <v>1484</v>
      </c>
      <c r="D616" s="26" t="s">
        <v>21</v>
      </c>
      <c r="E616" s="26" t="s">
        <v>62</v>
      </c>
      <c r="F616" s="26" t="s">
        <v>1289</v>
      </c>
      <c r="G616" s="26" t="s">
        <v>25</v>
      </c>
      <c r="H616" s="24" t="s">
        <v>26</v>
      </c>
      <c r="I616" s="26" t="s">
        <v>27</v>
      </c>
      <c r="J616" s="26" t="s">
        <v>1291</v>
      </c>
      <c r="K616" s="26" t="s">
        <v>24</v>
      </c>
      <c r="L616" s="19" t="str">
        <f t="shared" ref="L616" si="11">CONCATENATE("insert into CHB_DATACHECK_RULE (CHECKRULEID,DATATYPE,CHECKCLASS,CHECKMETHOD,SRCPROPERTY,COMPARETO,OBJVALUE,REMARK,STATUS,NULLABLE) values ('",B616,"','",C616,"','",D616,"','",E616,"','",F616,"','",G616,"','",H616,"','",J616,"','",K616,"','",I616,"');")</f>
        <v>insert into CHB_DATACHECK_RULE (CHECKRULEID,DATATYPE,CHECKCLASS,CHECKMETHOD,SRCPROPERTY,COMPARETO,OBJVALUE,REMARK,STATUS,NULLABLE) values ('W84807E5-EF00-D170-E050-007F010077FD','CHB_ASSET_INFO','com.joyintech.tams.common.svreport.datacheck.service.BaseCheckLib','lessThanCharLength','RELATION_FINAN','==','0','担保人与融资人关系要素必须为空。','E','Y');</v>
      </c>
    </row>
    <row r="617" spans="1:12" x14ac:dyDescent="0.15">
      <c r="A617" s="9">
        <v>614</v>
      </c>
      <c r="B617" s="21" t="s">
        <v>661</v>
      </c>
      <c r="C617" s="23" t="s">
        <v>1484</v>
      </c>
      <c r="D617" s="22" t="s">
        <v>21</v>
      </c>
      <c r="E617" s="22" t="s">
        <v>22</v>
      </c>
      <c r="F617" s="22" t="s">
        <v>1363</v>
      </c>
      <c r="G617" s="22"/>
      <c r="H617" s="21"/>
      <c r="I617" s="22" t="s">
        <v>23</v>
      </c>
      <c r="J617" s="22" t="s">
        <v>1364</v>
      </c>
      <c r="K617" s="22" t="s">
        <v>24</v>
      </c>
      <c r="L617" s="2" t="str">
        <f t="shared" si="9"/>
        <v>insert into CHB_DATACHECK_RULE (CHECKRULEID,DATATYPE,CHECKCLASS,CHECKMETHOD,SRCPROPERTY,COMPARETO,OBJVALUE,REMARK,STATUS,NULLABLE) values ('W84807E5-EF00-D171-E050-007F010077FD','CHB_ASSET_INFO','com.joyintech.tams.common.svreport.datacheck.service.BaseCheckLib','isNotEmpty','DEPT_EQUITY','','','是否为债转股要素不能为空。','E','N');</v>
      </c>
    </row>
    <row r="618" spans="1:12" x14ac:dyDescent="0.15">
      <c r="A618" s="17">
        <v>615</v>
      </c>
      <c r="B618" s="21" t="s">
        <v>662</v>
      </c>
      <c r="C618" s="23" t="s">
        <v>1484</v>
      </c>
      <c r="D618" s="22" t="s">
        <v>21</v>
      </c>
      <c r="E618" s="22" t="s">
        <v>62</v>
      </c>
      <c r="F618" s="22" t="s">
        <v>1377</v>
      </c>
      <c r="G618" s="22"/>
      <c r="H618" s="21" t="s">
        <v>2330</v>
      </c>
      <c r="I618" s="22" t="s">
        <v>27</v>
      </c>
      <c r="J618" s="22" t="s">
        <v>1378</v>
      </c>
      <c r="K618" s="22" t="s">
        <v>24</v>
      </c>
      <c r="L618" s="2" t="str">
        <f t="shared" si="9"/>
        <v>insert into CHB_DATACHECK_RULE (CHECKRULEID,DATATYPE,CHECKCLASS,CHECKMETHOD,SRCPROPERTY,COMPARETO,OBJVALUE,REMARK,STATUS,NULLABLE) values ('W84807E5-EF00-D173-E050-007F010077FD','CHB_ASSET_INFO','com.joyintech.tams.common.svreport.datacheck.service.BaseCheckLib','lessThanCharLength','BASIC_ASSET_TYPE','','201','基础资产类型过长。','E','Y');</v>
      </c>
    </row>
    <row r="619" spans="1:12" x14ac:dyDescent="0.15">
      <c r="A619" s="9">
        <v>616</v>
      </c>
      <c r="B619" s="21" t="s">
        <v>663</v>
      </c>
      <c r="C619" s="23" t="s">
        <v>1484</v>
      </c>
      <c r="D619" s="22" t="s">
        <v>21</v>
      </c>
      <c r="E619" s="22" t="s">
        <v>48</v>
      </c>
      <c r="F619" s="22" t="s">
        <v>1377</v>
      </c>
      <c r="G619" s="22"/>
      <c r="H619" s="21" t="s">
        <v>63</v>
      </c>
      <c r="I619" s="22" t="s">
        <v>27</v>
      </c>
      <c r="J619" s="22" t="s">
        <v>1379</v>
      </c>
      <c r="K619" s="22" t="s">
        <v>24</v>
      </c>
      <c r="L619" s="2" t="str">
        <f t="shared" si="9"/>
        <v>insert into CHB_DATACHECK_RULE (CHECKRULEID,DATATYPE,CHECKCLASS,CHECKMETHOD,SRCPROPERTY,COMPARETO,OBJVALUE,REMARK,STATUS,NULLABLE) values ('W84807E5-EF00-D174-E050-007F010077FD','CHB_ASSET_INFO','com.joyintech.tams.common.svreport.datacheck.service.BaseCheckLib','isCustomizedString','BASIC_ASSET_TYPE','','^[\u4e00-\u9fa5\ue815-\ue864\uff01-\uff5e\uffe0-\uffe5\u3000-\u3003\u3005-\u3017\u301d-\u301e\u2010\u2013-\u2016\u2018-\u2019\u201c-\u201d\u2025-\u2026\u2030\u2032-\u2033\u2035\u203b\u00b7\u0030-\u0039\u0041-\u005a\u0061-\u007a\u2160-\u216b\u0020-\u0026\u0028-\u007B\u007D\u007E]{0,}$','基础资产类型必须填写白名单中的文字。','E','Y');</v>
      </c>
    </row>
    <row r="620" spans="1:12" x14ac:dyDescent="0.15">
      <c r="A620" s="17">
        <v>617</v>
      </c>
      <c r="B620" s="21" t="s">
        <v>664</v>
      </c>
      <c r="C620" s="23" t="s">
        <v>1484</v>
      </c>
      <c r="D620" s="22" t="s">
        <v>21</v>
      </c>
      <c r="E620" s="22" t="s">
        <v>22</v>
      </c>
      <c r="F620" s="22" t="s">
        <v>1380</v>
      </c>
      <c r="G620" s="22"/>
      <c r="H620" s="21"/>
      <c r="I620" s="22" t="s">
        <v>23</v>
      </c>
      <c r="J620" s="22" t="s">
        <v>1381</v>
      </c>
      <c r="K620" s="22" t="s">
        <v>24</v>
      </c>
      <c r="L620" s="2" t="str">
        <f t="shared" si="9"/>
        <v>insert into CHB_DATACHECK_RULE (CHECKRULEID,DATATYPE,CHECKCLASS,CHECKMETHOD,SRCPROPERTY,COMPARETO,OBJVALUE,REMARK,STATUS,NULLABLE) values ('W84807E5-EF13-D920-E050-007F010077FD','CHB_ASSET_INFO','com.joyintech.tams.common.svreport.datacheck.service.BaseCheckLib','isNotEmpty','PRIN_BASEAMT','','','份额面值要素不可为空。','E','N');</v>
      </c>
    </row>
    <row r="621" spans="1:12" x14ac:dyDescent="0.15">
      <c r="A621" s="9">
        <v>618</v>
      </c>
      <c r="B621" s="21" t="s">
        <v>665</v>
      </c>
      <c r="C621" s="23" t="s">
        <v>1484</v>
      </c>
      <c r="D621" s="22" t="s">
        <v>21</v>
      </c>
      <c r="E621" s="22" t="s">
        <v>62</v>
      </c>
      <c r="F621" s="22" t="s">
        <v>1380</v>
      </c>
      <c r="G621" s="22" t="s">
        <v>25</v>
      </c>
      <c r="H621" s="21" t="s">
        <v>26</v>
      </c>
      <c r="I621" s="22" t="s">
        <v>27</v>
      </c>
      <c r="J621" s="22" t="s">
        <v>1382</v>
      </c>
      <c r="K621" s="22" t="s">
        <v>24</v>
      </c>
      <c r="L621" s="2" t="str">
        <f t="shared" si="9"/>
        <v>insert into CHB_DATACHECK_RULE (CHECKRULEID,DATATYPE,CHECKCLASS,CHECKMETHOD,SRCPROPERTY,COMPARETO,OBJVALUE,REMARK,STATUS,NULLABLE) values ('W84807E5-EF21-D920-E050-007F010077FD','CHB_ASSET_INFO','com.joyintech.tams.common.svreport.datacheck.service.BaseCheckLib','lessThanCharLength','PRIN_BASEAMT','==','0','份额面值要素必须为空。','E','Y');</v>
      </c>
    </row>
    <row r="622" spans="1:12" x14ac:dyDescent="0.15">
      <c r="A622" s="17">
        <v>619</v>
      </c>
      <c r="B622" s="21" t="s">
        <v>666</v>
      </c>
      <c r="C622" s="23" t="s">
        <v>1484</v>
      </c>
      <c r="D622" s="22" t="s">
        <v>21</v>
      </c>
      <c r="E622" s="22" t="s">
        <v>32</v>
      </c>
      <c r="F622" s="22" t="s">
        <v>1380</v>
      </c>
      <c r="G622" s="22" t="s">
        <v>35</v>
      </c>
      <c r="H622" s="21" t="s">
        <v>1316</v>
      </c>
      <c r="I622" s="22" t="s">
        <v>27</v>
      </c>
      <c r="J622" s="22" t="s">
        <v>1383</v>
      </c>
      <c r="K622" s="22" t="s">
        <v>24</v>
      </c>
      <c r="L622" s="2" t="str">
        <f t="shared" si="9"/>
        <v>insert into CHB_DATACHECK_RULE (CHECKRULEID,DATATYPE,CHECKCLASS,CHECKMETHOD,SRCPROPERTY,COMPARETO,OBJVALUE,REMARK,STATUS,NULLABLE) values ('W84807E5-EF22-D920-E050-007F010077FD','CHB_ASSET_INFO','com.joyintech.tams.common.svreport.datacheck.service.BaseCheckLib','isNumber2','PRIN_BASEAMT','&gt;=','17,4','份额面值必须为n(17,4)格式。','E','Y');</v>
      </c>
    </row>
    <row r="623" spans="1:12" x14ac:dyDescent="0.15">
      <c r="A623" s="9">
        <v>620</v>
      </c>
      <c r="B623" s="21" t="s">
        <v>667</v>
      </c>
      <c r="C623" s="23" t="s">
        <v>1484</v>
      </c>
      <c r="D623" s="22" t="s">
        <v>21</v>
      </c>
      <c r="E623" s="22" t="s">
        <v>34</v>
      </c>
      <c r="F623" s="22" t="s">
        <v>1380</v>
      </c>
      <c r="G623" s="22" t="s">
        <v>35</v>
      </c>
      <c r="H623" s="21" t="s">
        <v>26</v>
      </c>
      <c r="I623" s="22" t="s">
        <v>27</v>
      </c>
      <c r="J623" s="22" t="s">
        <v>1384</v>
      </c>
      <c r="K623" s="22" t="s">
        <v>24</v>
      </c>
      <c r="L623" s="2" t="str">
        <f t="shared" si="9"/>
        <v>insert into CHB_DATACHECK_RULE (CHECKRULEID,DATATYPE,CHECKCLASS,CHECKMETHOD,SRCPROPERTY,COMPARETO,OBJVALUE,REMARK,STATUS,NULLABLE) values ('W84807E5-EF23-D920-E050-007F010077FD','CHB_ASSET_INFO','com.joyintech.tams.common.svreport.datacheck.service.BaseCheckLib','compareValueAsNumber','PRIN_BASEAMT','&gt;=','0','份额面值必须大于等于0。','E','Y');</v>
      </c>
    </row>
    <row r="624" spans="1:12" x14ac:dyDescent="0.15">
      <c r="A624" s="17">
        <v>621</v>
      </c>
      <c r="B624" s="21" t="s">
        <v>668</v>
      </c>
      <c r="C624" s="23" t="s">
        <v>1484</v>
      </c>
      <c r="D624" s="22" t="s">
        <v>21</v>
      </c>
      <c r="E624" s="22" t="s">
        <v>62</v>
      </c>
      <c r="F624" s="22" t="s">
        <v>1385</v>
      </c>
      <c r="G624" s="22" t="s">
        <v>25</v>
      </c>
      <c r="H624" s="21" t="s">
        <v>26</v>
      </c>
      <c r="I624" s="22" t="s">
        <v>27</v>
      </c>
      <c r="J624" s="22" t="s">
        <v>1386</v>
      </c>
      <c r="K624" s="22" t="s">
        <v>24</v>
      </c>
      <c r="L624" s="2" t="str">
        <f t="shared" si="9"/>
        <v>insert into CHB_DATACHECK_RULE (CHECKRULEID,DATATYPE,CHECKCLASS,CHECKMETHOD,SRCPROPERTY,COMPARETO,OBJVALUE,REMARK,STATUS,NULLABLE) values ('W84807E5-EF24-D920-E050-007F010077FD','CHB_ASSET_INFO','com.joyintech.tams.common.svreport.datacheck.service.BaseCheckLib','lessThanCharLength','FMDATE','==','0','法定到期日要素必须为空。','E','Y');</v>
      </c>
    </row>
    <row r="625" spans="1:12" x14ac:dyDescent="0.15">
      <c r="A625" s="9">
        <v>622</v>
      </c>
      <c r="B625" s="21" t="s">
        <v>669</v>
      </c>
      <c r="C625" s="23" t="s">
        <v>1484</v>
      </c>
      <c r="D625" s="22" t="s">
        <v>21</v>
      </c>
      <c r="E625" s="22" t="s">
        <v>62</v>
      </c>
      <c r="F625" s="22" t="s">
        <v>1385</v>
      </c>
      <c r="G625" s="22" t="s">
        <v>25</v>
      </c>
      <c r="H625" s="21" t="s">
        <v>26</v>
      </c>
      <c r="I625" s="22" t="s">
        <v>27</v>
      </c>
      <c r="J625" s="22" t="s">
        <v>1386</v>
      </c>
      <c r="K625" s="22" t="s">
        <v>24</v>
      </c>
      <c r="L625" s="2" t="str">
        <f t="shared" si="9"/>
        <v>insert into CHB_DATACHECK_RULE (CHECKRULEID,DATATYPE,CHECKCLASS,CHECKMETHOD,SRCPROPERTY,COMPARETO,OBJVALUE,REMARK,STATUS,NULLABLE) values ('W84807E5-EF25-D920-E050-007F010077FD','CHB_ASSET_INFO','com.joyintech.tams.common.svreport.datacheck.service.BaseCheckLib','lessThanCharLength','FMDATE','==','0','法定到期日要素必须为空。','E','Y');</v>
      </c>
    </row>
    <row r="626" spans="1:12" x14ac:dyDescent="0.15">
      <c r="A626" s="17">
        <v>623</v>
      </c>
      <c r="B626" s="21" t="s">
        <v>670</v>
      </c>
      <c r="C626" s="23" t="s">
        <v>1484</v>
      </c>
      <c r="D626" s="22" t="s">
        <v>21</v>
      </c>
      <c r="E626" s="22" t="s">
        <v>38</v>
      </c>
      <c r="F626" s="22" t="s">
        <v>1385</v>
      </c>
      <c r="G626" s="22"/>
      <c r="H626" s="21" t="s">
        <v>767</v>
      </c>
      <c r="I626" s="22" t="s">
        <v>27</v>
      </c>
      <c r="J626" s="22" t="s">
        <v>1387</v>
      </c>
      <c r="K626" s="22" t="s">
        <v>24</v>
      </c>
      <c r="L626" s="2" t="str">
        <f t="shared" si="9"/>
        <v>insert into CHB_DATACHECK_RULE (CHECKRULEID,DATATYPE,CHECKCLASS,CHECKMETHOD,SRCPROPERTY,COMPARETO,OBJVALUE,REMARK,STATUS,NULLABLE) values ('W84807E5-EF26-D920-E050-007F010077FD','CHB_ASSET_INFO','com.joyintech.tams.common.svreport.datacheck.service.BaseCheckLib','isValidDate','FMDATE','','yyyy-MM-dd','法定到期日必须为日期格式（YYYY-MM-DD）。','E','Y');</v>
      </c>
    </row>
    <row r="627" spans="1:12" x14ac:dyDescent="0.15">
      <c r="A627" s="9">
        <v>624</v>
      </c>
      <c r="B627" s="21" t="s">
        <v>671</v>
      </c>
      <c r="C627" s="23" t="s">
        <v>1484</v>
      </c>
      <c r="D627" s="22" t="s">
        <v>21</v>
      </c>
      <c r="E627" s="22" t="s">
        <v>22</v>
      </c>
      <c r="F627" s="22" t="s">
        <v>1388</v>
      </c>
      <c r="G627" s="22"/>
      <c r="H627" s="21"/>
      <c r="I627" s="22" t="s">
        <v>23</v>
      </c>
      <c r="J627" s="22" t="s">
        <v>1389</v>
      </c>
      <c r="K627" s="22" t="s">
        <v>24</v>
      </c>
      <c r="L627" s="2" t="str">
        <f t="shared" si="9"/>
        <v>insert into CHB_DATACHECK_RULE (CHECKRULEID,DATATYPE,CHECKCLASS,CHECKMETHOD,SRCPROPERTY,COMPARETO,OBJVALUE,REMARK,STATUS,NULLABLE) values ('W84807E5-EF27-D920-E050-007F010077FD','CHB_ASSET_INFO','com.joyintech.tams.common.svreport.datacheck.service.BaseCheckLib','isNotEmpty','COUPON_SPECIES','','','计息类型要素不可为空。','E','N');</v>
      </c>
    </row>
    <row r="628" spans="1:12" x14ac:dyDescent="0.15">
      <c r="A628" s="17">
        <v>625</v>
      </c>
      <c r="B628" s="21" t="s">
        <v>672</v>
      </c>
      <c r="C628" s="23" t="s">
        <v>1484</v>
      </c>
      <c r="D628" s="22" t="s">
        <v>21</v>
      </c>
      <c r="E628" s="22" t="s">
        <v>62</v>
      </c>
      <c r="F628" s="22" t="s">
        <v>1388</v>
      </c>
      <c r="G628" s="22" t="s">
        <v>25</v>
      </c>
      <c r="H628" s="21" t="s">
        <v>26</v>
      </c>
      <c r="I628" s="22" t="s">
        <v>27</v>
      </c>
      <c r="J628" s="22" t="s">
        <v>1390</v>
      </c>
      <c r="K628" s="22" t="s">
        <v>24</v>
      </c>
      <c r="L628" s="2" t="str">
        <f t="shared" si="9"/>
        <v>insert into CHB_DATACHECK_RULE (CHECKRULEID,DATATYPE,CHECKCLASS,CHECKMETHOD,SRCPROPERTY,COMPARETO,OBJVALUE,REMARK,STATUS,NULLABLE) values ('W84807E5-EF35-D920-E050-007F010077FD','CHB_ASSET_INFO','com.joyintech.tams.common.svreport.datacheck.service.BaseCheckLib','lessThanCharLength','COUPON_SPECIES','==','0','计息类型要素必须为空。','E','Y');</v>
      </c>
    </row>
    <row r="629" spans="1:12" x14ac:dyDescent="0.15">
      <c r="A629" s="9">
        <v>626</v>
      </c>
      <c r="B629" s="21" t="s">
        <v>673</v>
      </c>
      <c r="C629" s="23" t="s">
        <v>1484</v>
      </c>
      <c r="D629" s="22" t="s">
        <v>21</v>
      </c>
      <c r="E629" s="22" t="s">
        <v>30</v>
      </c>
      <c r="F629" s="22" t="s">
        <v>1388</v>
      </c>
      <c r="G629" s="22"/>
      <c r="H629" s="21" t="s">
        <v>1391</v>
      </c>
      <c r="I629" s="22" t="s">
        <v>27</v>
      </c>
      <c r="J629" s="22" t="s">
        <v>1392</v>
      </c>
      <c r="K629" s="22" t="s">
        <v>24</v>
      </c>
      <c r="L629" s="2" t="str">
        <f t="shared" si="9"/>
        <v>insert into CHB_DATACHECK_RULE (CHECKRULEID,DATATYPE,CHECKCLASS,CHECKMETHOD,SRCPROPERTY,COMPARETO,OBJVALUE,REMARK,STATUS,NULLABLE) values ('W84807E5-EF36-D920-E050-007F010077FD','CHB_ASSET_INFO','com.joyintech.tams.common.svreport.datacheck.service.BaseCheckLib','inDatadict','COUPON_SPECIES','','SVR_COUPON_SPECIES','计息类型要素不在值域范围内。','E','Y');</v>
      </c>
    </row>
    <row r="630" spans="1:12" x14ac:dyDescent="0.15">
      <c r="A630" s="17">
        <v>627</v>
      </c>
      <c r="B630" s="21" t="s">
        <v>674</v>
      </c>
      <c r="C630" s="23" t="s">
        <v>1484</v>
      </c>
      <c r="D630" s="22" t="s">
        <v>21</v>
      </c>
      <c r="E630" s="22" t="s">
        <v>22</v>
      </c>
      <c r="F630" s="22" t="s">
        <v>1393</v>
      </c>
      <c r="G630" s="22"/>
      <c r="H630" s="21"/>
      <c r="I630" s="22" t="s">
        <v>23</v>
      </c>
      <c r="J630" s="22" t="s">
        <v>1394</v>
      </c>
      <c r="K630" s="22" t="s">
        <v>24</v>
      </c>
      <c r="L630" s="2" t="str">
        <f t="shared" si="9"/>
        <v>insert into CHB_DATACHECK_RULE (CHECKRULEID,DATATYPE,CHECKCLASS,CHECKMETHOD,SRCPROPERTY,COMPARETO,OBJVALUE,REMARK,STATUS,NULLABLE) values ('W84807E5-EF37-D920-E050-007F010077FD','CHB_ASSET_INFO','com.joyintech.tams.common.svreport.datacheck.service.BaseCheckLib','isNotEmpty','INTEREST_RULE_FLAG','','','规则付息标识要素不可为空。','E','N');</v>
      </c>
    </row>
    <row r="631" spans="1:12" x14ac:dyDescent="0.15">
      <c r="A631" s="9">
        <v>628</v>
      </c>
      <c r="B631" s="21" t="s">
        <v>675</v>
      </c>
      <c r="C631" s="23" t="s">
        <v>1484</v>
      </c>
      <c r="D631" s="22" t="s">
        <v>21</v>
      </c>
      <c r="E631" s="22" t="s">
        <v>62</v>
      </c>
      <c r="F631" s="22" t="s">
        <v>1393</v>
      </c>
      <c r="G631" s="22" t="s">
        <v>25</v>
      </c>
      <c r="H631" s="21" t="s">
        <v>26</v>
      </c>
      <c r="I631" s="22" t="s">
        <v>27</v>
      </c>
      <c r="J631" s="22" t="s">
        <v>1395</v>
      </c>
      <c r="K631" s="22" t="s">
        <v>24</v>
      </c>
      <c r="L631" s="2" t="str">
        <f t="shared" si="9"/>
        <v>insert into CHB_DATACHECK_RULE (CHECKRULEID,DATATYPE,CHECKCLASS,CHECKMETHOD,SRCPROPERTY,COMPARETO,OBJVALUE,REMARK,STATUS,NULLABLE) values ('W84807E5-EF45-D920-E050-007F010077FD','CHB_ASSET_INFO','com.joyintech.tams.common.svreport.datacheck.service.BaseCheckLib','lessThanCharLength','INTEREST_RULE_FLAG','==','0','规则付息标识要素必须为空。','E','Y');</v>
      </c>
    </row>
    <row r="632" spans="1:12" x14ac:dyDescent="0.15">
      <c r="A632" s="17">
        <v>629</v>
      </c>
      <c r="B632" s="21" t="s">
        <v>676</v>
      </c>
      <c r="C632" s="23" t="s">
        <v>1484</v>
      </c>
      <c r="D632" s="22" t="s">
        <v>21</v>
      </c>
      <c r="E632" s="22" t="s">
        <v>30</v>
      </c>
      <c r="F632" s="22" t="s">
        <v>1393</v>
      </c>
      <c r="G632" s="22"/>
      <c r="H632" s="21" t="s">
        <v>814</v>
      </c>
      <c r="I632" s="22" t="s">
        <v>27</v>
      </c>
      <c r="J632" s="22" t="s">
        <v>1396</v>
      </c>
      <c r="K632" s="22" t="s">
        <v>24</v>
      </c>
      <c r="L632" s="2" t="str">
        <f t="shared" si="9"/>
        <v>insert into CHB_DATACHECK_RULE (CHECKRULEID,DATATYPE,CHECKCLASS,CHECKMETHOD,SRCPROPERTY,COMPARETO,OBJVALUE,REMARK,STATUS,NULLABLE) values ('W84807E5-EF46-D920-E050-007F010077FD','CHB_ASSET_INFO','com.joyintech.tams.common.svreport.datacheck.service.BaseCheckLib','inDatadict','INTEREST_RULE_FLAG','','SVR_YES_OR_NO','规则付息标识要素不在值域范围内。','E','Y');</v>
      </c>
    </row>
    <row r="633" spans="1:12" x14ac:dyDescent="0.15">
      <c r="A633" s="9">
        <v>630</v>
      </c>
      <c r="B633" s="21" t="s">
        <v>677</v>
      </c>
      <c r="C633" s="23" t="s">
        <v>1484</v>
      </c>
      <c r="D633" s="22" t="s">
        <v>21</v>
      </c>
      <c r="E633" s="22" t="s">
        <v>22</v>
      </c>
      <c r="F633" s="22" t="s">
        <v>1397</v>
      </c>
      <c r="G633" s="22"/>
      <c r="H633" s="21"/>
      <c r="I633" s="22" t="s">
        <v>23</v>
      </c>
      <c r="J633" s="22" t="s">
        <v>1398</v>
      </c>
      <c r="K633" s="22" t="s">
        <v>24</v>
      </c>
      <c r="L633" s="2" t="str">
        <f t="shared" si="9"/>
        <v>insert into CHB_DATACHECK_RULE (CHECKRULEID,DATATYPE,CHECKCLASS,CHECKMETHOD,SRCPROPERTY,COMPARETO,OBJVALUE,REMARK,STATUS,NULLABLE) values ('W84807E5-EF47-D920-E050-007F010077FD','CHB_ASSET_INFO','com.joyintech.tams.common.svreport.datacheck.service.BaseCheckLib','isNotEmpty','INTPAY_RULE','','','利息分布方式要素不可为空。','E','N');</v>
      </c>
    </row>
    <row r="634" spans="1:12" x14ac:dyDescent="0.15">
      <c r="A634" s="17">
        <v>631</v>
      </c>
      <c r="B634" s="21" t="s">
        <v>678</v>
      </c>
      <c r="C634" s="23" t="s">
        <v>1484</v>
      </c>
      <c r="D634" s="22" t="s">
        <v>21</v>
      </c>
      <c r="E634" s="22" t="s">
        <v>62</v>
      </c>
      <c r="F634" s="22" t="s">
        <v>1397</v>
      </c>
      <c r="G634" s="22" t="s">
        <v>25</v>
      </c>
      <c r="H634" s="21" t="s">
        <v>26</v>
      </c>
      <c r="I634" s="22" t="s">
        <v>27</v>
      </c>
      <c r="J634" s="22" t="s">
        <v>1399</v>
      </c>
      <c r="K634" s="22" t="s">
        <v>24</v>
      </c>
      <c r="L634" s="2" t="str">
        <f t="shared" si="9"/>
        <v>insert into CHB_DATACHECK_RULE (CHECKRULEID,DATATYPE,CHECKCLASS,CHECKMETHOD,SRCPROPERTY,COMPARETO,OBJVALUE,REMARK,STATUS,NULLABLE) values ('W84807E5-EF55-D920-E050-007F010077FD','CHB_ASSET_INFO','com.joyintech.tams.common.svreport.datacheck.service.BaseCheckLib','lessThanCharLength','INTPAY_RULE','==','0','利息分布方式要素必须为空。','E','Y');</v>
      </c>
    </row>
    <row r="635" spans="1:12" x14ac:dyDescent="0.15">
      <c r="A635" s="9">
        <v>632</v>
      </c>
      <c r="B635" s="21" t="s">
        <v>679</v>
      </c>
      <c r="C635" s="23" t="s">
        <v>1484</v>
      </c>
      <c r="D635" s="22" t="s">
        <v>21</v>
      </c>
      <c r="E635" s="22" t="s">
        <v>30</v>
      </c>
      <c r="F635" s="22" t="s">
        <v>1397</v>
      </c>
      <c r="G635" s="22"/>
      <c r="H635" s="21" t="s">
        <v>1400</v>
      </c>
      <c r="I635" s="22" t="s">
        <v>27</v>
      </c>
      <c r="J635" s="22" t="s">
        <v>1401</v>
      </c>
      <c r="K635" s="22" t="s">
        <v>24</v>
      </c>
      <c r="L635" s="2" t="str">
        <f t="shared" si="9"/>
        <v>insert into CHB_DATACHECK_RULE (CHECKRULEID,DATATYPE,CHECKCLASS,CHECKMETHOD,SRCPROPERTY,COMPARETO,OBJVALUE,REMARK,STATUS,NULLABLE) values ('W84807E5-EF56-D920-E050-007F010077FD','CHB_ASSET_INFO','com.joyintech.tams.common.svreport.datacheck.service.BaseCheckLib','inDatadict','INTPAY_RULE','','SVR_INTPAY_RULE','利息分布方式要素不在值域范围内。','E','Y');</v>
      </c>
    </row>
    <row r="636" spans="1:12" x14ac:dyDescent="0.15">
      <c r="A636" s="17">
        <v>633</v>
      </c>
      <c r="B636" s="21" t="s">
        <v>680</v>
      </c>
      <c r="C636" s="23" t="s">
        <v>1484</v>
      </c>
      <c r="D636" s="22" t="s">
        <v>21</v>
      </c>
      <c r="E636" s="22" t="s">
        <v>22</v>
      </c>
      <c r="F636" s="22" t="s">
        <v>1402</v>
      </c>
      <c r="G636" s="22"/>
      <c r="H636" s="21"/>
      <c r="I636" s="22" t="s">
        <v>23</v>
      </c>
      <c r="J636" s="22" t="s">
        <v>1403</v>
      </c>
      <c r="K636" s="22" t="s">
        <v>24</v>
      </c>
      <c r="L636" s="2" t="str">
        <f t="shared" si="9"/>
        <v>insert into CHB_DATACHECK_RULE (CHECKRULEID,DATATYPE,CHECKCLASS,CHECKMETHOD,SRCPROPERTY,COMPARETO,OBJVALUE,REMARK,STATUS,NULLABLE) values ('W84807E5-EF66-D920-E050-007F010077FD','CHB_ASSET_INFO','com.joyintech.tams.common.svreport.datacheck.service.BaseCheckLib','isNotEmpty','FLOAT_FACTOR_FLAG','','','是否有浮动因子要素不可为空。','E','N');</v>
      </c>
    </row>
    <row r="637" spans="1:12" x14ac:dyDescent="0.15">
      <c r="A637" s="9">
        <v>634</v>
      </c>
      <c r="B637" s="21" t="s">
        <v>681</v>
      </c>
      <c r="C637" s="23" t="s">
        <v>1484</v>
      </c>
      <c r="D637" s="22" t="s">
        <v>21</v>
      </c>
      <c r="E637" s="22" t="s">
        <v>62</v>
      </c>
      <c r="F637" s="22" t="s">
        <v>1402</v>
      </c>
      <c r="G637" s="22" t="s">
        <v>25</v>
      </c>
      <c r="H637" s="21" t="s">
        <v>26</v>
      </c>
      <c r="I637" s="22" t="s">
        <v>27</v>
      </c>
      <c r="J637" s="22" t="s">
        <v>1404</v>
      </c>
      <c r="K637" s="22" t="s">
        <v>24</v>
      </c>
      <c r="L637" s="2" t="str">
        <f t="shared" si="9"/>
        <v>insert into CHB_DATACHECK_RULE (CHECKRULEID,DATATYPE,CHECKCLASS,CHECKMETHOD,SRCPROPERTY,COMPARETO,OBJVALUE,REMARK,STATUS,NULLABLE) values ('W84807E5-EF74-D920-E050-007F010077FD','CHB_ASSET_INFO','com.joyintech.tams.common.svreport.datacheck.service.BaseCheckLib','lessThanCharLength','FLOAT_FACTOR_FLAG','==','0','是否有浮动因子要素必须为空。','E','Y');</v>
      </c>
    </row>
    <row r="638" spans="1:12" x14ac:dyDescent="0.15">
      <c r="A638" s="17">
        <v>635</v>
      </c>
      <c r="B638" s="21" t="s">
        <v>682</v>
      </c>
      <c r="C638" s="23" t="s">
        <v>1484</v>
      </c>
      <c r="D638" s="22" t="s">
        <v>21</v>
      </c>
      <c r="E638" s="22" t="s">
        <v>30</v>
      </c>
      <c r="F638" s="22" t="s">
        <v>1402</v>
      </c>
      <c r="G638" s="22"/>
      <c r="H638" s="21" t="s">
        <v>814</v>
      </c>
      <c r="I638" s="22" t="s">
        <v>27</v>
      </c>
      <c r="J638" s="22" t="s">
        <v>1405</v>
      </c>
      <c r="K638" s="22" t="s">
        <v>24</v>
      </c>
      <c r="L638" s="2" t="str">
        <f t="shared" si="9"/>
        <v>insert into CHB_DATACHECK_RULE (CHECKRULEID,DATATYPE,CHECKCLASS,CHECKMETHOD,SRCPROPERTY,COMPARETO,OBJVALUE,REMARK,STATUS,NULLABLE) values ('W84807E5-EF75-D920-E050-007F010077FD','CHB_ASSET_INFO','com.joyintech.tams.common.svreport.datacheck.service.BaseCheckLib','inDatadict','FLOAT_FACTOR_FLAG','','SVR_YES_OR_NO','是否有浮动因子要素不在值域范围内。','E','Y');</v>
      </c>
    </row>
    <row r="639" spans="1:12" x14ac:dyDescent="0.15">
      <c r="A639" s="9">
        <v>636</v>
      </c>
      <c r="B639" s="21" t="s">
        <v>683</v>
      </c>
      <c r="C639" s="23" t="s">
        <v>1484</v>
      </c>
      <c r="D639" s="22" t="s">
        <v>21</v>
      </c>
      <c r="E639" s="22" t="s">
        <v>22</v>
      </c>
      <c r="F639" s="22" t="s">
        <v>1125</v>
      </c>
      <c r="G639" s="22"/>
      <c r="H639" s="21"/>
      <c r="I639" s="22" t="s">
        <v>23</v>
      </c>
      <c r="J639" s="22" t="s">
        <v>1406</v>
      </c>
      <c r="K639" s="22" t="s">
        <v>24</v>
      </c>
      <c r="L639" s="2" t="str">
        <f t="shared" si="9"/>
        <v>insert into CHB_DATACHECK_RULE (CHECKRULEID,DATATYPE,CHECKCLASS,CHECKMETHOD,SRCPROPERTY,COMPARETO,OBJVALUE,REMARK,STATUS,NULLABLE) values ('W84807E5-EF76-D920-E050-007F010077FD','CHB_ASSET_INFO','com.joyintech.tams.common.svreport.datacheck.service.BaseCheckLib','isNotEmpty','FLOAT_FACTOR','','','浮动因子要素不可为空。','E','N');</v>
      </c>
    </row>
    <row r="640" spans="1:12" x14ac:dyDescent="0.15">
      <c r="A640" s="17">
        <v>637</v>
      </c>
      <c r="B640" s="21" t="s">
        <v>684</v>
      </c>
      <c r="C640" s="23" t="s">
        <v>1484</v>
      </c>
      <c r="D640" s="22" t="s">
        <v>21</v>
      </c>
      <c r="E640" s="22" t="s">
        <v>62</v>
      </c>
      <c r="F640" s="22" t="s">
        <v>1125</v>
      </c>
      <c r="G640" s="22" t="s">
        <v>25</v>
      </c>
      <c r="H640" s="21" t="s">
        <v>26</v>
      </c>
      <c r="I640" s="22" t="s">
        <v>27</v>
      </c>
      <c r="J640" s="22" t="s">
        <v>1407</v>
      </c>
      <c r="K640" s="22" t="s">
        <v>24</v>
      </c>
      <c r="L640" s="2" t="str">
        <f t="shared" si="9"/>
        <v>insert into CHB_DATACHECK_RULE (CHECKRULEID,DATATYPE,CHECKCLASS,CHECKMETHOD,SRCPROPERTY,COMPARETO,OBJVALUE,REMARK,STATUS,NULLABLE) values ('W84807E5-EF77-D920-E050-007F010077FD','CHB_ASSET_INFO','com.joyintech.tams.common.svreport.datacheck.service.BaseCheckLib','lessThanCharLength','FLOAT_FACTOR','==','0','浮动因子要素必须为空。','E','Y');</v>
      </c>
    </row>
    <row r="641" spans="1:12" x14ac:dyDescent="0.15">
      <c r="A641" s="9">
        <v>638</v>
      </c>
      <c r="B641" s="21" t="s">
        <v>685</v>
      </c>
      <c r="C641" s="23" t="s">
        <v>1484</v>
      </c>
      <c r="D641" s="22" t="s">
        <v>21</v>
      </c>
      <c r="E641" s="22" t="s">
        <v>62</v>
      </c>
      <c r="F641" s="22" t="s">
        <v>1408</v>
      </c>
      <c r="G641" s="22" t="s">
        <v>25</v>
      </c>
      <c r="H641" s="21" t="s">
        <v>26</v>
      </c>
      <c r="I641" s="22" t="s">
        <v>27</v>
      </c>
      <c r="J641" s="22" t="s">
        <v>1409</v>
      </c>
      <c r="K641" s="22" t="s">
        <v>24</v>
      </c>
      <c r="L641" s="2" t="str">
        <f t="shared" si="9"/>
        <v>insert into CHB_DATACHECK_RULE (CHECKRULEID,DATATYPE,CHECKCLASS,CHECKMETHOD,SRCPROPERTY,COMPARETO,OBJVALUE,REMARK,STATUS,NULLABLE) values ('W84807E5-EF78-D920-E050-007F010077FD','CHB_ASSET_INFO','com.joyintech.tams.common.svreport.datacheck.service.BaseCheckLib','lessThanCharLength','STRUCT_GRADE','==','0','结构档次要素必须为空。','E','Y');</v>
      </c>
    </row>
    <row r="642" spans="1:12" x14ac:dyDescent="0.15">
      <c r="A642" s="17">
        <v>639</v>
      </c>
      <c r="B642" s="21" t="s">
        <v>686</v>
      </c>
      <c r="C642" s="23" t="s">
        <v>1484</v>
      </c>
      <c r="D642" s="22" t="s">
        <v>21</v>
      </c>
      <c r="E642" s="22" t="s">
        <v>30</v>
      </c>
      <c r="F642" s="22" t="s">
        <v>1408</v>
      </c>
      <c r="G642" s="22"/>
      <c r="H642" s="21" t="s">
        <v>1410</v>
      </c>
      <c r="I642" s="22" t="s">
        <v>27</v>
      </c>
      <c r="J642" s="22" t="s">
        <v>1411</v>
      </c>
      <c r="K642" s="22" t="s">
        <v>24</v>
      </c>
      <c r="L642" s="2" t="str">
        <f t="shared" si="9"/>
        <v>insert into CHB_DATACHECK_RULE (CHECKRULEID,DATATYPE,CHECKCLASS,CHECKMETHOD,SRCPROPERTY,COMPARETO,OBJVALUE,REMARK,STATUS,NULLABLE) values ('W84807E5-EF79-D920-E050-007F010077FD','CHB_ASSET_INFO','com.joyintech.tams.common.svreport.datacheck.service.BaseCheckLib','inDatadict','STRUCT_GRADE','','SVR_STRUCT_GRADE','结构档次要素不在值域范围内。','E','Y');</v>
      </c>
    </row>
    <row r="643" spans="1:12" x14ac:dyDescent="0.15">
      <c r="A643" s="9">
        <v>640</v>
      </c>
      <c r="B643" s="21" t="s">
        <v>687</v>
      </c>
      <c r="C643" s="23" t="s">
        <v>1484</v>
      </c>
      <c r="D643" s="22" t="s">
        <v>21</v>
      </c>
      <c r="E643" s="22" t="s">
        <v>62</v>
      </c>
      <c r="F643" s="22" t="s">
        <v>1412</v>
      </c>
      <c r="G643" s="22" t="s">
        <v>25</v>
      </c>
      <c r="H643" s="21" t="s">
        <v>26</v>
      </c>
      <c r="I643" s="22" t="s">
        <v>27</v>
      </c>
      <c r="J643" s="22" t="s">
        <v>1413</v>
      </c>
      <c r="K643" s="22" t="s">
        <v>24</v>
      </c>
      <c r="L643" s="2" t="str">
        <f t="shared" ref="L643:L703" si="12">CONCATENATE("insert into CHB_DATACHECK_RULE (CHECKRULEID,DATATYPE,CHECKCLASS,CHECKMETHOD,SRCPROPERTY,COMPARETO,OBJVALUE,REMARK,STATUS,NULLABLE) values ('",B643,"','",C643,"','",D643,"','",E643,"','",F643,"','",G643,"','",H643,"','",J643,"','",K643,"','",I643,"');")</f>
        <v>insert into CHB_DATACHECK_RULE (CHECKRULEID,DATATYPE,CHECKCLASS,CHECKMETHOD,SRCPROPERTY,COMPARETO,OBJVALUE,REMARK,STATUS,NULLABLE) values ('W84807E5-EF80-D920-E050-007F010077FD','CHB_ASSET_INFO','com.joyintech.tams.common.svreport.datacheck.service.BaseCheckLib','lessThanCharLength','REPAYMENT_TYPE','==','0','还本方式要素必须为空。','E','Y');</v>
      </c>
    </row>
    <row r="644" spans="1:12" x14ac:dyDescent="0.15">
      <c r="A644" s="17">
        <v>641</v>
      </c>
      <c r="B644" s="21" t="s">
        <v>688</v>
      </c>
      <c r="C644" s="23" t="s">
        <v>1484</v>
      </c>
      <c r="D644" s="22" t="s">
        <v>21</v>
      </c>
      <c r="E644" s="22" t="s">
        <v>30</v>
      </c>
      <c r="F644" s="22" t="s">
        <v>1412</v>
      </c>
      <c r="G644" s="22"/>
      <c r="H644" s="21" t="s">
        <v>1414</v>
      </c>
      <c r="I644" s="22" t="s">
        <v>27</v>
      </c>
      <c r="J644" s="22" t="s">
        <v>1415</v>
      </c>
      <c r="K644" s="22" t="s">
        <v>24</v>
      </c>
      <c r="L644" s="2" t="str">
        <f t="shared" si="12"/>
        <v>insert into CHB_DATACHECK_RULE (CHECKRULEID,DATATYPE,CHECKCLASS,CHECKMETHOD,SRCPROPERTY,COMPARETO,OBJVALUE,REMARK,STATUS,NULLABLE) values ('W84807E5-EF81-D920-E050-007F010077FD','CHB_ASSET_INFO','com.joyintech.tams.common.svreport.datacheck.service.BaseCheckLib','inDatadict','REPAYMENT_TYPE','','SVR_REPAYMENT_TYPE','还本方式要素不在值域范围内。','E','Y');</v>
      </c>
    </row>
    <row r="645" spans="1:12" x14ac:dyDescent="0.15">
      <c r="A645" s="9">
        <v>642</v>
      </c>
      <c r="B645" s="21" t="s">
        <v>689</v>
      </c>
      <c r="C645" s="23" t="s">
        <v>1484</v>
      </c>
      <c r="D645" s="22" t="s">
        <v>21</v>
      </c>
      <c r="E645" s="22" t="s">
        <v>22</v>
      </c>
      <c r="F645" s="22" t="s">
        <v>1416</v>
      </c>
      <c r="G645" s="22"/>
      <c r="H645" s="21"/>
      <c r="I645" s="22" t="s">
        <v>23</v>
      </c>
      <c r="J645" s="22" t="s">
        <v>1417</v>
      </c>
      <c r="K645" s="22" t="s">
        <v>24</v>
      </c>
      <c r="L645" s="2" t="str">
        <f t="shared" si="12"/>
        <v>insert into CHB_DATACHECK_RULE (CHECKRULEID,DATATYPE,CHECKCLASS,CHECKMETHOD,SRCPROPERTY,COMPARETO,OBJVALUE,REMARK,STATUS,NULLABLE) values ('W84807E5-EF82-D920-E050-007F010077FD','CHB_ASSET_INFO','com.joyintech.tams.common.svreport.datacheck.service.BaseCheckLib','isNotEmpty','PERIOD_REPAYMENT_FLAG','','','分期还本条款标识要素不可为空。','E','N');</v>
      </c>
    </row>
    <row r="646" spans="1:12" x14ac:dyDescent="0.15">
      <c r="A646" s="17">
        <v>643</v>
      </c>
      <c r="B646" s="21" t="s">
        <v>690</v>
      </c>
      <c r="C646" s="23" t="s">
        <v>1484</v>
      </c>
      <c r="D646" s="22" t="s">
        <v>21</v>
      </c>
      <c r="E646" s="22" t="s">
        <v>22</v>
      </c>
      <c r="F646" s="22" t="s">
        <v>1416</v>
      </c>
      <c r="G646" s="22"/>
      <c r="H646" s="21"/>
      <c r="I646" s="22" t="s">
        <v>23</v>
      </c>
      <c r="J646" s="22" t="s">
        <v>1417</v>
      </c>
      <c r="K646" s="22" t="s">
        <v>24</v>
      </c>
      <c r="L646" s="2" t="str">
        <f t="shared" si="12"/>
        <v>insert into CHB_DATACHECK_RULE (CHECKRULEID,DATATYPE,CHECKCLASS,CHECKMETHOD,SRCPROPERTY,COMPARETO,OBJVALUE,REMARK,STATUS,NULLABLE) values ('W84807E5-EF83-D920-E050-007F010077FD','CHB_ASSET_INFO','com.joyintech.tams.common.svreport.datacheck.service.BaseCheckLib','isNotEmpty','PERIOD_REPAYMENT_FLAG','','','分期还本条款标识要素不可为空。','E','N');</v>
      </c>
    </row>
    <row r="647" spans="1:12" x14ac:dyDescent="0.15">
      <c r="A647" s="9">
        <v>644</v>
      </c>
      <c r="B647" s="21" t="s">
        <v>691</v>
      </c>
      <c r="C647" s="23" t="s">
        <v>1484</v>
      </c>
      <c r="D647" s="22" t="s">
        <v>21</v>
      </c>
      <c r="E647" s="22" t="s">
        <v>22</v>
      </c>
      <c r="F647" s="22" t="s">
        <v>1416</v>
      </c>
      <c r="G647" s="22"/>
      <c r="H647" s="21"/>
      <c r="I647" s="22" t="s">
        <v>23</v>
      </c>
      <c r="J647" s="22" t="s">
        <v>1417</v>
      </c>
      <c r="K647" s="22" t="s">
        <v>24</v>
      </c>
      <c r="L647" s="2" t="str">
        <f t="shared" si="12"/>
        <v>insert into CHB_DATACHECK_RULE (CHECKRULEID,DATATYPE,CHECKCLASS,CHECKMETHOD,SRCPROPERTY,COMPARETO,OBJVALUE,REMARK,STATUS,NULLABLE) values ('W84807E5-EF84-D920-E050-007F010077FD','CHB_ASSET_INFO','com.joyintech.tams.common.svreport.datacheck.service.BaseCheckLib','isNotEmpty','PERIOD_REPAYMENT_FLAG','','','分期还本条款标识要素不可为空。','E','N');</v>
      </c>
    </row>
    <row r="648" spans="1:12" x14ac:dyDescent="0.15">
      <c r="A648" s="17">
        <v>645</v>
      </c>
      <c r="B648" s="21" t="s">
        <v>692</v>
      </c>
      <c r="C648" s="23" t="s">
        <v>1484</v>
      </c>
      <c r="D648" s="22" t="s">
        <v>21</v>
      </c>
      <c r="E648" s="22" t="s">
        <v>22</v>
      </c>
      <c r="F648" s="22" t="s">
        <v>1416</v>
      </c>
      <c r="G648" s="22"/>
      <c r="H648" s="21"/>
      <c r="I648" s="22" t="s">
        <v>23</v>
      </c>
      <c r="J648" s="22" t="s">
        <v>1417</v>
      </c>
      <c r="K648" s="22" t="s">
        <v>24</v>
      </c>
      <c r="L648" s="2" t="str">
        <f t="shared" si="12"/>
        <v>insert into CHB_DATACHECK_RULE (CHECKRULEID,DATATYPE,CHECKCLASS,CHECKMETHOD,SRCPROPERTY,COMPARETO,OBJVALUE,REMARK,STATUS,NULLABLE) values ('W84807E5-EF85-D920-E050-007F010077FD','CHB_ASSET_INFO','com.joyintech.tams.common.svreport.datacheck.service.BaseCheckLib','isNotEmpty','PERIOD_REPAYMENT_FLAG','','','分期还本条款标识要素不可为空。','E','N');</v>
      </c>
    </row>
    <row r="649" spans="1:12" x14ac:dyDescent="0.15">
      <c r="A649" s="9">
        <v>646</v>
      </c>
      <c r="B649" s="21" t="s">
        <v>693</v>
      </c>
      <c r="C649" s="23" t="s">
        <v>1484</v>
      </c>
      <c r="D649" s="22" t="s">
        <v>21</v>
      </c>
      <c r="E649" s="22" t="s">
        <v>22</v>
      </c>
      <c r="F649" s="22" t="s">
        <v>1416</v>
      </c>
      <c r="G649" s="22"/>
      <c r="H649" s="21"/>
      <c r="I649" s="22" t="s">
        <v>23</v>
      </c>
      <c r="J649" s="22" t="s">
        <v>1417</v>
      </c>
      <c r="K649" s="22" t="s">
        <v>24</v>
      </c>
      <c r="L649" s="2" t="str">
        <f t="shared" si="12"/>
        <v>insert into CHB_DATACHECK_RULE (CHECKRULEID,DATATYPE,CHECKCLASS,CHECKMETHOD,SRCPROPERTY,COMPARETO,OBJVALUE,REMARK,STATUS,NULLABLE) values ('W84807E5-EF86-D920-E050-007F010077FD','CHB_ASSET_INFO','com.joyintech.tams.common.svreport.datacheck.service.BaseCheckLib','isNotEmpty','PERIOD_REPAYMENT_FLAG','','','分期还本条款标识要素不可为空。','E','N');</v>
      </c>
    </row>
    <row r="650" spans="1:12" x14ac:dyDescent="0.15">
      <c r="A650" s="17">
        <v>647</v>
      </c>
      <c r="B650" s="21" t="s">
        <v>694</v>
      </c>
      <c r="C650" s="23" t="s">
        <v>1484</v>
      </c>
      <c r="D650" s="22" t="s">
        <v>21</v>
      </c>
      <c r="E650" s="22" t="s">
        <v>22</v>
      </c>
      <c r="F650" s="22" t="s">
        <v>1416</v>
      </c>
      <c r="G650" s="22"/>
      <c r="H650" s="21"/>
      <c r="I650" s="22" t="s">
        <v>23</v>
      </c>
      <c r="J650" s="22" t="s">
        <v>1417</v>
      </c>
      <c r="K650" s="22" t="s">
        <v>24</v>
      </c>
      <c r="L650" s="2" t="str">
        <f t="shared" si="12"/>
        <v>insert into CHB_DATACHECK_RULE (CHECKRULEID,DATATYPE,CHECKCLASS,CHECKMETHOD,SRCPROPERTY,COMPARETO,OBJVALUE,REMARK,STATUS,NULLABLE) values ('W84807E5-EF87-D920-E050-007F010077FD','CHB_ASSET_INFO','com.joyintech.tams.common.svreport.datacheck.service.BaseCheckLib','isNotEmpty','PERIOD_REPAYMENT_FLAG','','','分期还本条款标识要素不可为空。','E','N');</v>
      </c>
    </row>
    <row r="651" spans="1:12" x14ac:dyDescent="0.15">
      <c r="A651" s="9">
        <v>648</v>
      </c>
      <c r="B651" s="21" t="s">
        <v>695</v>
      </c>
      <c r="C651" s="23" t="s">
        <v>1484</v>
      </c>
      <c r="D651" s="22" t="s">
        <v>21</v>
      </c>
      <c r="E651" s="22" t="s">
        <v>22</v>
      </c>
      <c r="F651" s="22" t="s">
        <v>1416</v>
      </c>
      <c r="G651" s="22"/>
      <c r="H651" s="21"/>
      <c r="I651" s="22" t="s">
        <v>23</v>
      </c>
      <c r="J651" s="22" t="s">
        <v>1417</v>
      </c>
      <c r="K651" s="22" t="s">
        <v>24</v>
      </c>
      <c r="L651" s="2" t="str">
        <f t="shared" si="12"/>
        <v>insert into CHB_DATACHECK_RULE (CHECKRULEID,DATATYPE,CHECKCLASS,CHECKMETHOD,SRCPROPERTY,COMPARETO,OBJVALUE,REMARK,STATUS,NULLABLE) values ('W84807E5-EF88-D920-E050-007F010077FD','CHB_ASSET_INFO','com.joyintech.tams.common.svreport.datacheck.service.BaseCheckLib','isNotEmpty','PERIOD_REPAYMENT_FLAG','','','分期还本条款标识要素不可为空。','E','N');</v>
      </c>
    </row>
    <row r="652" spans="1:12" x14ac:dyDescent="0.15">
      <c r="A652" s="17">
        <v>649</v>
      </c>
      <c r="B652" s="21" t="s">
        <v>696</v>
      </c>
      <c r="C652" s="23" t="s">
        <v>1484</v>
      </c>
      <c r="D652" s="22" t="s">
        <v>21</v>
      </c>
      <c r="E652" s="22" t="s">
        <v>22</v>
      </c>
      <c r="F652" s="22" t="s">
        <v>1416</v>
      </c>
      <c r="G652" s="22"/>
      <c r="H652" s="21"/>
      <c r="I652" s="22" t="s">
        <v>23</v>
      </c>
      <c r="J652" s="22" t="s">
        <v>1417</v>
      </c>
      <c r="K652" s="22" t="s">
        <v>24</v>
      </c>
      <c r="L652" s="2" t="str">
        <f t="shared" si="12"/>
        <v>insert into CHB_DATACHECK_RULE (CHECKRULEID,DATATYPE,CHECKCLASS,CHECKMETHOD,SRCPROPERTY,COMPARETO,OBJVALUE,REMARK,STATUS,NULLABLE) values ('W84807E5-EF89-D920-E050-007F010077FD','CHB_ASSET_INFO','com.joyintech.tams.common.svreport.datacheck.service.BaseCheckLib','isNotEmpty','PERIOD_REPAYMENT_FLAG','','','分期还本条款标识要素不可为空。','E','N');</v>
      </c>
    </row>
    <row r="653" spans="1:12" x14ac:dyDescent="0.15">
      <c r="A653" s="9">
        <v>650</v>
      </c>
      <c r="B653" s="21" t="s">
        <v>697</v>
      </c>
      <c r="C653" s="23" t="s">
        <v>1484</v>
      </c>
      <c r="D653" s="22" t="s">
        <v>21</v>
      </c>
      <c r="E653" s="22" t="s">
        <v>62</v>
      </c>
      <c r="F653" s="22" t="s">
        <v>1416</v>
      </c>
      <c r="G653" s="22" t="s">
        <v>25</v>
      </c>
      <c r="H653" s="21" t="s">
        <v>26</v>
      </c>
      <c r="I653" s="22" t="s">
        <v>27</v>
      </c>
      <c r="J653" s="22" t="s">
        <v>1418</v>
      </c>
      <c r="K653" s="22" t="s">
        <v>24</v>
      </c>
      <c r="L653" s="2" t="str">
        <f t="shared" si="12"/>
        <v>insert into CHB_DATACHECK_RULE (CHECKRULEID,DATATYPE,CHECKCLASS,CHECKMETHOD,SRCPROPERTY,COMPARETO,OBJVALUE,REMARK,STATUS,NULLABLE) values ('W84807E5-EF90-D920-E050-007F010077FD','CHB_ASSET_INFO','com.joyintech.tams.common.svreport.datacheck.service.BaseCheckLib','lessThanCharLength','PERIOD_REPAYMENT_FLAG','==','0','分期还本条款标识要素必须为空。','E','Y');</v>
      </c>
    </row>
    <row r="654" spans="1:12" x14ac:dyDescent="0.15">
      <c r="A654" s="17">
        <v>651</v>
      </c>
      <c r="B654" s="21" t="s">
        <v>698</v>
      </c>
      <c r="C654" s="23" t="s">
        <v>1484</v>
      </c>
      <c r="D654" s="22" t="s">
        <v>21</v>
      </c>
      <c r="E654" s="22" t="s">
        <v>30</v>
      </c>
      <c r="F654" s="22" t="s">
        <v>1416</v>
      </c>
      <c r="G654" s="22"/>
      <c r="H654" s="21" t="s">
        <v>1419</v>
      </c>
      <c r="I654" s="22" t="s">
        <v>27</v>
      </c>
      <c r="J654" s="22" t="s">
        <v>1420</v>
      </c>
      <c r="K654" s="22" t="s">
        <v>24</v>
      </c>
      <c r="L654" s="2" t="str">
        <f t="shared" si="12"/>
        <v>insert into CHB_DATACHECK_RULE (CHECKRULEID,DATATYPE,CHECKCLASS,CHECKMETHOD,SRCPROPERTY,COMPARETO,OBJVALUE,REMARK,STATUS,NULLABLE) values ('W84807E5-EF91-D920-E050-007F010077FD','CHB_ASSET_INFO','com.joyintech.tams.common.svreport.datacheck.service.BaseCheckLib','inDatadict','PERIOD_REPAYMENT_FLAG','','SVR_PERIOD_REPAYMENT_FLAG','分期还本条款标识要素不在值域范围内。','E','Y');</v>
      </c>
    </row>
    <row r="655" spans="1:12" x14ac:dyDescent="0.15">
      <c r="A655" s="9">
        <v>652</v>
      </c>
      <c r="B655" s="21" t="s">
        <v>699</v>
      </c>
      <c r="C655" s="23" t="s">
        <v>1484</v>
      </c>
      <c r="D655" s="22" t="s">
        <v>21</v>
      </c>
      <c r="E655" s="22" t="s">
        <v>62</v>
      </c>
      <c r="F655" s="22" t="s">
        <v>1377</v>
      </c>
      <c r="G655" s="22" t="s">
        <v>25</v>
      </c>
      <c r="H655" s="21" t="s">
        <v>26</v>
      </c>
      <c r="I655" s="22" t="s">
        <v>27</v>
      </c>
      <c r="J655" s="22" t="s">
        <v>1421</v>
      </c>
      <c r="K655" s="22" t="s">
        <v>24</v>
      </c>
      <c r="L655" s="2" t="str">
        <f t="shared" si="12"/>
        <v>insert into CHB_DATACHECK_RULE (CHECKRULEID,DATATYPE,CHECKCLASS,CHECKMETHOD,SRCPROPERTY,COMPARETO,OBJVALUE,REMARK,STATUS,NULLABLE) values ('W84807E5-EF92-D920-E050-007F010077FD','CHB_ASSET_INFO','com.joyintech.tams.common.svreport.datacheck.service.BaseCheckLib','lessThanCharLength','BASIC_ASSET_TYPE','==','0','基础资产类型要素必须为空。','E','Y');</v>
      </c>
    </row>
    <row r="656" spans="1:12" x14ac:dyDescent="0.15">
      <c r="A656" s="17">
        <v>653</v>
      </c>
      <c r="B656" s="21" t="s">
        <v>700</v>
      </c>
      <c r="C656" s="23" t="s">
        <v>1484</v>
      </c>
      <c r="D656" s="22" t="s">
        <v>21</v>
      </c>
      <c r="E656" s="22" t="s">
        <v>62</v>
      </c>
      <c r="F656" s="22" t="s">
        <v>1422</v>
      </c>
      <c r="G656" s="22" t="s">
        <v>25</v>
      </c>
      <c r="H656" s="21" t="s">
        <v>26</v>
      </c>
      <c r="I656" s="22" t="s">
        <v>27</v>
      </c>
      <c r="J656" s="22" t="s">
        <v>1423</v>
      </c>
      <c r="K656" s="22" t="s">
        <v>24</v>
      </c>
      <c r="L656" s="2" t="str">
        <f t="shared" si="12"/>
        <v>insert into CHB_DATACHECK_RULE (CHECKRULEID,DATATYPE,CHECKCLASS,CHECKMETHOD,SRCPROPERTY,COMPARETO,OBJVALUE,REMARK,STATUS,NULLABLE) values ('W84807E5-EF94-D920-E050-007F010077FD','CHB_ASSET_INFO','com.joyintech.tams.common.svreport.datacheck.service.BaseCheckLib','lessThanCharLength','EXCESS_PROFIT_RATE','==','0','超额收益分配比例%要素必须为空。','E','Y');</v>
      </c>
    </row>
    <row r="657" spans="1:12" x14ac:dyDescent="0.15">
      <c r="A657" s="9">
        <v>654</v>
      </c>
      <c r="B657" s="21" t="s">
        <v>701</v>
      </c>
      <c r="C657" s="23" t="s">
        <v>1484</v>
      </c>
      <c r="D657" s="22" t="s">
        <v>21</v>
      </c>
      <c r="E657" s="22" t="s">
        <v>32</v>
      </c>
      <c r="F657" s="22" t="s">
        <v>1422</v>
      </c>
      <c r="G657" s="22" t="s">
        <v>35</v>
      </c>
      <c r="H657" s="21" t="s">
        <v>33</v>
      </c>
      <c r="I657" s="22" t="s">
        <v>27</v>
      </c>
      <c r="J657" s="22" t="s">
        <v>1424</v>
      </c>
      <c r="K657" s="22" t="s">
        <v>24</v>
      </c>
      <c r="L657" s="2" t="str">
        <f t="shared" si="12"/>
        <v>insert into CHB_DATACHECK_RULE (CHECKRULEID,DATATYPE,CHECKCLASS,CHECKMETHOD,SRCPROPERTY,COMPARETO,OBJVALUE,REMARK,STATUS,NULLABLE) values ('W84807E5-EF95-D920-E050-007F010077FD','CHB_ASSET_INFO','com.joyintech.tams.common.svreport.datacheck.service.BaseCheckLib','isNumber2','EXCESS_PROFIT_RATE','&gt;=','8,5','超额收益分配比例%以百分数形式表示时必须为n(8,5)格式。','E','Y');</v>
      </c>
    </row>
    <row r="658" spans="1:12" x14ac:dyDescent="0.15">
      <c r="A658" s="17">
        <v>655</v>
      </c>
      <c r="B658" s="21" t="s">
        <v>702</v>
      </c>
      <c r="C658" s="23" t="s">
        <v>1484</v>
      </c>
      <c r="D658" s="22" t="s">
        <v>21</v>
      </c>
      <c r="E658" s="22" t="s">
        <v>34</v>
      </c>
      <c r="F658" s="22" t="s">
        <v>1422</v>
      </c>
      <c r="G658" s="22" t="s">
        <v>35</v>
      </c>
      <c r="H658" s="21" t="s">
        <v>26</v>
      </c>
      <c r="I658" s="22" t="s">
        <v>27</v>
      </c>
      <c r="J658" s="22" t="s">
        <v>1425</v>
      </c>
      <c r="K658" s="22" t="s">
        <v>24</v>
      </c>
      <c r="L658" s="2" t="str">
        <f t="shared" si="12"/>
        <v>insert into CHB_DATACHECK_RULE (CHECKRULEID,DATATYPE,CHECKCLASS,CHECKMETHOD,SRCPROPERTY,COMPARETO,OBJVALUE,REMARK,STATUS,NULLABLE) values ('W84807E5-EF95-D920-E050-107F010077FD','CHB_ASSET_INFO','com.joyintech.tams.common.svreport.datacheck.service.BaseCheckLib','compareValueAsNumber','EXCESS_PROFIT_RATE','&gt;=','0','超额收益分配比例必须大于等于0。','E','Y');</v>
      </c>
    </row>
    <row r="659" spans="1:12" x14ac:dyDescent="0.15">
      <c r="A659" s="9">
        <v>656</v>
      </c>
      <c r="B659" s="21" t="s">
        <v>703</v>
      </c>
      <c r="C659" s="23" t="s">
        <v>1484</v>
      </c>
      <c r="D659" s="22" t="s">
        <v>21</v>
      </c>
      <c r="E659" s="22" t="s">
        <v>22</v>
      </c>
      <c r="F659" s="22" t="s">
        <v>1277</v>
      </c>
      <c r="G659" s="22"/>
      <c r="H659" s="21"/>
      <c r="I659" s="22" t="s">
        <v>23</v>
      </c>
      <c r="J659" s="22" t="s">
        <v>1375</v>
      </c>
      <c r="K659" s="22" t="s">
        <v>24</v>
      </c>
      <c r="L659" s="2" t="str">
        <f t="shared" si="12"/>
        <v>insert into CHB_DATACHECK_RULE (CHECKRULEID,DATATYPE,CHECKCLASS,CHECKMETHOD,SRCPROPERTY,COMPARETO,OBJVALUE,REMARK,STATUS,NULLABLE) values ('W84807E5-EF95-D921-E050-007F010077FD','CHB_ASSET_INFO','com.joyintech.tams.common.svreport.datacheck.service.BaseCheckLib','isNotEmpty','PLEDGE_TYPE','','','抵质押物类型要素不可为空。','E','N');</v>
      </c>
    </row>
    <row r="660" spans="1:12" x14ac:dyDescent="0.15">
      <c r="A660" s="17">
        <v>657</v>
      </c>
      <c r="B660" s="21" t="s">
        <v>704</v>
      </c>
      <c r="C660" s="23" t="s">
        <v>1484</v>
      </c>
      <c r="D660" s="22" t="s">
        <v>21</v>
      </c>
      <c r="E660" s="22" t="s">
        <v>22</v>
      </c>
      <c r="F660" s="22" t="s">
        <v>1277</v>
      </c>
      <c r="G660" s="22"/>
      <c r="H660" s="21"/>
      <c r="I660" s="22" t="s">
        <v>23</v>
      </c>
      <c r="J660" s="22" t="s">
        <v>1375</v>
      </c>
      <c r="K660" s="22" t="s">
        <v>24</v>
      </c>
      <c r="L660" s="2" t="str">
        <f t="shared" si="12"/>
        <v>insert into CHB_DATACHECK_RULE (CHECKRULEID,DATATYPE,CHECKCLASS,CHECKMETHOD,SRCPROPERTY,COMPARETO,OBJVALUE,REMARK,STATUS,NULLABLE) values ('W84807E5-EF96-D920-E050-007F010077FD','CHB_ASSET_INFO','com.joyintech.tams.common.svreport.datacheck.service.BaseCheckLib','isNotEmpty','PLEDGE_TYPE','','','抵质押物类型要素不可为空。','E','N');</v>
      </c>
    </row>
    <row r="661" spans="1:12" x14ac:dyDescent="0.15">
      <c r="A661" s="9">
        <v>658</v>
      </c>
      <c r="B661" s="21" t="s">
        <v>2404</v>
      </c>
      <c r="C661" s="23" t="s">
        <v>1484</v>
      </c>
      <c r="D661" s="22" t="s">
        <v>21</v>
      </c>
      <c r="E661" s="22" t="s">
        <v>62</v>
      </c>
      <c r="F661" s="22" t="s">
        <v>1277</v>
      </c>
      <c r="G661" s="22" t="s">
        <v>25</v>
      </c>
      <c r="H661" s="21" t="s">
        <v>26</v>
      </c>
      <c r="I661" s="22" t="s">
        <v>27</v>
      </c>
      <c r="J661" s="22" t="s">
        <v>1376</v>
      </c>
      <c r="K661" s="22" t="s">
        <v>24</v>
      </c>
      <c r="L661" s="2" t="str">
        <f t="shared" si="12"/>
        <v>insert into CHB_DATACHECK_RULE (CHECKRULEID,DATATYPE,CHECKCLASS,CHECKMETHOD,SRCPROPERTY,COMPARETO,OBJVALUE,REMARK,STATUS,NULLABLE) values ('W84807E5-EF98-D920-E050-007F010077FD','CHB_ASSET_INFO','com.joyintech.tams.common.svreport.datacheck.service.BaseCheckLib','lessThanCharLength','PLEDGE_TYPE','==','0','抵质押物类型要素必须为空。','E','Y');</v>
      </c>
    </row>
    <row r="662" spans="1:12" x14ac:dyDescent="0.15">
      <c r="A662" s="17">
        <v>659</v>
      </c>
      <c r="B662" s="21" t="s">
        <v>2410</v>
      </c>
      <c r="C662" s="23" t="s">
        <v>1484</v>
      </c>
      <c r="D662" s="22" t="s">
        <v>21</v>
      </c>
      <c r="E662" s="22" t="s">
        <v>34</v>
      </c>
      <c r="F662" s="22" t="s">
        <v>763</v>
      </c>
      <c r="G662" s="22" t="s">
        <v>35</v>
      </c>
      <c r="H662" s="21" t="s">
        <v>26</v>
      </c>
      <c r="I662" s="22" t="s">
        <v>27</v>
      </c>
      <c r="J662" s="22" t="s">
        <v>2355</v>
      </c>
      <c r="K662" s="22" t="s">
        <v>24</v>
      </c>
      <c r="L662" s="2" t="str">
        <f t="shared" si="12"/>
        <v>insert into CHB_DATACHECK_RULE (CHECKRULEID,DATATYPE,CHECKCLASS,CHECKMETHOD,SRCPROPERTY,COMPARETO,OBJVALUE,REMARK,STATUS,NULLABLE) values ('W84817E5-DF81-D920-E050-007F010077FD','CHB_ASSET_INFO','com.joyintech.tams.common.svreport.datacheck.service.BaseCheckLib','compareValueAsNumber','AMT','&gt;=','0','委托投资金额必须大于等于0','E','Y');</v>
      </c>
    </row>
    <row r="663" spans="1:12" x14ac:dyDescent="0.15">
      <c r="A663" s="9">
        <v>660</v>
      </c>
      <c r="B663" s="21" t="s">
        <v>2411</v>
      </c>
      <c r="C663" s="23" t="s">
        <v>1484</v>
      </c>
      <c r="D663" s="22" t="s">
        <v>21</v>
      </c>
      <c r="E663" s="22" t="s">
        <v>32</v>
      </c>
      <c r="F663" s="22" t="s">
        <v>763</v>
      </c>
      <c r="G663" s="22"/>
      <c r="H663" s="21" t="s">
        <v>36</v>
      </c>
      <c r="I663" s="22" t="s">
        <v>27</v>
      </c>
      <c r="J663" s="22" t="s">
        <v>2356</v>
      </c>
      <c r="K663" s="22" t="s">
        <v>24</v>
      </c>
      <c r="L663" s="2" t="str">
        <f t="shared" si="12"/>
        <v>insert into CHB_DATACHECK_RULE (CHECKRULEID,DATATYPE,CHECKCLASS,CHECKMETHOD,SRCPROPERTY,COMPARETO,OBJVALUE,REMARK,STATUS,NULLABLE) values ('W84827E5-DF35-D920-E050-007F010077FD','CHB_ASSET_INFO','com.joyintech.tams.common.svreport.datacheck.service.BaseCheckLib','isNumber2','AMT','','15,2','委托投资金额必须为n（15,2）格式。','E','Y');</v>
      </c>
    </row>
    <row r="664" spans="1:12" x14ac:dyDescent="0.15">
      <c r="A664" s="17">
        <v>661</v>
      </c>
      <c r="B664" s="21" t="s">
        <v>708</v>
      </c>
      <c r="C664" s="23" t="s">
        <v>1484</v>
      </c>
      <c r="D664" s="22" t="s">
        <v>21</v>
      </c>
      <c r="E664" s="22" t="s">
        <v>22</v>
      </c>
      <c r="F664" s="22" t="s">
        <v>805</v>
      </c>
      <c r="G664" s="22"/>
      <c r="H664" s="21"/>
      <c r="I664" s="22" t="s">
        <v>23</v>
      </c>
      <c r="J664" s="22" t="s">
        <v>1426</v>
      </c>
      <c r="K664" s="22" t="s">
        <v>24</v>
      </c>
      <c r="L664" s="2" t="str">
        <f t="shared" si="12"/>
        <v>insert into CHB_DATACHECK_RULE (CHECKRULEID,DATATYPE,CHECKCLASS,CHECKMETHOD,SRCPROPERTY,COMPARETO,OBJVALUE,REMARK,STATUS,NULLABLE) values ('W84827E5-DF35-D920-E050-007F010077FE','CHB_ASSET_INFO','com.joyintech.tams.common.svreport.datacheck.service.BaseCheckLib','isNotEmpty','ASSET_ID','','','代码要素不可以为空','E','N');</v>
      </c>
    </row>
    <row r="665" spans="1:12" x14ac:dyDescent="0.15">
      <c r="A665" s="9">
        <v>662</v>
      </c>
      <c r="B665" s="21" t="s">
        <v>709</v>
      </c>
      <c r="C665" s="23" t="s">
        <v>1484</v>
      </c>
      <c r="D665" s="22" t="s">
        <v>21</v>
      </c>
      <c r="E665" s="22" t="s">
        <v>62</v>
      </c>
      <c r="F665" s="22" t="s">
        <v>805</v>
      </c>
      <c r="G665" s="22" t="s">
        <v>25</v>
      </c>
      <c r="H665" s="21" t="s">
        <v>26</v>
      </c>
      <c r="I665" s="22" t="s">
        <v>27</v>
      </c>
      <c r="J665" s="22" t="s">
        <v>1427</v>
      </c>
      <c r="K665" s="22" t="s">
        <v>24</v>
      </c>
      <c r="L665" s="2" t="str">
        <f t="shared" si="12"/>
        <v>insert into CHB_DATACHECK_RULE (CHECKRULEID,DATATYPE,CHECKCLASS,CHECKMETHOD,SRCPROPERTY,COMPARETO,OBJVALUE,REMARK,STATUS,NULLABLE) values ('W84827E5-DF35-D920-E050-007F010077FF','CHB_ASSET_INFO','com.joyintech.tams.common.svreport.datacheck.service.BaseCheckLib','lessThanCharLength','ASSET_ID','==','0','代码要素必须为空','E','Y');</v>
      </c>
    </row>
    <row r="666" spans="1:12" x14ac:dyDescent="0.15">
      <c r="A666" s="17">
        <v>663</v>
      </c>
      <c r="B666" s="21" t="s">
        <v>710</v>
      </c>
      <c r="C666" s="23" t="s">
        <v>1484</v>
      </c>
      <c r="D666" s="22" t="s">
        <v>21</v>
      </c>
      <c r="E666" s="22" t="s">
        <v>22</v>
      </c>
      <c r="F666" s="22" t="s">
        <v>763</v>
      </c>
      <c r="G666" s="22"/>
      <c r="H666" s="21"/>
      <c r="I666" s="22" t="s">
        <v>23</v>
      </c>
      <c r="J666" s="22" t="s">
        <v>1428</v>
      </c>
      <c r="K666" s="22" t="s">
        <v>24</v>
      </c>
      <c r="L666" s="2" t="str">
        <f t="shared" si="12"/>
        <v>insert into CHB_DATACHECK_RULE (CHECKRULEID,DATATYPE,CHECKCLASS,CHECKMETHOD,SRCPROPERTY,COMPARETO,OBJVALUE,REMARK,STATUS,NULLABLE) values ('W84827E5-DF35-D920-E050-007F010077FG','CHB_ASSET_INFO','com.joyintech.tams.common.svreport.datacheck.service.BaseCheckLib','isNotEmpty','AMT','','','存款金额要素不可为空','E','N');</v>
      </c>
    </row>
    <row r="667" spans="1:12" x14ac:dyDescent="0.15">
      <c r="A667" s="9">
        <v>664</v>
      </c>
      <c r="B667" s="21" t="s">
        <v>711</v>
      </c>
      <c r="C667" s="23" t="s">
        <v>1484</v>
      </c>
      <c r="D667" s="22" t="s">
        <v>21</v>
      </c>
      <c r="E667" s="22" t="s">
        <v>62</v>
      </c>
      <c r="F667" s="22" t="s">
        <v>763</v>
      </c>
      <c r="G667" s="22" t="s">
        <v>25</v>
      </c>
      <c r="H667" s="21" t="s">
        <v>26</v>
      </c>
      <c r="I667" s="22" t="s">
        <v>27</v>
      </c>
      <c r="J667" s="22" t="s">
        <v>1429</v>
      </c>
      <c r="K667" s="22" t="s">
        <v>24</v>
      </c>
      <c r="L667" s="2" t="str">
        <f t="shared" si="12"/>
        <v>insert into CHB_DATACHECK_RULE (CHECKRULEID,DATATYPE,CHECKCLASS,CHECKMETHOD,SRCPROPERTY,COMPARETO,OBJVALUE,REMARK,STATUS,NULLABLE) values ('W84827E5-DF35-D920-E050-007F010077FH','CHB_ASSET_INFO','com.joyintech.tams.common.svreport.datacheck.service.BaseCheckLib','lessThanCharLength','AMT','==','0','存款金额要素必须为空','E','Y');</v>
      </c>
    </row>
    <row r="668" spans="1:12" x14ac:dyDescent="0.15">
      <c r="A668" s="17">
        <v>665</v>
      </c>
      <c r="B668" s="21" t="s">
        <v>712</v>
      </c>
      <c r="C668" s="23" t="s">
        <v>1484</v>
      </c>
      <c r="D668" s="22" t="s">
        <v>21</v>
      </c>
      <c r="E668" s="22" t="s">
        <v>62</v>
      </c>
      <c r="F668" s="22" t="s">
        <v>807</v>
      </c>
      <c r="G668" s="22" t="s">
        <v>25</v>
      </c>
      <c r="H668" s="21" t="s">
        <v>26</v>
      </c>
      <c r="I668" s="22" t="s">
        <v>27</v>
      </c>
      <c r="J668" s="22" t="s">
        <v>1430</v>
      </c>
      <c r="K668" s="22" t="s">
        <v>24</v>
      </c>
      <c r="L668" s="2" t="str">
        <f t="shared" si="12"/>
        <v>insert into CHB_DATACHECK_RULE (CHECKRULEID,DATATYPE,CHECKCLASS,CHECKMETHOD,SRCPROPERTY,COMPARETO,OBJVALUE,REMARK,STATUS,NULLABLE) values ('W84827E5-DF35-D920-E050-007F010077FJ','CHB_ASSET_INFO','com.joyintech.tams.common.svreport.datacheck.service.BaseCheckLib','lessThanCharLength','ASSET_NAME','==','0','名称要素必须为空。','E','Y');</v>
      </c>
    </row>
    <row r="669" spans="1:12" x14ac:dyDescent="0.15">
      <c r="A669" s="9">
        <v>666</v>
      </c>
      <c r="B669" s="21" t="s">
        <v>713</v>
      </c>
      <c r="C669" s="23" t="s">
        <v>1484</v>
      </c>
      <c r="D669" s="22" t="s">
        <v>21</v>
      </c>
      <c r="E669" s="22" t="s">
        <v>22</v>
      </c>
      <c r="F669" s="22" t="s">
        <v>834</v>
      </c>
      <c r="G669" s="22"/>
      <c r="H669" s="21"/>
      <c r="I669" s="22" t="s">
        <v>23</v>
      </c>
      <c r="J669" s="22" t="s">
        <v>1431</v>
      </c>
      <c r="K669" s="22" t="s">
        <v>24</v>
      </c>
      <c r="L669" s="2" t="str">
        <f t="shared" si="12"/>
        <v>insert into CHB_DATACHECK_RULE (CHECKRULEID,DATATYPE,CHECKCLASS,CHECKMETHOD,SRCPROPERTY,COMPARETO,OBJVALUE,REMARK,STATUS,NULLABLE) values ('W84827E5-DF35-D920-E050-007F010077FK','CHB_ASSET_INFO','com.joyintech.tams.common.svreport.datacheck.service.BaseCheckLib','isNotEmpty','ASSET_CODE','','','行内资产/负债编码不可以为空','E','N');</v>
      </c>
    </row>
    <row r="670" spans="1:12" x14ac:dyDescent="0.15">
      <c r="A670" s="17">
        <v>667</v>
      </c>
      <c r="B670" s="21" t="s">
        <v>714</v>
      </c>
      <c r="C670" s="23" t="s">
        <v>1484</v>
      </c>
      <c r="D670" s="22" t="s">
        <v>21</v>
      </c>
      <c r="E670" s="22" t="s">
        <v>22</v>
      </c>
      <c r="F670" s="22" t="s">
        <v>766</v>
      </c>
      <c r="G670" s="22"/>
      <c r="H670" s="21"/>
      <c r="I670" s="22" t="s">
        <v>23</v>
      </c>
      <c r="J670" s="22" t="s">
        <v>1432</v>
      </c>
      <c r="K670" s="22" t="s">
        <v>24</v>
      </c>
      <c r="L670" s="2" t="str">
        <f t="shared" si="12"/>
        <v>insert into CHB_DATACHECK_RULE (CHECKRULEID,DATATYPE,CHECKCLASS,CHECKMETHOD,SRCPROPERTY,COMPARETO,OBJVALUE,REMARK,STATUS,NULLABLE) values ('W84827E5-DF35-D920-E050-007F010077FL','CHB_ASSET_INFO','com.joyintech.tams.common.svreport.datacheck.service.BaseCheckLib','isNotEmpty','VDATE','','','起息日（现金及银行存款）不可以为空','E','N');</v>
      </c>
    </row>
    <row r="671" spans="1:12" x14ac:dyDescent="0.15">
      <c r="A671" s="9">
        <v>668</v>
      </c>
      <c r="B671" s="21" t="s">
        <v>715</v>
      </c>
      <c r="C671" s="23" t="s">
        <v>1484</v>
      </c>
      <c r="D671" s="22" t="s">
        <v>21</v>
      </c>
      <c r="E671" s="22" t="s">
        <v>22</v>
      </c>
      <c r="F671" s="22" t="s">
        <v>769</v>
      </c>
      <c r="G671" s="22"/>
      <c r="H671" s="21"/>
      <c r="I671" s="22" t="s">
        <v>23</v>
      </c>
      <c r="J671" s="22" t="s">
        <v>1433</v>
      </c>
      <c r="K671" s="22" t="s">
        <v>24</v>
      </c>
      <c r="L671" s="2" t="str">
        <f t="shared" si="12"/>
        <v>insert into CHB_DATACHECK_RULE (CHECKRULEID,DATATYPE,CHECKCLASS,CHECKMETHOD,SRCPROPERTY,COMPARETO,OBJVALUE,REMARK,STATUS,NULLABLE) values ('W84827E5-DF35-D920-E050-007F010077FM','CHB_ASSET_INFO','com.joyintech.tams.common.svreport.datacheck.service.BaseCheckLib','isNotEmpty','MDATE','','','到期日（现金及银行存款）不可以为空','E','N');</v>
      </c>
    </row>
    <row r="672" spans="1:12" x14ac:dyDescent="0.15">
      <c r="A672" s="17">
        <v>669</v>
      </c>
      <c r="B672" s="21" t="s">
        <v>716</v>
      </c>
      <c r="C672" s="23" t="s">
        <v>1484</v>
      </c>
      <c r="D672" s="22" t="s">
        <v>21</v>
      </c>
      <c r="E672" s="22" t="s">
        <v>22</v>
      </c>
      <c r="F672" s="22" t="s">
        <v>766</v>
      </c>
      <c r="G672" s="22"/>
      <c r="H672" s="21"/>
      <c r="I672" s="22" t="s">
        <v>23</v>
      </c>
      <c r="J672" s="22" t="s">
        <v>1434</v>
      </c>
      <c r="K672" s="22" t="s">
        <v>24</v>
      </c>
      <c r="L672" s="2" t="str">
        <f t="shared" si="12"/>
        <v>insert into CHB_DATACHECK_RULE (CHECKRULEID,DATATYPE,CHECKCLASS,CHECKMETHOD,SRCPROPERTY,COMPARETO,OBJVALUE,REMARK,STATUS,NULLABLE) values ('W84827E5-DF35-D920-E050-007F010077FO','CHB_ASSET_INFO','com.joyintech.tams.common.svreport.datacheck.service.BaseCheckLib','isNotEmpty','VDATE','','','起息日（拆放同业及买入返售/同业拆入及卖出回购）不可以为空','E','N');</v>
      </c>
    </row>
    <row r="673" spans="1:12" x14ac:dyDescent="0.15">
      <c r="A673" s="9">
        <v>670</v>
      </c>
      <c r="B673" s="21" t="s">
        <v>717</v>
      </c>
      <c r="C673" s="23" t="s">
        <v>1484</v>
      </c>
      <c r="D673" s="22" t="s">
        <v>21</v>
      </c>
      <c r="E673" s="22" t="s">
        <v>22</v>
      </c>
      <c r="F673" s="22" t="s">
        <v>769</v>
      </c>
      <c r="G673" s="22"/>
      <c r="H673" s="21"/>
      <c r="I673" s="22" t="s">
        <v>23</v>
      </c>
      <c r="J673" s="22" t="s">
        <v>1435</v>
      </c>
      <c r="K673" s="22" t="s">
        <v>24</v>
      </c>
      <c r="L673" s="2" t="str">
        <f t="shared" si="12"/>
        <v>insert into CHB_DATACHECK_RULE (CHECKRULEID,DATATYPE,CHECKCLASS,CHECKMETHOD,SRCPROPERTY,COMPARETO,OBJVALUE,REMARK,STATUS,NULLABLE) values ('W84827E5-DF35-D920-E050-007F010077FP','CHB_ASSET_INFO','com.joyintech.tams.common.svreport.datacheck.service.BaseCheckLib','isNotEmpty','MDATE','','','到期日（拆放同业及买入返售/同业拆入及卖出回购）不可以为空','E','N');</v>
      </c>
    </row>
    <row r="674" spans="1:12" x14ac:dyDescent="0.15">
      <c r="A674" s="17">
        <v>671</v>
      </c>
      <c r="B674" s="21" t="s">
        <v>718</v>
      </c>
      <c r="C674" s="23" t="s">
        <v>1484</v>
      </c>
      <c r="D674" s="22" t="s">
        <v>21</v>
      </c>
      <c r="E674" s="22" t="s">
        <v>22</v>
      </c>
      <c r="F674" s="22" t="s">
        <v>766</v>
      </c>
      <c r="G674" s="22"/>
      <c r="H674" s="21"/>
      <c r="I674" s="22" t="s">
        <v>23</v>
      </c>
      <c r="J674" s="22" t="s">
        <v>1436</v>
      </c>
      <c r="K674" s="22" t="s">
        <v>24</v>
      </c>
      <c r="L674" s="2" t="str">
        <f t="shared" si="12"/>
        <v>insert into CHB_DATACHECK_RULE (CHECKRULEID,DATATYPE,CHECKCLASS,CHECKMETHOD,SRCPROPERTY,COMPARETO,OBJVALUE,REMARK,STATUS,NULLABLE) values ('W84827E5-DF35-D920-E050-007F010077FQ','CHB_ASSET_INFO','com.joyintech.tams.common.svreport.datacheck.service.BaseCheckLib','isNotEmpty','VDATE','','','起息日（新增可投资资产以及非标准化债权类资产）不可以为空','E','N');</v>
      </c>
    </row>
    <row r="675" spans="1:12" x14ac:dyDescent="0.15">
      <c r="A675" s="9">
        <v>672</v>
      </c>
      <c r="B675" s="21" t="s">
        <v>719</v>
      </c>
      <c r="C675" s="23" t="s">
        <v>1484</v>
      </c>
      <c r="D675" s="22" t="s">
        <v>21</v>
      </c>
      <c r="E675" s="22" t="s">
        <v>22</v>
      </c>
      <c r="F675" s="22" t="s">
        <v>769</v>
      </c>
      <c r="G675" s="22"/>
      <c r="H675" s="21"/>
      <c r="I675" s="22" t="s">
        <v>23</v>
      </c>
      <c r="J675" s="22" t="s">
        <v>1437</v>
      </c>
      <c r="K675" s="22" t="s">
        <v>24</v>
      </c>
      <c r="L675" s="2" t="str">
        <f t="shared" si="12"/>
        <v>insert into CHB_DATACHECK_RULE (CHECKRULEID,DATATYPE,CHECKCLASS,CHECKMETHOD,SRCPROPERTY,COMPARETO,OBJVALUE,REMARK,STATUS,NULLABLE) values ('W84827E5-DF35-D920-E050-007F010077FR','CHB_ASSET_INFO','com.joyintech.tams.common.svreport.datacheck.service.BaseCheckLib','isNotEmpty','MDATE','','','到期日（新增可投资资产以及非标准化债权类资产）不可以为空','E','N');</v>
      </c>
    </row>
    <row r="676" spans="1:12" x14ac:dyDescent="0.15">
      <c r="A676" s="17">
        <v>673</v>
      </c>
      <c r="B676" s="21" t="s">
        <v>720</v>
      </c>
      <c r="C676" s="23" t="s">
        <v>1484</v>
      </c>
      <c r="D676" s="22" t="s">
        <v>21</v>
      </c>
      <c r="E676" s="22" t="s">
        <v>22</v>
      </c>
      <c r="F676" s="22" t="s">
        <v>766</v>
      </c>
      <c r="G676" s="22"/>
      <c r="H676" s="21"/>
      <c r="I676" s="22" t="s">
        <v>23</v>
      </c>
      <c r="J676" s="22" t="s">
        <v>1438</v>
      </c>
      <c r="K676" s="22" t="s">
        <v>24</v>
      </c>
      <c r="L676" s="2" t="str">
        <f t="shared" si="12"/>
        <v>insert into CHB_DATACHECK_RULE (CHECKRULEID,DATATYPE,CHECKCLASS,CHECKMETHOD,SRCPROPERTY,COMPARETO,OBJVALUE,REMARK,STATUS,NULLABLE) values ('W84827E5-DF35-D920-E050-007F010077FS','CHB_ASSET_INFO','com.joyintech.tams.common.svreport.datacheck.service.BaseCheckLib','isNotEmpty','VDATE','','','起息日（非标准化债权类投资）不可以为空','E','N');</v>
      </c>
    </row>
    <row r="677" spans="1:12" x14ac:dyDescent="0.15">
      <c r="A677" s="9">
        <v>674</v>
      </c>
      <c r="B677" s="21" t="s">
        <v>721</v>
      </c>
      <c r="C677" s="23" t="s">
        <v>1484</v>
      </c>
      <c r="D677" s="22" t="s">
        <v>21</v>
      </c>
      <c r="E677" s="22" t="s">
        <v>22</v>
      </c>
      <c r="F677" s="22" t="s">
        <v>769</v>
      </c>
      <c r="G677" s="22"/>
      <c r="H677" s="21"/>
      <c r="I677" s="22" t="s">
        <v>23</v>
      </c>
      <c r="J677" s="22" t="s">
        <v>1439</v>
      </c>
      <c r="K677" s="22" t="s">
        <v>24</v>
      </c>
      <c r="L677" s="2" t="str">
        <f t="shared" si="12"/>
        <v>insert into CHB_DATACHECK_RULE (CHECKRULEID,DATATYPE,CHECKCLASS,CHECKMETHOD,SRCPROPERTY,COMPARETO,OBJVALUE,REMARK,STATUS,NULLABLE) values ('W84827E5-DF35-D920-E050-007F010077FT','CHB_ASSET_INFO','com.joyintech.tams.common.svreport.datacheck.service.BaseCheckLib','isNotEmpty','MDATE','','','到期日（非标准化债权类投资）不可以为空','E','N');</v>
      </c>
    </row>
    <row r="678" spans="1:12" x14ac:dyDescent="0.15">
      <c r="A678" s="17">
        <v>675</v>
      </c>
      <c r="B678" s="21" t="s">
        <v>722</v>
      </c>
      <c r="C678" s="23" t="s">
        <v>1484</v>
      </c>
      <c r="D678" s="22" t="s">
        <v>21</v>
      </c>
      <c r="E678" s="22" t="s">
        <v>22</v>
      </c>
      <c r="F678" s="22" t="s">
        <v>766</v>
      </c>
      <c r="G678" s="22"/>
      <c r="H678" s="21"/>
      <c r="I678" s="22" t="s">
        <v>23</v>
      </c>
      <c r="J678" s="22" t="s">
        <v>1440</v>
      </c>
      <c r="K678" s="22" t="s">
        <v>24</v>
      </c>
      <c r="L678" s="2" t="str">
        <f t="shared" si="12"/>
        <v>insert into CHB_DATACHECK_RULE (CHECKRULEID,DATATYPE,CHECKCLASS,CHECKMETHOD,SRCPROPERTY,COMPARETO,OBJVALUE,REMARK,STATUS,NULLABLE) values ('W84827E5-DF35-D920-E050-007F010077FU','CHB_ASSET_INFO','com.joyintech.tams.common.svreport.datacheck.service.BaseCheckLib','isNotEmpty','VDATE','','','起息日（QDII债券类资产）不可以为空','E','N');</v>
      </c>
    </row>
    <row r="679" spans="1:12" x14ac:dyDescent="0.15">
      <c r="A679" s="9">
        <v>676</v>
      </c>
      <c r="B679" s="21" t="s">
        <v>723</v>
      </c>
      <c r="C679" s="23" t="s">
        <v>1484</v>
      </c>
      <c r="D679" s="22" t="s">
        <v>21</v>
      </c>
      <c r="E679" s="22" t="s">
        <v>22</v>
      </c>
      <c r="F679" s="22" t="s">
        <v>769</v>
      </c>
      <c r="G679" s="22"/>
      <c r="H679" s="21"/>
      <c r="I679" s="22" t="s">
        <v>23</v>
      </c>
      <c r="J679" s="22" t="s">
        <v>1441</v>
      </c>
      <c r="K679" s="22" t="s">
        <v>24</v>
      </c>
      <c r="L679" s="2" t="str">
        <f t="shared" si="12"/>
        <v>insert into CHB_DATACHECK_RULE (CHECKRULEID,DATATYPE,CHECKCLASS,CHECKMETHOD,SRCPROPERTY,COMPARETO,OBJVALUE,REMARK,STATUS,NULLABLE) values ('W84827E5-DF35-D920-E050-007F010077FV','CHB_ASSET_INFO','com.joyintech.tams.common.svreport.datacheck.service.BaseCheckLib','isNotEmpty','MDATE','','','到期日（QDII债券类资产）不可以为空','E','N');</v>
      </c>
    </row>
    <row r="680" spans="1:12" x14ac:dyDescent="0.15">
      <c r="A680" s="17">
        <v>677</v>
      </c>
      <c r="B680" s="21" t="s">
        <v>724</v>
      </c>
      <c r="C680" s="23" t="s">
        <v>1484</v>
      </c>
      <c r="D680" s="22" t="s">
        <v>21</v>
      </c>
      <c r="E680" s="22" t="s">
        <v>22</v>
      </c>
      <c r="F680" s="22" t="s">
        <v>766</v>
      </c>
      <c r="G680" s="22"/>
      <c r="H680" s="21"/>
      <c r="I680" s="22" t="s">
        <v>23</v>
      </c>
      <c r="J680" s="22" t="s">
        <v>1442</v>
      </c>
      <c r="K680" s="22" t="s">
        <v>24</v>
      </c>
      <c r="L680" s="2" t="str">
        <f t="shared" si="12"/>
        <v>insert into CHB_DATACHECK_RULE (CHECKRULEID,DATATYPE,CHECKCLASS,CHECKMETHOD,SRCPROPERTY,COMPARETO,OBJVALUE,REMARK,STATUS,NULLABLE) values ('W84827E5-DF35-D920-E050-007F010077FW','CHB_ASSET_INFO','com.joyintech.tams.common.svreport.datacheck.service.BaseCheckLib','isNotEmpty','VDATE','','','起息日（QDII结构性票据）不可以为空','E','N');</v>
      </c>
    </row>
    <row r="681" spans="1:12" x14ac:dyDescent="0.15">
      <c r="A681" s="9">
        <v>678</v>
      </c>
      <c r="B681" s="21" t="s">
        <v>725</v>
      </c>
      <c r="C681" s="23" t="s">
        <v>1484</v>
      </c>
      <c r="D681" s="22" t="s">
        <v>21</v>
      </c>
      <c r="E681" s="22" t="s">
        <v>22</v>
      </c>
      <c r="F681" s="22" t="s">
        <v>769</v>
      </c>
      <c r="G681" s="22"/>
      <c r="H681" s="21"/>
      <c r="I681" s="22" t="s">
        <v>23</v>
      </c>
      <c r="J681" s="22" t="s">
        <v>1443</v>
      </c>
      <c r="K681" s="22" t="s">
        <v>24</v>
      </c>
      <c r="L681" s="2" t="str">
        <f t="shared" si="12"/>
        <v>insert into CHB_DATACHECK_RULE (CHECKRULEID,DATATYPE,CHECKCLASS,CHECKMETHOD,SRCPROPERTY,COMPARETO,OBJVALUE,REMARK,STATUS,NULLABLE) values ('W84827E5-DF35-D920-E050-007F010077FX','CHB_ASSET_INFO','com.joyintech.tams.common.svreport.datacheck.service.BaseCheckLib','isNotEmpty','MDATE','','','到期日（QDII结构性票据）不可以为空','E','N');</v>
      </c>
    </row>
    <row r="682" spans="1:12" x14ac:dyDescent="0.15">
      <c r="A682" s="17">
        <v>679</v>
      </c>
      <c r="B682" s="21" t="s">
        <v>726</v>
      </c>
      <c r="C682" s="23" t="s">
        <v>1484</v>
      </c>
      <c r="D682" s="22" t="s">
        <v>21</v>
      </c>
      <c r="E682" s="22" t="s">
        <v>22</v>
      </c>
      <c r="F682" s="22" t="s">
        <v>766</v>
      </c>
      <c r="G682" s="22"/>
      <c r="H682" s="21"/>
      <c r="I682" s="22" t="s">
        <v>23</v>
      </c>
      <c r="J682" s="22" t="s">
        <v>1444</v>
      </c>
      <c r="K682" s="22" t="s">
        <v>24</v>
      </c>
      <c r="L682" s="2" t="str">
        <f t="shared" si="12"/>
        <v>insert into CHB_DATACHECK_RULE (CHECKRULEID,DATATYPE,CHECKCLASS,CHECKMETHOD,SRCPROPERTY,COMPARETO,OBJVALUE,REMARK,STATUS,NULLABLE) values ('W84827E5-DF35-D920-E050-007F010077FY','CHB_ASSET_INFO','com.joyintech.tams.common.svreport.datacheck.service.BaseCheckLib','isNotEmpty','VDATE','','','起息日（另类资产）不可以为空','E','N');</v>
      </c>
    </row>
    <row r="683" spans="1:12" x14ac:dyDescent="0.15">
      <c r="A683" s="9">
        <v>680</v>
      </c>
      <c r="B683" s="21" t="s">
        <v>727</v>
      </c>
      <c r="C683" s="23" t="s">
        <v>1484</v>
      </c>
      <c r="D683" s="22" t="s">
        <v>21</v>
      </c>
      <c r="E683" s="22" t="s">
        <v>22</v>
      </c>
      <c r="F683" s="22" t="s">
        <v>769</v>
      </c>
      <c r="G683" s="22"/>
      <c r="H683" s="21"/>
      <c r="I683" s="22" t="s">
        <v>23</v>
      </c>
      <c r="J683" s="22" t="s">
        <v>1445</v>
      </c>
      <c r="K683" s="22" t="s">
        <v>24</v>
      </c>
      <c r="L683" s="2" t="str">
        <f t="shared" si="12"/>
        <v>insert into CHB_DATACHECK_RULE (CHECKRULEID,DATATYPE,CHECKCLASS,CHECKMETHOD,SRCPROPERTY,COMPARETO,OBJVALUE,REMARK,STATUS,NULLABLE) values ('W84827E5-DF35-D920-E050-007F010077FZ','CHB_ASSET_INFO','com.joyintech.tams.common.svreport.datacheck.service.BaseCheckLib','isNotEmpty','MDATE','','','到期日（另类资产）不可以为空','E','N');</v>
      </c>
    </row>
    <row r="684" spans="1:12" x14ac:dyDescent="0.15">
      <c r="A684" s="17">
        <v>681</v>
      </c>
      <c r="B684" s="21" t="s">
        <v>728</v>
      </c>
      <c r="C684" s="23" t="s">
        <v>1484</v>
      </c>
      <c r="D684" s="22" t="s">
        <v>21</v>
      </c>
      <c r="E684" s="22" t="s">
        <v>34</v>
      </c>
      <c r="F684" s="22" t="s">
        <v>772</v>
      </c>
      <c r="G684" s="22" t="s">
        <v>35</v>
      </c>
      <c r="H684" s="21" t="s">
        <v>26</v>
      </c>
      <c r="I684" s="22" t="s">
        <v>27</v>
      </c>
      <c r="J684" s="22" t="s">
        <v>1446</v>
      </c>
      <c r="K684" s="22" t="s">
        <v>24</v>
      </c>
      <c r="L684" s="2" t="str">
        <f t="shared" si="12"/>
        <v>insert into CHB_DATACHECK_RULE (CHECKRULEID,DATATYPE,CHECKCLASS,CHECKMETHOD,SRCPROPERTY,COMPARETO,OBJVALUE,REMARK,STATUS,NULLABLE) values ('W84827E5-DF35-D920-E050-007F010077GG','CHB_ASSET_INFO','com.joyintech.tams.common.svreport.datacheck.service.BaseCheckLib','compareValueAsNumber','ASSET_YIELD','&gt;=','0','贴现利率（%）必须大于等于0。','E','Y');</v>
      </c>
    </row>
    <row r="685" spans="1:12" x14ac:dyDescent="0.15">
      <c r="A685" s="9">
        <v>682</v>
      </c>
      <c r="B685" s="21" t="s">
        <v>729</v>
      </c>
      <c r="C685" s="23" t="s">
        <v>1484</v>
      </c>
      <c r="D685" s="22" t="s">
        <v>21</v>
      </c>
      <c r="E685" s="22" t="s">
        <v>22</v>
      </c>
      <c r="F685" s="22" t="s">
        <v>766</v>
      </c>
      <c r="G685" s="22"/>
      <c r="H685" s="21"/>
      <c r="I685" s="22" t="s">
        <v>23</v>
      </c>
      <c r="J685" s="22" t="s">
        <v>1447</v>
      </c>
      <c r="K685" s="22" t="s">
        <v>24</v>
      </c>
      <c r="L685" s="2" t="str">
        <f t="shared" si="12"/>
        <v>insert into CHB_DATACHECK_RULE (CHECKRULEID,DATATYPE,CHECKCLASS,CHECKMETHOD,SRCPROPERTY,COMPARETO,OBJVALUE,REMARK,STATUS,NULLABLE) values ('W84827E5-DF35-D920-E050-007F010077JA','CHB_ASSET_INFO','com.joyintech.tams.common.svreport.datacheck.service.BaseCheckLib','isNotEmpty','VDATE','','','起息日（其他）不可以为空','E','N');</v>
      </c>
    </row>
    <row r="686" spans="1:12" x14ac:dyDescent="0.15">
      <c r="A686" s="17">
        <v>683</v>
      </c>
      <c r="B686" s="21" t="s">
        <v>730</v>
      </c>
      <c r="C686" s="23" t="s">
        <v>1484</v>
      </c>
      <c r="D686" s="22" t="s">
        <v>21</v>
      </c>
      <c r="E686" s="22" t="s">
        <v>22</v>
      </c>
      <c r="F686" s="22" t="s">
        <v>769</v>
      </c>
      <c r="G686" s="22"/>
      <c r="H686" s="21"/>
      <c r="I686" s="22" t="s">
        <v>23</v>
      </c>
      <c r="J686" s="22" t="s">
        <v>1448</v>
      </c>
      <c r="K686" s="22" t="s">
        <v>24</v>
      </c>
      <c r="L686" s="2" t="str">
        <f t="shared" si="12"/>
        <v>insert into CHB_DATACHECK_RULE (CHECKRULEID,DATATYPE,CHECKCLASS,CHECKMETHOD,SRCPROPERTY,COMPARETO,OBJVALUE,REMARK,STATUS,NULLABLE) values ('W84827E5-DF35-D920-E050-007F010077JB','CHB_ASSET_INFO','com.joyintech.tams.common.svreport.datacheck.service.BaseCheckLib','isNotEmpty','MDATE','','','到期日（其他）不可以为空','E','N');</v>
      </c>
    </row>
    <row r="687" spans="1:12" s="28" customFormat="1" x14ac:dyDescent="0.15">
      <c r="A687" s="9">
        <v>684</v>
      </c>
      <c r="B687" s="21" t="s">
        <v>2377</v>
      </c>
      <c r="C687" s="23" t="s">
        <v>1484</v>
      </c>
      <c r="D687" s="22" t="s">
        <v>21</v>
      </c>
      <c r="E687" s="22" t="s">
        <v>62</v>
      </c>
      <c r="F687" s="22" t="s">
        <v>766</v>
      </c>
      <c r="G687" s="22" t="s">
        <v>25</v>
      </c>
      <c r="H687" s="21" t="s">
        <v>26</v>
      </c>
      <c r="I687" s="22" t="s">
        <v>27</v>
      </c>
      <c r="J687" s="22" t="s">
        <v>1449</v>
      </c>
      <c r="K687" s="22" t="s">
        <v>2376</v>
      </c>
      <c r="L687" s="2" t="str">
        <f t="shared" si="12"/>
        <v>insert into CHB_DATACHECK_RULE (CHECKRULEID,DATATYPE,CHECKCLASS,CHECKMETHOD,SRCPROPERTY,COMPARETO,OBJVALUE,REMARK,STATUS,NULLABLE) values ('W84827E5-DF35-D920-E050-007F010077JC','CHB_ASSET_INFO','com.joyintech.tams.common.svreport.datacheck.service.BaseCheckLib','lessThanCharLength','VDATE','==','0','起息日必须为空','D','Y');</v>
      </c>
    </row>
    <row r="688" spans="1:12" s="28" customFormat="1" x14ac:dyDescent="0.15">
      <c r="A688" s="17">
        <v>685</v>
      </c>
      <c r="B688" s="21" t="s">
        <v>2380</v>
      </c>
      <c r="C688" s="23" t="s">
        <v>1484</v>
      </c>
      <c r="D688" s="22" t="s">
        <v>21</v>
      </c>
      <c r="E688" s="22" t="s">
        <v>62</v>
      </c>
      <c r="F688" s="22" t="s">
        <v>769</v>
      </c>
      <c r="G688" s="22" t="s">
        <v>25</v>
      </c>
      <c r="H688" s="21" t="s">
        <v>26</v>
      </c>
      <c r="I688" s="22" t="s">
        <v>27</v>
      </c>
      <c r="J688" s="22" t="s">
        <v>1450</v>
      </c>
      <c r="K688" s="22" t="s">
        <v>2379</v>
      </c>
      <c r="L688" s="2" t="str">
        <f t="shared" si="12"/>
        <v>insert into CHB_DATACHECK_RULE (CHECKRULEID,DATATYPE,CHECKCLASS,CHECKMETHOD,SRCPROPERTY,COMPARETO,OBJVALUE,REMARK,STATUS,NULLABLE) values ('W84827E5-DF35-D920-E050-007F010077JD','CHB_ASSET_INFO','com.joyintech.tams.common.svreport.datacheck.service.BaseCheckLib','lessThanCharLength','MDATE','==','0','到期日必须为空','D','Y');</v>
      </c>
    </row>
    <row r="689" spans="1:12" x14ac:dyDescent="0.15">
      <c r="A689" s="9">
        <v>686</v>
      </c>
      <c r="B689" s="21" t="s">
        <v>733</v>
      </c>
      <c r="C689" s="23" t="s">
        <v>1484</v>
      </c>
      <c r="D689" s="22" t="s">
        <v>21</v>
      </c>
      <c r="E689" s="22" t="s">
        <v>22</v>
      </c>
      <c r="F689" s="22" t="s">
        <v>766</v>
      </c>
      <c r="G689" s="22"/>
      <c r="H689" s="21"/>
      <c r="I689" s="22" t="s">
        <v>23</v>
      </c>
      <c r="J689" s="22" t="s">
        <v>1451</v>
      </c>
      <c r="K689" s="22" t="s">
        <v>24</v>
      </c>
      <c r="L689" s="2" t="str">
        <f t="shared" si="12"/>
        <v>insert into CHB_DATACHECK_RULE (CHECKRULEID,DATATYPE,CHECKCLASS,CHECKMETHOD,SRCPROPERTY,COMPARETO,OBJVALUE,REMARK,STATUS,NULLABLE) values ('W84827E5-DF35-D920-E050-007F010077JE','CHB_ASSET_INFO','com.joyintech.tams.common.svreport.datacheck.service.BaseCheckLib','isNotEmpty','VDATE','','','起息日（QDII拆出/逆回购）不可以为空','E','N');</v>
      </c>
    </row>
    <row r="690" spans="1:12" x14ac:dyDescent="0.15">
      <c r="A690" s="17">
        <v>687</v>
      </c>
      <c r="B690" s="21" t="s">
        <v>734</v>
      </c>
      <c r="C690" s="23" t="s">
        <v>1484</v>
      </c>
      <c r="D690" s="22" t="s">
        <v>21</v>
      </c>
      <c r="E690" s="22" t="s">
        <v>22</v>
      </c>
      <c r="F690" s="22" t="s">
        <v>769</v>
      </c>
      <c r="G690" s="22"/>
      <c r="H690" s="21"/>
      <c r="I690" s="22" t="s">
        <v>23</v>
      </c>
      <c r="J690" s="22" t="s">
        <v>1452</v>
      </c>
      <c r="K690" s="22" t="s">
        <v>24</v>
      </c>
      <c r="L690" s="2" t="str">
        <f t="shared" si="12"/>
        <v>insert into CHB_DATACHECK_RULE (CHECKRULEID,DATATYPE,CHECKCLASS,CHECKMETHOD,SRCPROPERTY,COMPARETO,OBJVALUE,REMARK,STATUS,NULLABLE) values ('W84827E5-DF35-D920-E050-007F010077JF','CHB_ASSET_INFO','com.joyintech.tams.common.svreport.datacheck.service.BaseCheckLib','isNotEmpty','MDATE','','','到期日（QDII拆出/逆回购）不可以为空','E','N');</v>
      </c>
    </row>
    <row r="691" spans="1:12" x14ac:dyDescent="0.15">
      <c r="A691" s="9">
        <v>688</v>
      </c>
      <c r="B691" s="21" t="s">
        <v>735</v>
      </c>
      <c r="C691" s="23" t="s">
        <v>1484</v>
      </c>
      <c r="D691" s="22" t="s">
        <v>21</v>
      </c>
      <c r="E691" s="22" t="s">
        <v>22</v>
      </c>
      <c r="F691" s="22" t="s">
        <v>772</v>
      </c>
      <c r="G691" s="22"/>
      <c r="H691" s="21"/>
      <c r="I691" s="22" t="s">
        <v>23</v>
      </c>
      <c r="J691" s="22" t="s">
        <v>1453</v>
      </c>
      <c r="K691" s="22" t="s">
        <v>24</v>
      </c>
      <c r="L691" s="2" t="str">
        <f t="shared" si="12"/>
        <v>insert into CHB_DATACHECK_RULE (CHECKRULEID,DATATYPE,CHECKCLASS,CHECKMETHOD,SRCPROPERTY,COMPARETO,OBJVALUE,REMARK,STATUS,NULLABLE) values ('W84827E5-DF35-D920-E050-007F010077JG','CHB_ASSET_INFO','com.joyintech.tams.common.svreport.datacheck.service.BaseCheckLib','isNotEmpty','ASSET_YIELD','','','年利率%不可以为空。','E','N');</v>
      </c>
    </row>
    <row r="692" spans="1:12" x14ac:dyDescent="0.15">
      <c r="A692" s="17">
        <v>689</v>
      </c>
      <c r="B692" s="21" t="s">
        <v>736</v>
      </c>
      <c r="C692" s="23" t="s">
        <v>1484</v>
      </c>
      <c r="D692" s="22" t="s">
        <v>21</v>
      </c>
      <c r="E692" s="22" t="s">
        <v>22</v>
      </c>
      <c r="F692" s="22" t="s">
        <v>772</v>
      </c>
      <c r="G692" s="22"/>
      <c r="H692" s="21"/>
      <c r="I692" s="22" t="s">
        <v>23</v>
      </c>
      <c r="J692" s="22" t="s">
        <v>1453</v>
      </c>
      <c r="K692" s="22" t="s">
        <v>24</v>
      </c>
      <c r="L692" s="2" t="str">
        <f t="shared" si="12"/>
        <v>insert into CHB_DATACHECK_RULE (CHECKRULEID,DATATYPE,CHECKCLASS,CHECKMETHOD,SRCPROPERTY,COMPARETO,OBJVALUE,REMARK,STATUS,NULLABLE) values ('W84827E5-DF35-D920-E050-007F010077JH','CHB_ASSET_INFO','com.joyintech.tams.common.svreport.datacheck.service.BaseCheckLib','isNotEmpty','ASSET_YIELD','','','年利率%不可以为空。','E','N');</v>
      </c>
    </row>
    <row r="693" spans="1:12" x14ac:dyDescent="0.15">
      <c r="A693" s="9">
        <v>690</v>
      </c>
      <c r="B693" s="21" t="s">
        <v>737</v>
      </c>
      <c r="C693" s="23" t="s">
        <v>1484</v>
      </c>
      <c r="D693" s="22" t="s">
        <v>21</v>
      </c>
      <c r="E693" s="22" t="s">
        <v>22</v>
      </c>
      <c r="F693" s="22" t="s">
        <v>772</v>
      </c>
      <c r="G693" s="22"/>
      <c r="H693" s="21"/>
      <c r="I693" s="22" t="s">
        <v>23</v>
      </c>
      <c r="J693" s="22" t="s">
        <v>1454</v>
      </c>
      <c r="K693" s="22" t="s">
        <v>24</v>
      </c>
      <c r="L693" s="2" t="str">
        <f t="shared" si="12"/>
        <v>insert into CHB_DATACHECK_RULE (CHECKRULEID,DATATYPE,CHECKCLASS,CHECKMETHOD,SRCPROPERTY,COMPARETO,OBJVALUE,REMARK,STATUS,NULLABLE) values ('W84827E5-DF35-D920-E050-007F010077JI','CHB_ASSET_INFO','com.joyintech.tams.common.svreport.datacheck.service.BaseCheckLib','isNotEmpty','ASSET_YIELD','','','项目收益率%不可以为空。','E','N');</v>
      </c>
    </row>
    <row r="694" spans="1:12" x14ac:dyDescent="0.15">
      <c r="A694" s="17">
        <v>691</v>
      </c>
      <c r="B694" s="21" t="s">
        <v>738</v>
      </c>
      <c r="C694" s="23" t="s">
        <v>1484</v>
      </c>
      <c r="D694" s="22" t="s">
        <v>21</v>
      </c>
      <c r="E694" s="22" t="s">
        <v>22</v>
      </c>
      <c r="F694" s="22" t="s">
        <v>772</v>
      </c>
      <c r="G694" s="22"/>
      <c r="H694" s="21"/>
      <c r="I694" s="22" t="s">
        <v>23</v>
      </c>
      <c r="J694" s="22" t="s">
        <v>1455</v>
      </c>
      <c r="K694" s="22" t="s">
        <v>24</v>
      </c>
      <c r="L694" s="2" t="str">
        <f t="shared" si="12"/>
        <v>insert into CHB_DATACHECK_RULE (CHECKRULEID,DATATYPE,CHECKCLASS,CHECKMETHOD,SRCPROPERTY,COMPARETO,OBJVALUE,REMARK,STATUS,NULLABLE) values ('W84827E5-DF35-D920-E050-007F010077JJ','CHB_ASSET_INFO','com.joyintech.tams.common.svreport.datacheck.service.BaseCheckLib','isNotEmpty','ASSET_YIELD','','','贴现利率（%）不可以为空。','E','N');</v>
      </c>
    </row>
    <row r="695" spans="1:12" x14ac:dyDescent="0.15">
      <c r="A695" s="9">
        <v>692</v>
      </c>
      <c r="B695" s="21" t="s">
        <v>2525</v>
      </c>
      <c r="C695" s="23" t="s">
        <v>1484</v>
      </c>
      <c r="D695" s="22" t="s">
        <v>21</v>
      </c>
      <c r="E695" s="22" t="s">
        <v>22</v>
      </c>
      <c r="F695" s="22" t="s">
        <v>772</v>
      </c>
      <c r="G695" s="22"/>
      <c r="H695" s="21"/>
      <c r="I695" s="22" t="s">
        <v>23</v>
      </c>
      <c r="J695" s="22" t="s">
        <v>1456</v>
      </c>
      <c r="K695" s="22" t="s">
        <v>24</v>
      </c>
      <c r="L695" s="2" t="str">
        <f t="shared" si="12"/>
        <v>insert into CHB_DATACHECK_RULE (CHECKRULEID,DATATYPE,CHECKCLASS,CHECKMETHOD,SRCPROPERTY,COMPARETO,OBJVALUE,REMARK,STATUS,NULLABLE) values ('W84827E5-DF35-D920-E050-007F010077JK','CHB_ASSET_INFO','com.joyintech.tams.common.svreport.datacheck.service.BaseCheckLib','isNotEmpty','ASSET_YIELD','','','票面利率%不可以为空。','E','N');</v>
      </c>
    </row>
    <row r="696" spans="1:12" x14ac:dyDescent="0.15">
      <c r="A696" s="9">
        <v>694</v>
      </c>
      <c r="B696" s="21" t="s">
        <v>740</v>
      </c>
      <c r="C696" s="23" t="s">
        <v>1484</v>
      </c>
      <c r="D696" s="22" t="s">
        <v>21</v>
      </c>
      <c r="E696" s="22" t="s">
        <v>22</v>
      </c>
      <c r="F696" s="22" t="s">
        <v>772</v>
      </c>
      <c r="G696" s="22"/>
      <c r="H696" s="21"/>
      <c r="I696" s="22" t="s">
        <v>23</v>
      </c>
      <c r="J696" s="22" t="s">
        <v>1457</v>
      </c>
      <c r="K696" s="22" t="s">
        <v>24</v>
      </c>
      <c r="L696" s="2" t="str">
        <f t="shared" si="12"/>
        <v>insert into CHB_DATACHECK_RULE (CHECKRULEID,DATATYPE,CHECKCLASS,CHECKMETHOD,SRCPROPERTY,COMPARETO,OBJVALUE,REMARK,STATUS,NULLABLE) values ('W84827E5-DF35-D920-E050-007F010077JN','CHB_ASSET_INFO','com.joyintech.tams.common.svreport.datacheck.service.BaseCheckLib','isNotEmpty','ASSET_YIELD','','','项目收益率（利率）%不可以为空。','E','N');</v>
      </c>
    </row>
    <row r="697" spans="1:12" x14ac:dyDescent="0.15">
      <c r="A697" s="17">
        <v>695</v>
      </c>
      <c r="B697" s="21" t="s">
        <v>741</v>
      </c>
      <c r="C697" s="23" t="s">
        <v>1484</v>
      </c>
      <c r="D697" s="22" t="s">
        <v>21</v>
      </c>
      <c r="E697" s="22" t="s">
        <v>62</v>
      </c>
      <c r="F697" s="22" t="s">
        <v>772</v>
      </c>
      <c r="G697" s="22" t="s">
        <v>25</v>
      </c>
      <c r="H697" s="21" t="s">
        <v>26</v>
      </c>
      <c r="I697" s="22" t="s">
        <v>27</v>
      </c>
      <c r="J697" s="22" t="s">
        <v>1458</v>
      </c>
      <c r="K697" s="22" t="s">
        <v>24</v>
      </c>
      <c r="L697" s="2" t="str">
        <f t="shared" si="12"/>
        <v>insert into CHB_DATACHECK_RULE (CHECKRULEID,DATATYPE,CHECKCLASS,CHECKMETHOD,SRCPROPERTY,COMPARETO,OBJVALUE,REMARK,STATUS,NULLABLE) values ('W84827E5-DF35-D920-E050-007F010077JO','CHB_ASSET_INFO','com.joyintech.tams.common.svreport.datacheck.service.BaseCheckLib','lessThanCharLength','ASSET_YIELD','==','0','年利率必须为空。','E','Y');</v>
      </c>
    </row>
    <row r="698" spans="1:12" x14ac:dyDescent="0.15">
      <c r="A698" s="9">
        <v>696</v>
      </c>
      <c r="B698" s="21" t="s">
        <v>742</v>
      </c>
      <c r="C698" s="23" t="s">
        <v>1484</v>
      </c>
      <c r="D698" s="22" t="s">
        <v>21</v>
      </c>
      <c r="E698" s="22" t="s">
        <v>22</v>
      </c>
      <c r="F698" s="22" t="s">
        <v>772</v>
      </c>
      <c r="G698" s="22"/>
      <c r="H698" s="21"/>
      <c r="I698" s="22" t="s">
        <v>23</v>
      </c>
      <c r="J698" s="22" t="s">
        <v>1453</v>
      </c>
      <c r="K698" s="22" t="s">
        <v>24</v>
      </c>
      <c r="L698" s="2" t="str">
        <f t="shared" si="12"/>
        <v>insert into CHB_DATACHECK_RULE (CHECKRULEID,DATATYPE,CHECKCLASS,CHECKMETHOD,SRCPROPERTY,COMPARETO,OBJVALUE,REMARK,STATUS,NULLABLE) values ('W84827E5-DF35-D920-E050-007F010077JP','CHB_ASSET_INFO','com.joyintech.tams.common.svreport.datacheck.service.BaseCheckLib','isNotEmpty','ASSET_YIELD','','','年利率%不可以为空。','E','N');</v>
      </c>
    </row>
    <row r="699" spans="1:12" x14ac:dyDescent="0.15">
      <c r="A699" s="17">
        <v>697</v>
      </c>
      <c r="B699" s="21" t="s">
        <v>743</v>
      </c>
      <c r="C699" s="23" t="s">
        <v>1484</v>
      </c>
      <c r="D699" s="22" t="s">
        <v>21</v>
      </c>
      <c r="E699" s="22" t="s">
        <v>62</v>
      </c>
      <c r="F699" s="22" t="s">
        <v>775</v>
      </c>
      <c r="G699" s="22" t="s">
        <v>25</v>
      </c>
      <c r="H699" s="21" t="s">
        <v>26</v>
      </c>
      <c r="I699" s="22" t="s">
        <v>27</v>
      </c>
      <c r="J699" s="22" t="s">
        <v>1459</v>
      </c>
      <c r="K699" s="22" t="s">
        <v>24</v>
      </c>
      <c r="L699" s="2" t="str">
        <f t="shared" si="12"/>
        <v>insert into CHB_DATACHECK_RULE (CHECKRULEID,DATATYPE,CHECKCLASS,CHECKMETHOD,SRCPROPERTY,COMPARETO,OBJVALUE,REMARK,STATUS,NULLABLE) values ('W84827E5-DF35-D920-E050-007F010077JQ','CHB_ASSET_INFO','com.joyintech.tams.common.svreport.datacheck.service.BaseCheckLib','lessThanCharLength','BASIS','==','0','计息基础必须为空','E','Y');</v>
      </c>
    </row>
    <row r="700" spans="1:12" x14ac:dyDescent="0.15">
      <c r="A700" s="9">
        <v>698</v>
      </c>
      <c r="B700" s="21" t="s">
        <v>2522</v>
      </c>
      <c r="C700" s="23" t="s">
        <v>1484</v>
      </c>
      <c r="D700" s="22" t="s">
        <v>21</v>
      </c>
      <c r="E700" s="22" t="s">
        <v>22</v>
      </c>
      <c r="F700" s="22" t="s">
        <v>926</v>
      </c>
      <c r="G700" s="22"/>
      <c r="H700" s="21"/>
      <c r="I700" s="22" t="s">
        <v>23</v>
      </c>
      <c r="J700" s="22" t="s">
        <v>1460</v>
      </c>
      <c r="K700" s="22" t="s">
        <v>24</v>
      </c>
      <c r="L700" s="2" t="str">
        <f t="shared" si="12"/>
        <v>insert into CHB_DATACHECK_RULE (CHECKRULEID,DATATYPE,CHECKCLASS,CHECKMETHOD,SRCPROPERTY,COMPARETO,OBJVALUE,REMARK,STATUS,NULLABLE) values ('W84827E5-DF35-D920-E050-007F010077JR','CHB_ASSET_INFO','com.joyintech.tams.common.svreport.datacheck.service.BaseCheckLib','isNotEmpty','INTPAY_CYCLE','','','付息频率（个月/次）要素不可为空。','E','N');</v>
      </c>
    </row>
    <row r="701" spans="1:12" x14ac:dyDescent="0.15">
      <c r="A701" s="17">
        <v>699</v>
      </c>
      <c r="B701" s="21" t="s">
        <v>2523</v>
      </c>
      <c r="C701" s="23" t="s">
        <v>1484</v>
      </c>
      <c r="D701" s="22" t="s">
        <v>21</v>
      </c>
      <c r="E701" s="22" t="s">
        <v>22</v>
      </c>
      <c r="F701" s="22" t="s">
        <v>926</v>
      </c>
      <c r="G701" s="22"/>
      <c r="H701" s="21"/>
      <c r="I701" s="22" t="s">
        <v>23</v>
      </c>
      <c r="J701" s="22" t="s">
        <v>1460</v>
      </c>
      <c r="K701" s="22" t="s">
        <v>24</v>
      </c>
      <c r="L701" s="2" t="str">
        <f t="shared" si="12"/>
        <v>insert into CHB_DATACHECK_RULE (CHECKRULEID,DATATYPE,CHECKCLASS,CHECKMETHOD,SRCPROPERTY,COMPARETO,OBJVALUE,REMARK,STATUS,NULLABLE) values ('W84827E5-DF35-D920-E050-007F010077JS','CHB_ASSET_INFO','com.joyintech.tams.common.svreport.datacheck.service.BaseCheckLib','isNotEmpty','INTPAY_CYCLE','','','付息频率（个月/次）要素不可为空。','E','N');</v>
      </c>
    </row>
    <row r="702" spans="1:12" x14ac:dyDescent="0.15">
      <c r="A702" s="17">
        <v>701</v>
      </c>
      <c r="B702" s="21" t="s">
        <v>2524</v>
      </c>
      <c r="C702" s="23" t="s">
        <v>1484</v>
      </c>
      <c r="D702" s="22" t="s">
        <v>21</v>
      </c>
      <c r="E702" s="22" t="s">
        <v>22</v>
      </c>
      <c r="F702" s="22" t="s">
        <v>926</v>
      </c>
      <c r="G702" s="22"/>
      <c r="H702" s="21"/>
      <c r="I702" s="22" t="s">
        <v>23</v>
      </c>
      <c r="J702" s="22" t="s">
        <v>1460</v>
      </c>
      <c r="K702" s="22" t="s">
        <v>24</v>
      </c>
      <c r="L702" s="2" t="str">
        <f t="shared" si="12"/>
        <v>insert into CHB_DATACHECK_RULE (CHECKRULEID,DATATYPE,CHECKCLASS,CHECKMETHOD,SRCPROPERTY,COMPARETO,OBJVALUE,REMARK,STATUS,NULLABLE) values ('W84827E5-DF35-D920-E050-007F010077JU','CHB_ASSET_INFO','com.joyintech.tams.common.svreport.datacheck.service.BaseCheckLib','isNotEmpty','INTPAY_CYCLE','','','付息频率（个月/次）要素不可为空。','E','N');</v>
      </c>
    </row>
    <row r="703" spans="1:12" x14ac:dyDescent="0.15">
      <c r="A703" s="9">
        <v>702</v>
      </c>
      <c r="B703" s="21" t="s">
        <v>747</v>
      </c>
      <c r="C703" s="23" t="s">
        <v>1484</v>
      </c>
      <c r="D703" s="22" t="s">
        <v>21</v>
      </c>
      <c r="E703" s="22" t="s">
        <v>62</v>
      </c>
      <c r="F703" s="22" t="s">
        <v>926</v>
      </c>
      <c r="G703" s="22" t="s">
        <v>25</v>
      </c>
      <c r="H703" s="21" t="s">
        <v>26</v>
      </c>
      <c r="I703" s="22" t="s">
        <v>27</v>
      </c>
      <c r="J703" s="22" t="s">
        <v>1461</v>
      </c>
      <c r="K703" s="22" t="s">
        <v>24</v>
      </c>
      <c r="L703" s="2" t="str">
        <f t="shared" si="12"/>
        <v>insert into CHB_DATACHECK_RULE (CHECKRULEID,DATATYPE,CHECKCLASS,CHECKMETHOD,SRCPROPERTY,COMPARETO,OBJVALUE,REMARK,STATUS,NULLABLE) values ('W84827E5-DF35-D920-E050-007F010077JV','CHB_ASSET_INFO','com.joyintech.tams.common.svreport.datacheck.service.BaseCheckLib','lessThanCharLength','INTPAY_CYCLE','==','0','付息频率必须为空','E','Y');</v>
      </c>
    </row>
    <row r="704" spans="1:12" x14ac:dyDescent="0.15">
      <c r="A704" s="17">
        <v>703</v>
      </c>
      <c r="B704" s="21" t="s">
        <v>748</v>
      </c>
      <c r="C704" s="23" t="s">
        <v>1484</v>
      </c>
      <c r="D704" s="22" t="s">
        <v>21</v>
      </c>
      <c r="E704" s="22" t="s">
        <v>22</v>
      </c>
      <c r="F704" s="22" t="s">
        <v>1084</v>
      </c>
      <c r="G704" s="22"/>
      <c r="H704" s="21"/>
      <c r="I704" s="22" t="s">
        <v>23</v>
      </c>
      <c r="J704" s="22" t="s">
        <v>1462</v>
      </c>
      <c r="K704" s="22" t="s">
        <v>24</v>
      </c>
      <c r="L704" s="2" t="str">
        <f t="shared" ref="L704:L756" si="13">CONCATENATE("insert into CHB_DATACHECK_RULE (CHECKRULEID,DATATYPE,CHECKCLASS,CHECKMETHOD,SRCPROPERTY,COMPARETO,OBJVALUE,REMARK,STATUS,NULLABLE) values ('",B704,"','",C704,"','",D704,"','",E704,"','",F704,"','",G704,"','",H704,"','",J704,"','",K704,"','",I704,"');")</f>
        <v>insert into CHB_DATACHECK_RULE (CHECKRULEID,DATATYPE,CHECKCLASS,CHECKMETHOD,SRCPROPERTY,COMPARETO,OBJVALUE,REMARK,STATUS,NULLABLE) values ('W84827E5-DF35-D920-E050-007F010077JW','CHB_ASSET_INFO','com.joyintech.tams.common.svreport.datacheck.service.BaseCheckLib','isNotEmpty','CHB_SECTYPE','','','具体类别不可以为空','E','N');</v>
      </c>
    </row>
    <row r="705" spans="1:12" x14ac:dyDescent="0.15">
      <c r="A705" s="9">
        <v>704</v>
      </c>
      <c r="B705" s="21" t="s">
        <v>749</v>
      </c>
      <c r="C705" s="23" t="s">
        <v>1484</v>
      </c>
      <c r="D705" s="22" t="s">
        <v>21</v>
      </c>
      <c r="E705" s="22" t="s">
        <v>30</v>
      </c>
      <c r="F705" s="22" t="s">
        <v>1084</v>
      </c>
      <c r="G705" s="22"/>
      <c r="H705" s="21" t="s">
        <v>1463</v>
      </c>
      <c r="I705" s="22" t="s">
        <v>27</v>
      </c>
      <c r="J705" s="22" t="s">
        <v>1464</v>
      </c>
      <c r="K705" s="22" t="s">
        <v>24</v>
      </c>
      <c r="L705" s="2" t="str">
        <f t="shared" si="13"/>
        <v>insert into CHB_DATACHECK_RULE (CHECKRULEID,DATATYPE,CHECKCLASS,CHECKMETHOD,SRCPROPERTY,COMPARETO,OBJVALUE,REMARK,STATUS,NULLABLE) values ('W84827E5-DF35-D920-E050-007F010077JY','CHB_ASSET_INFO','com.joyintech.tams.common.svreport.datacheck.service.BaseCheckLib','inDatadict','CHB_SECTYPE','','SVR_SEC_DETAIL_TYPE','具体类别不在值域范围内。','E','Y');</v>
      </c>
    </row>
    <row r="706" spans="1:12" x14ac:dyDescent="0.15">
      <c r="A706" s="17">
        <v>705</v>
      </c>
      <c r="B706" s="21" t="s">
        <v>750</v>
      </c>
      <c r="C706" s="23" t="s">
        <v>1484</v>
      </c>
      <c r="D706" s="22" t="s">
        <v>21</v>
      </c>
      <c r="E706" s="22" t="s">
        <v>62</v>
      </c>
      <c r="F706" s="22" t="s">
        <v>1097</v>
      </c>
      <c r="G706" s="22" t="s">
        <v>25</v>
      </c>
      <c r="H706" s="21" t="s">
        <v>26</v>
      </c>
      <c r="I706" s="22" t="s">
        <v>27</v>
      </c>
      <c r="J706" s="22" t="s">
        <v>1465</v>
      </c>
      <c r="K706" s="22" t="s">
        <v>24</v>
      </c>
      <c r="L706" s="2" t="str">
        <f t="shared" si="13"/>
        <v>insert into CHB_DATACHECK_RULE (CHECKRULEID,DATATYPE,CHECKCLASS,CHECKMETHOD,SRCPROPERTY,COMPARETO,OBJVALUE,REMARK,STATUS,NULLABLE) values ('W84827E5-DF35-D920-E050-007F010077JZ','CHB_ASSET_INFO','com.joyintech.tams.common.svreport.datacheck.service.BaseCheckLib','lessThanCharLength','ISSUE_MODE','==','0','发行方式必须为空','E','Y');</v>
      </c>
    </row>
    <row r="707" spans="1:12" x14ac:dyDescent="0.15">
      <c r="A707" s="9">
        <v>706</v>
      </c>
      <c r="B707" s="21" t="s">
        <v>751</v>
      </c>
      <c r="C707" s="23" t="s">
        <v>1484</v>
      </c>
      <c r="D707" s="22" t="s">
        <v>21</v>
      </c>
      <c r="E707" s="22" t="s">
        <v>62</v>
      </c>
      <c r="F707" s="22" t="s">
        <v>1100</v>
      </c>
      <c r="G707" s="22" t="s">
        <v>25</v>
      </c>
      <c r="H707" s="21" t="s">
        <v>26</v>
      </c>
      <c r="I707" s="22" t="s">
        <v>27</v>
      </c>
      <c r="J707" s="22" t="s">
        <v>1466</v>
      </c>
      <c r="K707" s="22" t="s">
        <v>24</v>
      </c>
      <c r="L707" s="2" t="str">
        <f t="shared" si="13"/>
        <v>insert into CHB_DATACHECK_RULE (CHECKRULEID,DATATYPE,CHECKCLASS,CHECKMETHOD,SRCPROPERTY,COMPARETO,OBJVALUE,REMARK,STATUS,NULLABLE) values ('W84827E5-DF35-D920-E050-007F010077KA','CHB_ASSET_INFO','com.joyintech.tams.common.svreport.datacheck.service.BaseCheckLib','lessThanCharLength','SEC_MAIN_GRADE','==','0','主体评级必须为空','E','Y');</v>
      </c>
    </row>
    <row r="708" spans="1:12" x14ac:dyDescent="0.15">
      <c r="A708" s="17">
        <v>707</v>
      </c>
      <c r="B708" s="21" t="s">
        <v>752</v>
      </c>
      <c r="C708" s="23" t="s">
        <v>1484</v>
      </c>
      <c r="D708" s="22" t="s">
        <v>21</v>
      </c>
      <c r="E708" s="22" t="s">
        <v>62</v>
      </c>
      <c r="F708" s="22" t="s">
        <v>1467</v>
      </c>
      <c r="G708" s="22" t="s">
        <v>25</v>
      </c>
      <c r="H708" s="21" t="s">
        <v>26</v>
      </c>
      <c r="I708" s="22" t="s">
        <v>27</v>
      </c>
      <c r="J708" s="22" t="s">
        <v>1468</v>
      </c>
      <c r="K708" s="22" t="s">
        <v>24</v>
      </c>
      <c r="L708" s="2" t="str">
        <f t="shared" si="13"/>
        <v>insert into CHB_DATACHECK_RULE (CHECKRULEID,DATATYPE,CHECKCLASS,CHECKMETHOD,SRCPROPERTY,COMPARETO,OBJVALUE,REMARK,STATUS,NULLABLE) values ('W84827E5-DF35-D920-E050-007F010077KB','CHB_ASSET_INFO','com.joyintech.tams.common.svreport.datacheck.service.BaseCheckLib','lessThanCharLength','PART_TYPE1','==','0','发行机构类型（按规模划分）必须为空','E','Y');</v>
      </c>
    </row>
    <row r="709" spans="1:12" x14ac:dyDescent="0.15">
      <c r="A709" s="9">
        <v>708</v>
      </c>
      <c r="B709" s="21" t="s">
        <v>753</v>
      </c>
      <c r="C709" s="23" t="s">
        <v>1484</v>
      </c>
      <c r="D709" s="22" t="s">
        <v>21</v>
      </c>
      <c r="E709" s="22" t="s">
        <v>62</v>
      </c>
      <c r="F709" s="22" t="s">
        <v>1469</v>
      </c>
      <c r="G709" s="22" t="s">
        <v>25</v>
      </c>
      <c r="H709" s="21" t="s">
        <v>26</v>
      </c>
      <c r="I709" s="22" t="s">
        <v>27</v>
      </c>
      <c r="J709" s="22" t="s">
        <v>1470</v>
      </c>
      <c r="K709" s="22" t="s">
        <v>24</v>
      </c>
      <c r="L709" s="2" t="str">
        <f t="shared" si="13"/>
        <v>insert into CHB_DATACHECK_RULE (CHECKRULEID,DATATYPE,CHECKCLASS,CHECKMETHOD,SRCPROPERTY,COMPARETO,OBJVALUE,REMARK,STATUS,NULLABLE) values ('W84827E5-DF35-D920-E050-007F010077KC','CHB_ASSET_INFO','com.joyintech.tams.common.svreport.datacheck.service.BaseCheckLib','lessThanCharLength','PART_TYPE2','==','0','发行机构类型（按技术领域划分）必须为空','E','Y');</v>
      </c>
    </row>
    <row r="710" spans="1:12" x14ac:dyDescent="0.15">
      <c r="A710" s="17">
        <v>709</v>
      </c>
      <c r="B710" s="21" t="s">
        <v>754</v>
      </c>
      <c r="C710" s="23" t="s">
        <v>1484</v>
      </c>
      <c r="D710" s="22" t="s">
        <v>21</v>
      </c>
      <c r="E710" s="22" t="s">
        <v>62</v>
      </c>
      <c r="F710" s="22" t="s">
        <v>1471</v>
      </c>
      <c r="G710" s="22" t="s">
        <v>25</v>
      </c>
      <c r="H710" s="21" t="s">
        <v>26</v>
      </c>
      <c r="I710" s="22" t="s">
        <v>27</v>
      </c>
      <c r="J710" s="22" t="s">
        <v>1472</v>
      </c>
      <c r="K710" s="22" t="s">
        <v>24</v>
      </c>
      <c r="L710" s="2" t="str">
        <f t="shared" si="13"/>
        <v>insert into CHB_DATACHECK_RULE (CHECKRULEID,DATATYPE,CHECKCLASS,CHECKMETHOD,SRCPROPERTY,COMPARETO,OBJVALUE,REMARK,STATUS,NULLABLE) values ('W84827E5-DF35-D920-E050-007F010077KD','CHB_ASSET_INFO','com.joyintech.tams.common.svreport.datacheck.service.BaseCheckLib','lessThanCharLength','PART_TYPE3','==','0','发行机构类型（按经济类型划分）必须为空','E','Y');</v>
      </c>
    </row>
    <row r="711" spans="1:12" x14ac:dyDescent="0.15">
      <c r="A711" s="9">
        <v>710</v>
      </c>
      <c r="B711" s="21" t="s">
        <v>2420</v>
      </c>
      <c r="C711" s="23" t="s">
        <v>1484</v>
      </c>
      <c r="D711" s="22" t="s">
        <v>21</v>
      </c>
      <c r="E711" s="22" t="s">
        <v>62</v>
      </c>
      <c r="F711" s="22" t="s">
        <v>917</v>
      </c>
      <c r="G711" s="22" t="s">
        <v>25</v>
      </c>
      <c r="H711" s="21" t="s">
        <v>26</v>
      </c>
      <c r="I711" s="22" t="s">
        <v>27</v>
      </c>
      <c r="J711" s="22" t="s">
        <v>1473</v>
      </c>
      <c r="K711" s="22" t="s">
        <v>24</v>
      </c>
      <c r="L711" s="2" t="str">
        <f t="shared" si="13"/>
        <v>insert into CHB_DATACHECK_RULE (CHECKRULEID,DATATYPE,CHECKCLASS,CHECKMETHOD,SRCPROPERTY,COMPARETO,OBJVALUE,REMARK,STATUS,NULLABLE) values ('W84827E5-DF35-D920-E050-007F010077KE','CHB_ASSET_INFO','com.joyintech.tams.common.svreport.datacheck.service.BaseCheckLib','lessThanCharLength','INDUSTRY_LEVEL2','==','0','发行机构所属行业必须为空','E','Y');</v>
      </c>
    </row>
    <row r="712" spans="1:12" x14ac:dyDescent="0.15">
      <c r="A712" s="17">
        <v>711</v>
      </c>
      <c r="B712" s="21" t="s">
        <v>756</v>
      </c>
      <c r="C712" s="23" t="s">
        <v>1484</v>
      </c>
      <c r="D712" s="22" t="s">
        <v>21</v>
      </c>
      <c r="E712" s="22" t="s">
        <v>62</v>
      </c>
      <c r="F712" s="22" t="s">
        <v>1108</v>
      </c>
      <c r="G712" s="22" t="s">
        <v>25</v>
      </c>
      <c r="H712" s="21" t="s">
        <v>26</v>
      </c>
      <c r="I712" s="22" t="s">
        <v>27</v>
      </c>
      <c r="J712" s="22" t="s">
        <v>1474</v>
      </c>
      <c r="K712" s="22" t="s">
        <v>24</v>
      </c>
      <c r="L712" s="2" t="str">
        <f t="shared" si="13"/>
        <v>insert into CHB_DATACHECK_RULE (CHECKRULEID,DATATYPE,CHECKCLASS,CHECKMETHOD,SRCPROPERTY,COMPARETO,OBJVALUE,REMARK,STATUS,NULLABLE) values ('W84827E5-DF35-D920-E050-007F010077KF','CHB_ASSET_INFO','com.joyintech.tams.common.svreport.datacheck.service.BaseCheckLib','lessThanCharLength','REGIST_ORG','==','0','登记托管机构必须为空','E','Y');</v>
      </c>
    </row>
    <row r="713" spans="1:12" x14ac:dyDescent="0.15">
      <c r="A713" s="9">
        <v>712</v>
      </c>
      <c r="B713" s="21" t="s">
        <v>757</v>
      </c>
      <c r="C713" s="23" t="s">
        <v>1484</v>
      </c>
      <c r="D713" s="22" t="s">
        <v>21</v>
      </c>
      <c r="E713" s="22" t="s">
        <v>62</v>
      </c>
      <c r="F713" s="22" t="s">
        <v>841</v>
      </c>
      <c r="G713" s="22" t="s">
        <v>25</v>
      </c>
      <c r="H713" s="21" t="s">
        <v>26</v>
      </c>
      <c r="I713" s="22" t="s">
        <v>27</v>
      </c>
      <c r="J713" s="22" t="s">
        <v>1475</v>
      </c>
      <c r="K713" s="22" t="s">
        <v>24</v>
      </c>
      <c r="L713" s="2" t="str">
        <f t="shared" si="13"/>
        <v>insert into CHB_DATACHECK_RULE (CHECKRULEID,DATATYPE,CHECKCLASS,CHECKMETHOD,SRCPROPERTY,COMPARETO,OBJVALUE,REMARK,STATUS,NULLABLE) values ('W84827E5-DF35-D920-E050-007F010077KG','CHB_ASSET_INFO','com.joyintech.tams.common.svreport.datacheck.service.BaseCheckLib','lessThanCharLength','REGISTORG_COMMENT','==','0','登记托管机构说明必须为空','E','Y');</v>
      </c>
    </row>
    <row r="714" spans="1:12" x14ac:dyDescent="0.15">
      <c r="A714" s="17">
        <v>713</v>
      </c>
      <c r="B714" s="21" t="s">
        <v>758</v>
      </c>
      <c r="C714" s="23" t="s">
        <v>1484</v>
      </c>
      <c r="D714" s="22" t="s">
        <v>21</v>
      </c>
      <c r="E714" s="22" t="s">
        <v>62</v>
      </c>
      <c r="F714" s="22" t="s">
        <v>790</v>
      </c>
      <c r="G714" s="22" t="s">
        <v>25</v>
      </c>
      <c r="H714" s="21" t="s">
        <v>26</v>
      </c>
      <c r="I714" s="22" t="s">
        <v>27</v>
      </c>
      <c r="J714" s="22" t="s">
        <v>1476</v>
      </c>
      <c r="K714" s="22" t="s">
        <v>24</v>
      </c>
      <c r="L714" s="2" t="str">
        <f t="shared" si="13"/>
        <v>insert into CHB_DATACHECK_RULE (CHECKRULEID,DATATYPE,CHECKCLASS,CHECKMETHOD,SRCPROPERTY,COMPARETO,OBJVALUE,REMARK,STATUS,NULLABLE) values ('W84827E5-DF35-D920-E050-007F010077KH','CHB_ASSET_INFO','com.joyintech.tams.common.svreport.datacheck.service.BaseCheckLib','lessThanCharLength','RIVAL_PARTY','==','0','对手方（拆放同业及买入返售/同业拆入及卖出回购）必须为空','E','Y');</v>
      </c>
    </row>
    <row r="715" spans="1:12" x14ac:dyDescent="0.15">
      <c r="A715" s="9">
        <v>714</v>
      </c>
      <c r="B715" s="21" t="s">
        <v>759</v>
      </c>
      <c r="C715" s="23" t="s">
        <v>1484</v>
      </c>
      <c r="D715" s="22" t="s">
        <v>21</v>
      </c>
      <c r="E715" s="22" t="s">
        <v>30</v>
      </c>
      <c r="F715" s="22" t="s">
        <v>1477</v>
      </c>
      <c r="G715" s="22"/>
      <c r="H715" s="21" t="s">
        <v>1478</v>
      </c>
      <c r="I715" s="22" t="s">
        <v>23</v>
      </c>
      <c r="J715" s="22" t="s">
        <v>1479</v>
      </c>
      <c r="K715" s="22" t="s">
        <v>24</v>
      </c>
      <c r="L715" s="2" t="str">
        <f t="shared" si="13"/>
        <v>insert into CHB_DATACHECK_RULE (CHECKRULEID,DATATYPE,CHECKCLASS,CHECKMETHOD,SRCPROPERTY,COMPARETO,OBJVALUE,REMARK,STATUS,NULLABLE) values ('W84827E5-DF35-D920-E050-007F010077KJ','CHB_ASSET_INFO','com.joyintech.tams.common.svreport.datacheck.service.BaseCheckLib','inDatadict','RIVAL_PARTY_TYPE','','SVR_RIVAL_PARTY_TYPE','对手方类型不可为空，且必须在值域范围内','E','N');</v>
      </c>
    </row>
    <row r="716" spans="1:12" x14ac:dyDescent="0.15">
      <c r="A716" s="17">
        <v>715</v>
      </c>
      <c r="B716" s="21" t="s">
        <v>760</v>
      </c>
      <c r="C716" s="23" t="s">
        <v>1484</v>
      </c>
      <c r="D716" s="22" t="s">
        <v>21</v>
      </c>
      <c r="E716" s="22" t="s">
        <v>22</v>
      </c>
      <c r="F716" s="22" t="s">
        <v>1222</v>
      </c>
      <c r="G716" s="22"/>
      <c r="H716" s="21"/>
      <c r="I716" s="22" t="s">
        <v>23</v>
      </c>
      <c r="J716" s="22" t="s">
        <v>1480</v>
      </c>
      <c r="K716" s="22" t="s">
        <v>24</v>
      </c>
      <c r="L716" s="2" t="str">
        <f t="shared" si="13"/>
        <v>insert into CHB_DATACHECK_RULE (CHECKRULEID,DATATYPE,CHECKCLASS,CHECKMETHOD,SRCPROPERTY,COMPARETO,OBJVALUE,REMARK,STATUS,NULLABLE) values ('W85607E5-DF91-D920-E050-007F010077FD','CHB_ASSET_INFO','com.joyintech.tams.common.svreport.datacheck.service.BaseCheckLib','isNotEmpty','MANAGE_TYPE','','','管理方式要素不可以为空','E','N');</v>
      </c>
    </row>
    <row r="717" spans="1:12" x14ac:dyDescent="0.15">
      <c r="A717" s="9">
        <v>716</v>
      </c>
      <c r="B717" s="21" t="s">
        <v>761</v>
      </c>
      <c r="C717" s="23" t="s">
        <v>1484</v>
      </c>
      <c r="D717" s="22" t="s">
        <v>21</v>
      </c>
      <c r="E717" s="22" t="s">
        <v>22</v>
      </c>
      <c r="F717" s="22" t="s">
        <v>1219</v>
      </c>
      <c r="G717" s="22"/>
      <c r="H717" s="21"/>
      <c r="I717" s="22" t="s">
        <v>23</v>
      </c>
      <c r="J717" s="22" t="s">
        <v>1481</v>
      </c>
      <c r="K717" s="22" t="s">
        <v>24</v>
      </c>
      <c r="L717" s="2" t="str">
        <f t="shared" si="13"/>
        <v>insert into CHB_DATACHECK_RULE (CHECKRULEID,DATATYPE,CHECKCLASS,CHECKMETHOD,SRCPROPERTY,COMPARETO,OBJVALUE,REMARK,STATUS,NULLABLE) values ('W85607E5-DF91-D920-E050-007F037077FD','CHB_ASSET_INFO','com.joyintech.tams.common.svreport.datacheck.service.BaseCheckLib','isNotEmpty','BUY_STRUCT','','','购买结构要素不可以为空','E','N');</v>
      </c>
    </row>
    <row r="718" spans="1:12" x14ac:dyDescent="0.15">
      <c r="A718" s="17">
        <v>717</v>
      </c>
      <c r="B718" s="21" t="s">
        <v>2286</v>
      </c>
      <c r="C718" s="23" t="s">
        <v>1484</v>
      </c>
      <c r="D718" s="22" t="s">
        <v>21</v>
      </c>
      <c r="E718" s="22" t="s">
        <v>32</v>
      </c>
      <c r="F718" s="22" t="s">
        <v>772</v>
      </c>
      <c r="G718" s="22"/>
      <c r="H718" s="21" t="s">
        <v>33</v>
      </c>
      <c r="I718" s="22" t="s">
        <v>27</v>
      </c>
      <c r="J718" s="22" t="s">
        <v>924</v>
      </c>
      <c r="K718" s="22" t="s">
        <v>24</v>
      </c>
      <c r="L718" s="2" t="str">
        <f t="shared" si="13"/>
        <v>insert into CHB_DATACHECK_RULE (CHECKRULEID,DATATYPE,CHECKCLASS,CHECKMETHOD,SRCPROPERTY,COMPARETO,OBJVALUE,REMARK,STATUS,NULLABLE) values ('WH3E4A49-6810-5A9E-E050-007F01006A14','CHB_ASSET_INFO','com.joyintech.tams.common.svreport.datacheck.service.BaseCheckLib','isNumber2','ASSET_YIELD','','8,5','票面利率%以百分数形式表示时必须为n(8,5)格式。','E','Y');</v>
      </c>
    </row>
    <row r="719" spans="1:12" x14ac:dyDescent="0.15">
      <c r="A719" s="9">
        <v>718</v>
      </c>
      <c r="B719" s="21" t="s">
        <v>2273</v>
      </c>
      <c r="C719" s="23" t="s">
        <v>1484</v>
      </c>
      <c r="D719" s="22" t="s">
        <v>21</v>
      </c>
      <c r="E719" s="22" t="s">
        <v>34</v>
      </c>
      <c r="F719" s="22" t="s">
        <v>772</v>
      </c>
      <c r="G719" s="22" t="s">
        <v>35</v>
      </c>
      <c r="H719" s="21" t="s">
        <v>26</v>
      </c>
      <c r="I719" s="22" t="s">
        <v>27</v>
      </c>
      <c r="J719" s="22" t="s">
        <v>925</v>
      </c>
      <c r="K719" s="22" t="s">
        <v>24</v>
      </c>
      <c r="L719" s="2" t="str">
        <f t="shared" si="13"/>
        <v>insert into CHB_DATACHECK_RULE (CHECKRULEID,DATATYPE,CHECKCLASS,CHECKMETHOD,SRCPROPERTY,COMPARETO,OBJVALUE,REMARK,STATUS,NULLABLE) values ('WH3E4A49-6810-5A9E-E050-007F01006A15','CHB_ASSET_INFO','com.joyintech.tams.common.svreport.datacheck.service.BaseCheckLib','compareValueAsNumber','ASSET_YIELD','&gt;=','0','票面利率%必须大于等于0。','E','Y');</v>
      </c>
    </row>
    <row r="720" spans="1:12" x14ac:dyDescent="0.15">
      <c r="A720" s="17">
        <v>719</v>
      </c>
      <c r="B720" s="21" t="s">
        <v>2277</v>
      </c>
      <c r="C720" s="23" t="s">
        <v>1484</v>
      </c>
      <c r="D720" s="22" t="s">
        <v>21</v>
      </c>
      <c r="E720" s="22" t="s">
        <v>62</v>
      </c>
      <c r="F720" s="22" t="s">
        <v>860</v>
      </c>
      <c r="G720" s="22"/>
      <c r="H720" s="21" t="s">
        <v>2330</v>
      </c>
      <c r="I720" s="22" t="s">
        <v>23</v>
      </c>
      <c r="J720" s="22" t="s">
        <v>931</v>
      </c>
      <c r="K720" s="22" t="s">
        <v>24</v>
      </c>
      <c r="L720" s="2" t="str">
        <f t="shared" si="13"/>
        <v>insert into CHB_DATACHECK_RULE (CHECKRULEID,DATATYPE,CHECKCLASS,CHECKMETHOD,SRCPROPERTY,COMPARETO,OBJVALUE,REMARK,STATUS,NULLABLE) values ('WH3E4A49-6810-5A9E-E050-007F01006A19','CHB_ASSET_INFO','com.joyintech.tams.common.svreport.datacheck.service.BaseCheckLib','lessThanCharLength','SPECIAL_CMT','','201','是否含权等特殊条款情况说明不可为空且不能过长。','E','N');</v>
      </c>
    </row>
    <row r="721" spans="1:12" x14ac:dyDescent="0.15">
      <c r="A721" s="9">
        <v>720</v>
      </c>
      <c r="B721" s="21" t="s">
        <v>2288</v>
      </c>
      <c r="C721" s="23" t="s">
        <v>1484</v>
      </c>
      <c r="D721" s="22" t="s">
        <v>21</v>
      </c>
      <c r="E721" s="22" t="s">
        <v>30</v>
      </c>
      <c r="F721" s="22" t="s">
        <v>803</v>
      </c>
      <c r="G721" s="22" t="s">
        <v>25</v>
      </c>
      <c r="H721" s="21" t="s">
        <v>58</v>
      </c>
      <c r="I721" s="22" t="s">
        <v>23</v>
      </c>
      <c r="J721" s="22" t="s">
        <v>804</v>
      </c>
      <c r="K721" s="22" t="s">
        <v>24</v>
      </c>
      <c r="L721" s="2" t="str">
        <f t="shared" si="13"/>
        <v>insert into CHB_DATACHECK_RULE (CHECKRULEID,DATATYPE,CHECKCLASS,CHECKMETHOD,SRCPROPERTY,COMPARETO,OBJVALUE,REMARK,STATUS,NULLABLE) values ('WH3E4A49-6810-5A9E-E050-007F01006A20','CHB_ASSET_INFO','com.joyintech.tams.common.svreport.datacheck.service.BaseCheckLib','inDatadict','COUNTRY_AREA','==','SVR_COUNTRY_AREA','所属国家或地区必填或不在值域范围内。','E','N');</v>
      </c>
    </row>
    <row r="722" spans="1:12" x14ac:dyDescent="0.15">
      <c r="A722" s="17">
        <v>721</v>
      </c>
      <c r="B722" s="21" t="s">
        <v>2278</v>
      </c>
      <c r="C722" s="23" t="s">
        <v>1484</v>
      </c>
      <c r="D722" s="22" t="s">
        <v>21</v>
      </c>
      <c r="E722" s="22" t="s">
        <v>62</v>
      </c>
      <c r="F722" s="22" t="s">
        <v>862</v>
      </c>
      <c r="G722" s="22"/>
      <c r="H722" s="21" t="s">
        <v>2330</v>
      </c>
      <c r="I722" s="22" t="s">
        <v>23</v>
      </c>
      <c r="J722" s="22" t="s">
        <v>932</v>
      </c>
      <c r="K722" s="22" t="s">
        <v>24</v>
      </c>
      <c r="L722" s="2" t="str">
        <f t="shared" si="13"/>
        <v>insert into CHB_DATACHECK_RULE (CHECKRULEID,DATATYPE,CHECKCLASS,CHECKMETHOD,SRCPROPERTY,COMPARETO,OBJVALUE,REMARK,STATUS,NULLABLE) values ('WH3E4A49-6810-5A9E-E050-007F01006A21','CHB_ASSET_INFO','com.joyintech.tams.common.svreport.datacheck.service.BaseCheckLib','lessThanCharLength','CONTRACT_NAME','','201','合约名称必填且不可过长','E','N');</v>
      </c>
    </row>
    <row r="723" spans="1:12" x14ac:dyDescent="0.15">
      <c r="A723" s="9">
        <v>722</v>
      </c>
      <c r="B723" s="21" t="s">
        <v>2289</v>
      </c>
      <c r="C723" s="23" t="s">
        <v>1484</v>
      </c>
      <c r="D723" s="22" t="s">
        <v>21</v>
      </c>
      <c r="E723" s="22" t="s">
        <v>38</v>
      </c>
      <c r="F723" s="22" t="s">
        <v>766</v>
      </c>
      <c r="G723" s="22" t="s">
        <v>25</v>
      </c>
      <c r="H723" s="21" t="s">
        <v>767</v>
      </c>
      <c r="I723" s="22" t="s">
        <v>27</v>
      </c>
      <c r="J723" s="22" t="s">
        <v>788</v>
      </c>
      <c r="K723" s="22" t="s">
        <v>24</v>
      </c>
      <c r="L723" s="2" t="str">
        <f t="shared" si="13"/>
        <v>insert into CHB_DATACHECK_RULE (CHECKRULEID,DATATYPE,CHECKCLASS,CHECKMETHOD,SRCPROPERTY,COMPARETO,OBJVALUE,REMARK,STATUS,NULLABLE) values ('WH3E4A49-6810-5A9E-E050-007F01006A22','CHB_ASSET_INFO','com.joyintech.tams.common.svreport.datacheck.service.BaseCheckLib','isValidDate','VDATE','==','yyyy-MM-dd','起息日必须为日期格式（YYYY-MM-DD）。','E','Y');</v>
      </c>
    </row>
    <row r="724" spans="1:12" x14ac:dyDescent="0.15">
      <c r="A724" s="17">
        <v>723</v>
      </c>
      <c r="B724" s="21" t="s">
        <v>2303</v>
      </c>
      <c r="C724" s="23" t="s">
        <v>1484</v>
      </c>
      <c r="D724" s="22" t="s">
        <v>21</v>
      </c>
      <c r="E724" s="22" t="s">
        <v>38</v>
      </c>
      <c r="F724" s="22" t="s">
        <v>769</v>
      </c>
      <c r="G724" s="22" t="s">
        <v>25</v>
      </c>
      <c r="H724" s="21" t="s">
        <v>767</v>
      </c>
      <c r="I724" s="22" t="s">
        <v>27</v>
      </c>
      <c r="J724" s="22" t="s">
        <v>770</v>
      </c>
      <c r="K724" s="22" t="s">
        <v>24</v>
      </c>
      <c r="L724" s="2" t="str">
        <f t="shared" si="13"/>
        <v>insert into CHB_DATACHECK_RULE (CHECKRULEID,DATATYPE,CHECKCLASS,CHECKMETHOD,SRCPROPERTY,COMPARETO,OBJVALUE,REMARK,STATUS,NULLABLE) values ('WH3E4A49-6810-5A9E-E050-007F01006A23','CHB_ASSET_INFO','com.joyintech.tams.common.svreport.datacheck.service.BaseCheckLib','isValidDate','MDATE','==','yyyy-MM-dd','到期日要素必填且必须为日期格式（YYYY-MM-DD）。','E','Y');</v>
      </c>
    </row>
    <row r="725" spans="1:12" x14ac:dyDescent="0.15">
      <c r="A725" s="9">
        <v>724</v>
      </c>
      <c r="B725" s="21" t="s">
        <v>2304</v>
      </c>
      <c r="C725" s="23" t="s">
        <v>1484</v>
      </c>
      <c r="D725" s="22" t="s">
        <v>21</v>
      </c>
      <c r="E725" s="22" t="s">
        <v>39</v>
      </c>
      <c r="F725" s="22" t="s">
        <v>769</v>
      </c>
      <c r="G725" s="22" t="s">
        <v>35</v>
      </c>
      <c r="H725" s="21" t="s">
        <v>766</v>
      </c>
      <c r="I725" s="22" t="s">
        <v>27</v>
      </c>
      <c r="J725" s="22" t="s">
        <v>771</v>
      </c>
      <c r="K725" s="22" t="s">
        <v>24</v>
      </c>
      <c r="L725" s="2" t="str">
        <f t="shared" si="13"/>
        <v>insert into CHB_DATACHECK_RULE (CHECKRULEID,DATATYPE,CHECKCLASS,CHECKMETHOD,SRCPROPERTY,COMPARETO,OBJVALUE,REMARK,STATUS,NULLABLE) values ('WH3E4A49-6810-5A9E-E050-007F01006A24','CHB_ASSET_INFO','com.joyintech.tams.common.svreport.datacheck.service.BaseCheckLib','compareProperty','MDATE','&gt;=','VDATE','到期日必须大于等于起息日。','E','Y');</v>
      </c>
    </row>
    <row r="726" spans="1:12" x14ac:dyDescent="0.15">
      <c r="A726" s="17">
        <v>725</v>
      </c>
      <c r="B726" s="21" t="s">
        <v>2305</v>
      </c>
      <c r="C726" s="23" t="s">
        <v>1484</v>
      </c>
      <c r="D726" s="22" t="s">
        <v>21</v>
      </c>
      <c r="E726" s="22" t="s">
        <v>32</v>
      </c>
      <c r="F726" s="22" t="s">
        <v>772</v>
      </c>
      <c r="G726" s="22"/>
      <c r="H726" s="21" t="s">
        <v>33</v>
      </c>
      <c r="I726" s="22" t="s">
        <v>27</v>
      </c>
      <c r="J726" s="22" t="s">
        <v>924</v>
      </c>
      <c r="K726" s="22" t="s">
        <v>24</v>
      </c>
      <c r="L726" s="2" t="str">
        <f t="shared" si="13"/>
        <v>insert into CHB_DATACHECK_RULE (CHECKRULEID,DATATYPE,CHECKCLASS,CHECKMETHOD,SRCPROPERTY,COMPARETO,OBJVALUE,REMARK,STATUS,NULLABLE) values ('WH3E4A49-6810-5A9E-E050-007F01006A25','CHB_ASSET_INFO','com.joyintech.tams.common.svreport.datacheck.service.BaseCheckLib','isNumber2','ASSET_YIELD','','8,5','票面利率%以百分数形式表示时必须为n(8,5)格式。','E','Y');</v>
      </c>
    </row>
    <row r="727" spans="1:12" x14ac:dyDescent="0.15">
      <c r="A727" s="9">
        <v>726</v>
      </c>
      <c r="B727" s="21" t="s">
        <v>2306</v>
      </c>
      <c r="C727" s="23" t="s">
        <v>1484</v>
      </c>
      <c r="D727" s="22" t="s">
        <v>21</v>
      </c>
      <c r="E727" s="22" t="s">
        <v>34</v>
      </c>
      <c r="F727" s="22" t="s">
        <v>772</v>
      </c>
      <c r="G727" s="22" t="s">
        <v>35</v>
      </c>
      <c r="H727" s="21" t="s">
        <v>26</v>
      </c>
      <c r="I727" s="22" t="s">
        <v>27</v>
      </c>
      <c r="J727" s="22" t="s">
        <v>925</v>
      </c>
      <c r="K727" s="22" t="s">
        <v>24</v>
      </c>
      <c r="L727" s="2" t="str">
        <f t="shared" si="13"/>
        <v>insert into CHB_DATACHECK_RULE (CHECKRULEID,DATATYPE,CHECKCLASS,CHECKMETHOD,SRCPROPERTY,COMPARETO,OBJVALUE,REMARK,STATUS,NULLABLE) values ('WH3E4A49-6810-5A9E-E050-007F01006A26','CHB_ASSET_INFO','com.joyintech.tams.common.svreport.datacheck.service.BaseCheckLib','compareValueAsNumber','ASSET_YIELD','&gt;=','0','票面利率%必须大于等于0。','E','Y');</v>
      </c>
    </row>
    <row r="728" spans="1:12" x14ac:dyDescent="0.15">
      <c r="A728" s="17">
        <v>727</v>
      </c>
      <c r="B728" s="21" t="s">
        <v>2307</v>
      </c>
      <c r="C728" s="23" t="s">
        <v>1484</v>
      </c>
      <c r="D728" s="22" t="s">
        <v>21</v>
      </c>
      <c r="E728" s="22" t="s">
        <v>2490</v>
      </c>
      <c r="F728" s="22" t="s">
        <v>926</v>
      </c>
      <c r="G728" s="22"/>
      <c r="H728" s="21" t="s">
        <v>927</v>
      </c>
      <c r="I728" s="22" t="s">
        <v>27</v>
      </c>
      <c r="J728" s="22" t="s">
        <v>928</v>
      </c>
      <c r="K728" s="22" t="s">
        <v>24</v>
      </c>
      <c r="L728" s="2" t="str">
        <f t="shared" si="13"/>
        <v>insert into CHB_DATACHECK_RULE (CHECKRULEID,DATATYPE,CHECKCLASS,CHECKMETHOD,SRCPROPERTY,COMPARETO,OBJVALUE,REMARK,STATUS,NULLABLE) values ('WH3E4A49-6810-5A9E-E050-007F01006A27','CHB_ASSET_INFO','com.joyintech.tams.common.svreport.datacheck.service.BaseCheckLib','isNumber2','INTPAY_CYCLE','','2,0','付息频率（个月/次）必须为n..2格式。','E','Y');</v>
      </c>
    </row>
    <row r="729" spans="1:12" x14ac:dyDescent="0.15">
      <c r="A729" s="9">
        <v>728</v>
      </c>
      <c r="B729" s="21" t="s">
        <v>2308</v>
      </c>
      <c r="C729" s="23" t="s">
        <v>1484</v>
      </c>
      <c r="D729" s="22" t="s">
        <v>21</v>
      </c>
      <c r="E729" s="22" t="s">
        <v>34</v>
      </c>
      <c r="F729" s="22" t="s">
        <v>926</v>
      </c>
      <c r="G729" s="22" t="s">
        <v>35</v>
      </c>
      <c r="H729" s="21" t="s">
        <v>26</v>
      </c>
      <c r="I729" s="22" t="s">
        <v>27</v>
      </c>
      <c r="J729" s="22" t="s">
        <v>929</v>
      </c>
      <c r="K729" s="22" t="s">
        <v>24</v>
      </c>
      <c r="L729" s="2" t="str">
        <f t="shared" si="13"/>
        <v>insert into CHB_DATACHECK_RULE (CHECKRULEID,DATATYPE,CHECKCLASS,CHECKMETHOD,SRCPROPERTY,COMPARETO,OBJVALUE,REMARK,STATUS,NULLABLE) values ('WH3E4A49-6810-5A9E-E050-007F01006A28','CHB_ASSET_INFO','com.joyintech.tams.common.svreport.datacheck.service.BaseCheckLib','compareValueAsNumber','INTPAY_CYCLE','&gt;=','0','付息频率（个月/次）必须大于等于0。','E','Y');</v>
      </c>
    </row>
    <row r="730" spans="1:12" x14ac:dyDescent="0.15">
      <c r="A730" s="17">
        <v>729</v>
      </c>
      <c r="B730" s="21" t="s">
        <v>2309</v>
      </c>
      <c r="C730" s="23" t="s">
        <v>1484</v>
      </c>
      <c r="D730" s="22" t="s">
        <v>21</v>
      </c>
      <c r="E730" s="22" t="s">
        <v>32</v>
      </c>
      <c r="F730" s="22" t="s">
        <v>933</v>
      </c>
      <c r="G730" s="22"/>
      <c r="H730" s="21" t="s">
        <v>33</v>
      </c>
      <c r="I730" s="22" t="s">
        <v>27</v>
      </c>
      <c r="J730" s="22" t="s">
        <v>934</v>
      </c>
      <c r="K730" s="22" t="s">
        <v>24</v>
      </c>
      <c r="L730" s="2" t="str">
        <f t="shared" si="13"/>
        <v>insert into CHB_DATACHECK_RULE (CHECKRULEID,DATATYPE,CHECKCLASS,CHECKMETHOD,SRCPROPERTY,COMPARETO,OBJVALUE,REMARK,STATUS,NULLABLE) values ('WH3E4A49-6810-5A9E-E050-007F01006A29','CHB_ASSET_INFO','com.joyintech.tams.common.svreport.datacheck.service.BaseCheckLib','isNumber2','INCOME_RATIO','','8,5','固定收益部分所占比例以百分数形式表示时必须为n(8,5)格式。','E','Y');</v>
      </c>
    </row>
    <row r="731" spans="1:12" x14ac:dyDescent="0.15">
      <c r="A731" s="9">
        <v>730</v>
      </c>
      <c r="B731" s="21" t="s">
        <v>2310</v>
      </c>
      <c r="C731" s="23" t="s">
        <v>1484</v>
      </c>
      <c r="D731" s="22" t="s">
        <v>21</v>
      </c>
      <c r="E731" s="22" t="s">
        <v>34</v>
      </c>
      <c r="F731" s="22" t="s">
        <v>938</v>
      </c>
      <c r="G731" s="22" t="s">
        <v>936</v>
      </c>
      <c r="H731" s="21" t="s">
        <v>2335</v>
      </c>
      <c r="I731" s="22" t="s">
        <v>27</v>
      </c>
      <c r="J731" s="22" t="s">
        <v>941</v>
      </c>
      <c r="K731" s="22" t="s">
        <v>24</v>
      </c>
      <c r="L731" s="2" t="str">
        <f t="shared" si="13"/>
        <v>insert into CHB_DATACHECK_RULE (CHECKRULEID,DATATYPE,CHECKCLASS,CHECKMETHOD,SRCPROPERTY,COMPARETO,OBJVALUE,REMARK,STATUS,NULLABLE) values ('WH3E4A49-6810-5A9E-E050-007F01006A34','CHB_ASSET_INFO','com.joyintech.tams.common.svreport.datacheck.service.BaseCheckLib','compareValueAsNumber','DER_INSTR_RATIO','&lt;=','100','衍生金融工具所占比例必须小于等于100。','E','Y');</v>
      </c>
    </row>
    <row r="732" spans="1:12" x14ac:dyDescent="0.15">
      <c r="A732" s="17">
        <v>731</v>
      </c>
      <c r="B732" s="21" t="s">
        <v>2311</v>
      </c>
      <c r="C732" s="23" t="s">
        <v>1484</v>
      </c>
      <c r="D732" s="22" t="s">
        <v>21</v>
      </c>
      <c r="E732" s="22" t="s">
        <v>32</v>
      </c>
      <c r="F732" s="22" t="s">
        <v>950</v>
      </c>
      <c r="G732" s="22"/>
      <c r="H732" s="21" t="s">
        <v>33</v>
      </c>
      <c r="I732" s="22" t="s">
        <v>27</v>
      </c>
      <c r="J732" s="22" t="s">
        <v>952</v>
      </c>
      <c r="K732" s="22" t="s">
        <v>24</v>
      </c>
      <c r="L732" s="2" t="str">
        <f t="shared" si="13"/>
        <v>insert into CHB_DATACHECK_RULE (CHECKRULEID,DATATYPE,CHECKCLASS,CHECKMETHOD,SRCPROPERTY,COMPARETO,OBJVALUE,REMARK,STATUS,NULLABLE) values ('WH3E4A49-6810-5A9E-E050-007F01006A42','CHB_ASSET_INFO','com.joyintech.tams.common.svreport.datacheck.service.BaseCheckLib','isNumber2','MIN_YIELD','','8,5','结构化票据最低收益率以百分数形式表示时必须为n(8,5)格式。','E','Y');</v>
      </c>
    </row>
    <row r="733" spans="1:12" x14ac:dyDescent="0.15">
      <c r="A733" s="9">
        <v>732</v>
      </c>
      <c r="B733" s="21" t="s">
        <v>2312</v>
      </c>
      <c r="C733" s="23" t="s">
        <v>1484</v>
      </c>
      <c r="D733" s="22" t="s">
        <v>21</v>
      </c>
      <c r="E733" s="22" t="s">
        <v>32</v>
      </c>
      <c r="F733" s="22" t="s">
        <v>953</v>
      </c>
      <c r="G733" s="22"/>
      <c r="H733" s="21" t="s">
        <v>36</v>
      </c>
      <c r="I733" s="22" t="s">
        <v>27</v>
      </c>
      <c r="J733" s="22" t="s">
        <v>954</v>
      </c>
      <c r="K733" s="22" t="s">
        <v>24</v>
      </c>
      <c r="L733" s="2" t="str">
        <f t="shared" si="13"/>
        <v>insert into CHB_DATACHECK_RULE (CHECKRULEID,DATATYPE,CHECKCLASS,CHECKMETHOD,SRCPROPERTY,COMPARETO,OBJVALUE,REMARK,STATUS,NULLABLE) values ('WH3E4A49-6810-5A9E-E050-007F01006A43','CHB_ASSET_INFO','com.joyintech.tams.common.svreport.datacheck.service.BaseCheckLib','isNumber2','BASIC_PRICE','','15,2','挂钩标的资产基准价格必须为n(15,2)格式。','E','Y');</v>
      </c>
    </row>
    <row r="734" spans="1:12" x14ac:dyDescent="0.15">
      <c r="A734" s="17">
        <v>733</v>
      </c>
      <c r="B734" s="21" t="s">
        <v>2313</v>
      </c>
      <c r="C734" s="23" t="s">
        <v>1484</v>
      </c>
      <c r="D734" s="22" t="s">
        <v>21</v>
      </c>
      <c r="E734" s="22" t="s">
        <v>34</v>
      </c>
      <c r="F734" s="22" t="s">
        <v>953</v>
      </c>
      <c r="G734" s="22" t="s">
        <v>35</v>
      </c>
      <c r="H734" s="21" t="s">
        <v>26</v>
      </c>
      <c r="I734" s="22" t="s">
        <v>27</v>
      </c>
      <c r="J734" s="22" t="s">
        <v>955</v>
      </c>
      <c r="K734" s="22" t="s">
        <v>24</v>
      </c>
      <c r="L734" s="2" t="str">
        <f t="shared" si="13"/>
        <v>insert into CHB_DATACHECK_RULE (CHECKRULEID,DATATYPE,CHECKCLASS,CHECKMETHOD,SRCPROPERTY,COMPARETO,OBJVALUE,REMARK,STATUS,NULLABLE) values ('WH3E4A49-6810-5A9E-E050-007F01006A44','CHB_ASSET_INFO','com.joyintech.tams.common.svreport.datacheck.service.BaseCheckLib','compareValueAsNumber','BASIC_PRICE','&gt;=','0','挂钩标的资产基准价格不为空时，必须大于等于0。','E','Y');</v>
      </c>
    </row>
    <row r="735" spans="1:12" x14ac:dyDescent="0.15">
      <c r="A735" s="9">
        <v>734</v>
      </c>
      <c r="B735" s="21" t="s">
        <v>2314</v>
      </c>
      <c r="C735" s="23" t="s">
        <v>1484</v>
      </c>
      <c r="D735" s="22" t="s">
        <v>21</v>
      </c>
      <c r="E735" s="22" t="s">
        <v>32</v>
      </c>
      <c r="F735" s="22" t="s">
        <v>956</v>
      </c>
      <c r="G735" s="22"/>
      <c r="H735" s="21" t="s">
        <v>36</v>
      </c>
      <c r="I735" s="22" t="s">
        <v>27</v>
      </c>
      <c r="J735" s="22" t="s">
        <v>957</v>
      </c>
      <c r="K735" s="22" t="s">
        <v>24</v>
      </c>
      <c r="L735" s="2" t="str">
        <f t="shared" si="13"/>
        <v>insert into CHB_DATACHECK_RULE (CHECKRULEID,DATATYPE,CHECKCLASS,CHECKMETHOD,SRCPROPERTY,COMPARETO,OBJVALUE,REMARK,STATUS,NULLABLE) values ('WH3E4A49-6810-5A9E-E050-007F01006A45','CHB_ASSET_INFO','com.joyintech.tams.common.svreport.datacheck.service.BaseCheckLib','isNumber2','REG_DATE_PRICE','','15,2','挂钩标的资产登记日价格必须为n(15,2)格式。','E','Y');</v>
      </c>
    </row>
    <row r="736" spans="1:12" x14ac:dyDescent="0.15">
      <c r="A736" s="17">
        <v>735</v>
      </c>
      <c r="B736" s="21" t="s">
        <v>2315</v>
      </c>
      <c r="C736" s="23" t="s">
        <v>1484</v>
      </c>
      <c r="D736" s="22" t="s">
        <v>21</v>
      </c>
      <c r="E736" s="22" t="s">
        <v>34</v>
      </c>
      <c r="F736" s="22" t="s">
        <v>956</v>
      </c>
      <c r="G736" s="22" t="s">
        <v>35</v>
      </c>
      <c r="H736" s="21" t="s">
        <v>26</v>
      </c>
      <c r="I736" s="22" t="s">
        <v>27</v>
      </c>
      <c r="J736" s="22" t="s">
        <v>958</v>
      </c>
      <c r="K736" s="22" t="s">
        <v>24</v>
      </c>
      <c r="L736" s="2" t="str">
        <f t="shared" si="13"/>
        <v>insert into CHB_DATACHECK_RULE (CHECKRULEID,DATATYPE,CHECKCLASS,CHECKMETHOD,SRCPROPERTY,COMPARETO,OBJVALUE,REMARK,STATUS,NULLABLE) values ('WH3E4A49-6810-5A9E-E050-007F01006A46','CHB_ASSET_INFO','com.joyintech.tams.common.svreport.datacheck.service.BaseCheckLib','compareValueAsNumber','REG_DATE_PRICE','&gt;=','0','挂钩标的资产登记日价格必须大于等于0。','E','Y');</v>
      </c>
    </row>
    <row r="737" spans="1:12" x14ac:dyDescent="0.15">
      <c r="A737" s="9">
        <v>736</v>
      </c>
      <c r="B737" s="21" t="s">
        <v>2316</v>
      </c>
      <c r="C737" s="23" t="s">
        <v>1484</v>
      </c>
      <c r="D737" s="22" t="s">
        <v>21</v>
      </c>
      <c r="E737" s="22" t="s">
        <v>62</v>
      </c>
      <c r="F737" s="22" t="s">
        <v>872</v>
      </c>
      <c r="G737" s="22"/>
      <c r="H737" s="21" t="s">
        <v>2330</v>
      </c>
      <c r="I737" s="22" t="s">
        <v>23</v>
      </c>
      <c r="J737" s="22" t="s">
        <v>959</v>
      </c>
      <c r="K737" s="22" t="s">
        <v>24</v>
      </c>
      <c r="L737" s="2" t="str">
        <f t="shared" si="13"/>
        <v>insert into CHB_DATACHECK_RULE (CHECKRULEID,DATATYPE,CHECKCLASS,CHECKMETHOD,SRCPROPERTY,COMPARETO,OBJVALUE,REMARK,STATUS,NULLABLE) values ('WH3E4A49-6810-5A9E-E050-007F01006A47','CHB_ASSET_INFO','com.joyintech.tams.common.svreport.datacheck.service.BaseCheckLib','lessThanCharLength','TRADE_FEE','','201','交易费不可为空且不可过长','E','N');</v>
      </c>
    </row>
    <row r="738" spans="1:12" x14ac:dyDescent="0.15">
      <c r="A738" s="17">
        <v>737</v>
      </c>
      <c r="B738" s="21" t="s">
        <v>2282</v>
      </c>
      <c r="C738" s="23" t="s">
        <v>1484</v>
      </c>
      <c r="D738" s="22" t="s">
        <v>21</v>
      </c>
      <c r="E738" s="22" t="s">
        <v>62</v>
      </c>
      <c r="F738" s="22" t="s">
        <v>807</v>
      </c>
      <c r="G738" s="22"/>
      <c r="H738" s="21" t="s">
        <v>2330</v>
      </c>
      <c r="I738" s="22" t="s">
        <v>23</v>
      </c>
      <c r="J738" s="22" t="s">
        <v>960</v>
      </c>
      <c r="K738" s="22" t="s">
        <v>24</v>
      </c>
      <c r="L738" s="2" t="str">
        <f t="shared" si="13"/>
        <v>insert into CHB_DATACHECK_RULE (CHECKRULEID,DATATYPE,CHECKCLASS,CHECKMETHOD,SRCPROPERTY,COMPARETO,OBJVALUE,REMARK,STATUS,NULLABLE) values ('WH3E4A49-6810-5A9E-E050-007F01006A49','CHB_ASSET_INFO','com.joyintech.tams.common.svreport.datacheck.service.BaseCheckLib','lessThanCharLength','ASSET_NAME','','201','名称不可为空且不能过长。','E','N');</v>
      </c>
    </row>
    <row r="739" spans="1:12" x14ac:dyDescent="0.15">
      <c r="A739" s="9">
        <v>738</v>
      </c>
      <c r="B739" s="21" t="s">
        <v>2317</v>
      </c>
      <c r="C739" s="23" t="s">
        <v>1484</v>
      </c>
      <c r="D739" s="22" t="s">
        <v>21</v>
      </c>
      <c r="E739" s="22" t="s">
        <v>2489</v>
      </c>
      <c r="F739" s="22" t="s">
        <v>961</v>
      </c>
      <c r="G739" s="22"/>
      <c r="H739" s="21" t="s">
        <v>36</v>
      </c>
      <c r="I739" s="22" t="s">
        <v>23</v>
      </c>
      <c r="J739" s="22" t="s">
        <v>962</v>
      </c>
      <c r="K739" s="22" t="s">
        <v>24</v>
      </c>
      <c r="L739" s="2" t="str">
        <f t="shared" si="13"/>
        <v>insert into CHB_DATACHECK_RULE (CHECKRULEID,DATATYPE,CHECKCLASS,CHECKMETHOD,SRCPROPERTY,COMPARETO,OBJVALUE,REMARK,STATUS,NULLABLE) values ('WH3E4A49-6810-5A9E-E050-007F01006A50','CHB_ASSET_INFO','com.joyintech.tams.common.svreport.datacheck.service.BaseCheckLib','isNumber2','NOM_CAPI','','15,2','名义本金不可为空且为(15,2)格式','E','N');</v>
      </c>
    </row>
    <row r="740" spans="1:12" x14ac:dyDescent="0.15">
      <c r="A740" s="17">
        <v>739</v>
      </c>
      <c r="B740" s="21" t="s">
        <v>2318</v>
      </c>
      <c r="C740" s="23" t="s">
        <v>1484</v>
      </c>
      <c r="D740" s="22" t="s">
        <v>21</v>
      </c>
      <c r="E740" s="22" t="s">
        <v>34</v>
      </c>
      <c r="F740" s="22" t="s">
        <v>961</v>
      </c>
      <c r="G740" s="22" t="s">
        <v>35</v>
      </c>
      <c r="H740" s="21" t="s">
        <v>26</v>
      </c>
      <c r="I740" s="22" t="s">
        <v>27</v>
      </c>
      <c r="J740" s="22" t="s">
        <v>963</v>
      </c>
      <c r="K740" s="22" t="s">
        <v>24</v>
      </c>
      <c r="L740" s="2" t="str">
        <f t="shared" si="13"/>
        <v>insert into CHB_DATACHECK_RULE (CHECKRULEID,DATATYPE,CHECKCLASS,CHECKMETHOD,SRCPROPERTY,COMPARETO,OBJVALUE,REMARK,STATUS,NULLABLE) values ('WH3E4A49-6810-5A9E-E050-007F01006A51','CHB_ASSET_INFO','com.joyintech.tams.common.svreport.datacheck.service.BaseCheckLib','compareValueAsNumber','NOM_CAPI','&gt;=','0','名义本金必须大于等于0。','E','Y');</v>
      </c>
    </row>
    <row r="741" spans="1:12" x14ac:dyDescent="0.15">
      <c r="A741" s="9">
        <v>740</v>
      </c>
      <c r="B741" s="21" t="s">
        <v>2319</v>
      </c>
      <c r="C741" s="23" t="s">
        <v>1484</v>
      </c>
      <c r="D741" s="22" t="s">
        <v>21</v>
      </c>
      <c r="E741" s="22" t="s">
        <v>30</v>
      </c>
      <c r="F741" s="22" t="s">
        <v>964</v>
      </c>
      <c r="G741" s="22" t="s">
        <v>827</v>
      </c>
      <c r="H741" s="21" t="s">
        <v>828</v>
      </c>
      <c r="I741" s="22" t="s">
        <v>27</v>
      </c>
      <c r="J741" s="22" t="s">
        <v>2368</v>
      </c>
      <c r="K741" s="22" t="s">
        <v>24</v>
      </c>
      <c r="L741" s="2" t="str">
        <f t="shared" si="13"/>
        <v>insert into CHB_DATACHECK_RULE (CHECKRULEID,DATATYPE,CHECKCLASS,CHECKMETHOD,SRCPROPERTY,COMPARETO,OBJVALUE,REMARK,STATUS,NULLABLE) values ('WH3E4A49-6810-5A9E-E050-007F01006A52','CHB_ASSET_INFO','com.joyintech.tams.common.svreport.datacheck.service.BaseCheckLib','inDatadict','TARGET_TYPE3','&lt;','SVR_TARGET_TYPE','标的类别不在值域范围内并且标的类别的多选选项不可重复。','E','Y');</v>
      </c>
    </row>
    <row r="742" spans="1:12" x14ac:dyDescent="0.15">
      <c r="A742" s="17">
        <v>741</v>
      </c>
      <c r="B742" s="21" t="s">
        <v>2320</v>
      </c>
      <c r="C742" s="23" t="s">
        <v>1484</v>
      </c>
      <c r="D742" s="22" t="s">
        <v>21</v>
      </c>
      <c r="E742" s="22" t="s">
        <v>30</v>
      </c>
      <c r="F742" s="22" t="s">
        <v>803</v>
      </c>
      <c r="G742" s="22" t="s">
        <v>25</v>
      </c>
      <c r="H742" s="21" t="s">
        <v>58</v>
      </c>
      <c r="I742" s="22" t="s">
        <v>23</v>
      </c>
      <c r="J742" s="22" t="s">
        <v>804</v>
      </c>
      <c r="K742" s="22" t="s">
        <v>24</v>
      </c>
      <c r="L742" s="2" t="str">
        <f t="shared" si="13"/>
        <v>insert into CHB_DATACHECK_RULE (CHECKRULEID,DATATYPE,CHECKCLASS,CHECKMETHOD,SRCPROPERTY,COMPARETO,OBJVALUE,REMARK,STATUS,NULLABLE) values ('WH3E4A49-6810-5A9E-E050-007F01006A54','CHB_ASSET_INFO','com.joyintech.tams.common.svreport.datacheck.service.BaseCheckLib','inDatadict','COUNTRY_AREA','==','SVR_COUNTRY_AREA','所属国家或地区必填或不在值域范围内。','E','N');</v>
      </c>
    </row>
    <row r="743" spans="1:12" x14ac:dyDescent="0.15">
      <c r="A743" s="9">
        <v>742</v>
      </c>
      <c r="B743" s="21" t="s">
        <v>2321</v>
      </c>
      <c r="C743" s="23" t="s">
        <v>1484</v>
      </c>
      <c r="D743" s="22" t="s">
        <v>21</v>
      </c>
      <c r="E743" s="22" t="s">
        <v>62</v>
      </c>
      <c r="F743" s="22" t="s">
        <v>807</v>
      </c>
      <c r="G743" s="22"/>
      <c r="H743" s="21" t="s">
        <v>2330</v>
      </c>
      <c r="I743" s="22" t="s">
        <v>23</v>
      </c>
      <c r="J743" s="22" t="s">
        <v>960</v>
      </c>
      <c r="K743" s="22" t="s">
        <v>24</v>
      </c>
      <c r="L743" s="2" t="str">
        <f t="shared" si="13"/>
        <v>insert into CHB_DATACHECK_RULE (CHECKRULEID,DATATYPE,CHECKCLASS,CHECKMETHOD,SRCPROPERTY,COMPARETO,OBJVALUE,REMARK,STATUS,NULLABLE) values ('WH3E4A49-6810-5A9E-E050-007F01006A55','CHB_ASSET_INFO','com.joyintech.tams.common.svreport.datacheck.service.BaseCheckLib','lessThanCharLength','ASSET_NAME','','201','名称不可为空且不能过长。','E','N');</v>
      </c>
    </row>
    <row r="744" spans="1:12" x14ac:dyDescent="0.15">
      <c r="A744" s="17">
        <v>743</v>
      </c>
      <c r="B744" s="21" t="s">
        <v>2322</v>
      </c>
      <c r="C744" s="23" t="s">
        <v>1484</v>
      </c>
      <c r="D744" s="22" t="s">
        <v>21</v>
      </c>
      <c r="E744" s="22" t="s">
        <v>38</v>
      </c>
      <c r="F744" s="22" t="s">
        <v>766</v>
      </c>
      <c r="G744" s="22" t="s">
        <v>25</v>
      </c>
      <c r="H744" s="21" t="s">
        <v>767</v>
      </c>
      <c r="I744" s="22" t="s">
        <v>27</v>
      </c>
      <c r="J744" s="22" t="s">
        <v>788</v>
      </c>
      <c r="K744" s="22" t="s">
        <v>24</v>
      </c>
      <c r="L744" s="2" t="str">
        <f t="shared" si="13"/>
        <v>insert into CHB_DATACHECK_RULE (CHECKRULEID,DATATYPE,CHECKCLASS,CHECKMETHOD,SRCPROPERTY,COMPARETO,OBJVALUE,REMARK,STATUS,NULLABLE) values ('WH3E4A49-6810-5A9E-E050-007F01006A56','CHB_ASSET_INFO','com.joyintech.tams.common.svreport.datacheck.service.BaseCheckLib','isValidDate','VDATE','==','yyyy-MM-dd','起息日必须为日期格式（YYYY-MM-DD）。','E','Y');</v>
      </c>
    </row>
    <row r="745" spans="1:12" x14ac:dyDescent="0.15">
      <c r="A745" s="9">
        <v>744</v>
      </c>
      <c r="B745" s="21" t="s">
        <v>2323</v>
      </c>
      <c r="C745" s="23" t="s">
        <v>1484</v>
      </c>
      <c r="D745" s="22" t="s">
        <v>21</v>
      </c>
      <c r="E745" s="22" t="s">
        <v>38</v>
      </c>
      <c r="F745" s="22" t="s">
        <v>769</v>
      </c>
      <c r="G745" s="22" t="s">
        <v>25</v>
      </c>
      <c r="H745" s="21" t="s">
        <v>767</v>
      </c>
      <c r="I745" s="22" t="s">
        <v>27</v>
      </c>
      <c r="J745" s="22" t="s">
        <v>770</v>
      </c>
      <c r="K745" s="22" t="s">
        <v>24</v>
      </c>
      <c r="L745" s="2" t="str">
        <f t="shared" si="13"/>
        <v>insert into CHB_DATACHECK_RULE (CHECKRULEID,DATATYPE,CHECKCLASS,CHECKMETHOD,SRCPROPERTY,COMPARETO,OBJVALUE,REMARK,STATUS,NULLABLE) values ('WH3E4A49-6810-5A9E-E050-007F01006A57','CHB_ASSET_INFO','com.joyintech.tams.common.svreport.datacheck.service.BaseCheckLib','isValidDate','MDATE','==','yyyy-MM-dd','到期日要素必填且必须为日期格式（YYYY-MM-DD）。','E','Y');</v>
      </c>
    </row>
    <row r="746" spans="1:12" x14ac:dyDescent="0.15">
      <c r="A746" s="17">
        <v>745</v>
      </c>
      <c r="B746" s="21" t="s">
        <v>2324</v>
      </c>
      <c r="C746" s="23" t="s">
        <v>1484</v>
      </c>
      <c r="D746" s="22" t="s">
        <v>21</v>
      </c>
      <c r="E746" s="22" t="s">
        <v>39</v>
      </c>
      <c r="F746" s="22" t="s">
        <v>769</v>
      </c>
      <c r="G746" s="22" t="s">
        <v>35</v>
      </c>
      <c r="H746" s="21" t="s">
        <v>766</v>
      </c>
      <c r="I746" s="22" t="s">
        <v>27</v>
      </c>
      <c r="J746" s="22" t="s">
        <v>771</v>
      </c>
      <c r="K746" s="22" t="s">
        <v>24</v>
      </c>
      <c r="L746" s="2" t="str">
        <f t="shared" si="13"/>
        <v>insert into CHB_DATACHECK_RULE (CHECKRULEID,DATATYPE,CHECKCLASS,CHECKMETHOD,SRCPROPERTY,COMPARETO,OBJVALUE,REMARK,STATUS,NULLABLE) values ('WH3E4A49-6810-5A9E-E050-007F01006A58','CHB_ASSET_INFO','com.joyintech.tams.common.svreport.datacheck.service.BaseCheckLib','compareProperty','MDATE','&gt;=','VDATE','到期日必须大于等于起息日。','E','Y');</v>
      </c>
    </row>
    <row r="747" spans="1:12" x14ac:dyDescent="0.15">
      <c r="A747" s="9">
        <v>746</v>
      </c>
      <c r="B747" s="21" t="s">
        <v>2325</v>
      </c>
      <c r="C747" s="23" t="s">
        <v>1484</v>
      </c>
      <c r="D747" s="22" t="s">
        <v>21</v>
      </c>
      <c r="E747" s="22" t="s">
        <v>32</v>
      </c>
      <c r="F747" s="22" t="s">
        <v>965</v>
      </c>
      <c r="G747" s="22"/>
      <c r="H747" s="21" t="s">
        <v>36</v>
      </c>
      <c r="I747" s="22" t="s">
        <v>23</v>
      </c>
      <c r="J747" s="22" t="s">
        <v>966</v>
      </c>
      <c r="K747" s="22" t="s">
        <v>24</v>
      </c>
      <c r="L747" s="2" t="str">
        <f t="shared" si="13"/>
        <v>insert into CHB_DATACHECK_RULE (CHECKRULEID,DATATYPE,CHECKCLASS,CHECKMETHOD,SRCPROPERTY,COMPARETO,OBJVALUE,REMARK,STATUS,NULLABLE) values ('WH3E4A49-6810-5A9E-E050-007F01006A59','CHB_ASSET_INFO','com.joyintech.tams.common.svreport.datacheck.service.BaseCheckLib','isNumber2','ASSET_VALUE','','15,2','资产价值不可为空且为(15,2)格式','E','N');</v>
      </c>
    </row>
    <row r="748" spans="1:12" x14ac:dyDescent="0.15">
      <c r="A748" s="17">
        <v>747</v>
      </c>
      <c r="B748" s="21" t="s">
        <v>2326</v>
      </c>
      <c r="C748" s="23" t="s">
        <v>1484</v>
      </c>
      <c r="D748" s="22" t="s">
        <v>21</v>
      </c>
      <c r="E748" s="22" t="s">
        <v>28</v>
      </c>
      <c r="F748" s="22" t="s">
        <v>969</v>
      </c>
      <c r="G748" s="22"/>
      <c r="H748" s="21" t="s">
        <v>29</v>
      </c>
      <c r="I748" s="22" t="s">
        <v>27</v>
      </c>
      <c r="J748" s="22" t="s">
        <v>970</v>
      </c>
      <c r="K748" s="22" t="s">
        <v>24</v>
      </c>
      <c r="L748" s="2" t="str">
        <f t="shared" si="13"/>
        <v>insert into CHB_DATACHECK_RULE (CHECKRULEID,DATATYPE,CHECKCLASS,CHECKMETHOD,SRCPROPERTY,COMPARETO,OBJVALUE,REMARK,STATUS,NULLABLE) values ('WH3E4A49-6810-5A9E-E050-007F01006A69','CHB_ASSET_INFO','com.joyintech.tams.common.svreport.datacheck.service.BaseCheckLib','isNumber','TERM_DATE','','5,0','期限（天）必须为n..5格式。','E','Y');</v>
      </c>
    </row>
    <row r="749" spans="1:12" x14ac:dyDescent="0.15">
      <c r="A749" s="9">
        <v>748</v>
      </c>
      <c r="B749" s="21" t="s">
        <v>2327</v>
      </c>
      <c r="C749" s="23" t="s">
        <v>1484</v>
      </c>
      <c r="D749" s="22" t="s">
        <v>21</v>
      </c>
      <c r="E749" s="22" t="s">
        <v>22</v>
      </c>
      <c r="F749" s="22" t="s">
        <v>892</v>
      </c>
      <c r="G749" s="22"/>
      <c r="H749" s="21"/>
      <c r="I749" s="22" t="s">
        <v>23</v>
      </c>
      <c r="J749" s="22" t="s">
        <v>989</v>
      </c>
      <c r="K749" s="22" t="s">
        <v>24</v>
      </c>
      <c r="L749" s="2" t="str">
        <f t="shared" si="13"/>
        <v>insert into CHB_DATACHECK_RULE (CHECKRULEID,DATATYPE,CHECKCLASS,CHECKMETHOD,SRCPROPERTY,COMPARETO,OBJVALUE,REMARK,STATUS,NULLABLE) values ('WH3E4A49-6810-5A9E-E050-007F01006A97','CHB_ASSET_INFO','com.joyintech.tams.common.svreport.datacheck.service.BaseCheckLib','isNotEmpty','INVEST_STAGE','','','投资阶段要素必填。','E','N');</v>
      </c>
    </row>
    <row r="750" spans="1:12" x14ac:dyDescent="0.15">
      <c r="A750" s="17">
        <v>749</v>
      </c>
      <c r="B750" s="21" t="s">
        <v>2343</v>
      </c>
      <c r="C750" s="23" t="s">
        <v>1484</v>
      </c>
      <c r="D750" s="22" t="s">
        <v>21</v>
      </c>
      <c r="E750" s="22" t="s">
        <v>22</v>
      </c>
      <c r="F750" s="22" t="s">
        <v>910</v>
      </c>
      <c r="G750" s="22"/>
      <c r="H750" s="21"/>
      <c r="I750" s="22" t="s">
        <v>23</v>
      </c>
      <c r="J750" s="22" t="s">
        <v>1080</v>
      </c>
      <c r="K750" s="22" t="s">
        <v>24</v>
      </c>
      <c r="L750" s="2" t="str">
        <f t="shared" si="13"/>
        <v>insert into CHB_DATACHECK_RULE (CHECKRULEID,DATATYPE,CHECKCLASS,CHECKMETHOD,SRCPROPERTY,COMPARETO,OBJVALUE,REMARK,STATUS,NULLABLE) values ('WH4807E5-DF1C-D920-E050-007F010177FD','CHB_ASSET_INFO','com.joyintech.tams.common.svreport.datacheck.service.BaseCheckLib','isNotEmpty','ASSET_TYPE2','','','资产/负债二级类别要素不能为空','E','N');</v>
      </c>
    </row>
    <row r="751" spans="1:12" x14ac:dyDescent="0.15">
      <c r="A751" s="9">
        <v>750</v>
      </c>
      <c r="B751" s="21" t="s">
        <v>2329</v>
      </c>
      <c r="C751" s="23" t="s">
        <v>1484</v>
      </c>
      <c r="D751" s="22" t="s">
        <v>21</v>
      </c>
      <c r="E751" s="22" t="s">
        <v>62</v>
      </c>
      <c r="F751" s="22" t="s">
        <v>844</v>
      </c>
      <c r="G751" s="22" t="s">
        <v>35</v>
      </c>
      <c r="H751" s="21" t="s">
        <v>2330</v>
      </c>
      <c r="I751" s="22" t="s">
        <v>23</v>
      </c>
      <c r="J751" s="22" t="s">
        <v>1121</v>
      </c>
      <c r="K751" s="22" t="s">
        <v>24</v>
      </c>
      <c r="L751" s="2" t="str">
        <f t="shared" si="13"/>
        <v>insert into CHB_DATACHECK_RULE (CHECKRULEID,DATATYPE,CHECKCLASS,CHECKMETHOD,SRCPROPERTY,COMPARETO,OBJVALUE,REMARK,STATUS,NULLABLE) values ('WH4807E5-DF43-D920-E050-007F010077FD','CHB_ASSET_INFO','com.joyintech.tams.common.svreport.datacheck.service.BaseCheckLib','lessThanCharLength','REPAY_CMT','&gt;=','201','还本付息情况说明要素不可为空且不可超过200','E','N');</v>
      </c>
    </row>
    <row r="752" spans="1:12" x14ac:dyDescent="0.15">
      <c r="A752" s="17">
        <v>751</v>
      </c>
      <c r="B752" s="21" t="s">
        <v>2344</v>
      </c>
      <c r="C752" s="23" t="s">
        <v>1484</v>
      </c>
      <c r="D752" s="22" t="s">
        <v>21</v>
      </c>
      <c r="E752" s="22" t="s">
        <v>949</v>
      </c>
      <c r="F752" s="22" t="s">
        <v>1268</v>
      </c>
      <c r="G752" s="22" t="s">
        <v>936</v>
      </c>
      <c r="H752" s="21" t="s">
        <v>1262</v>
      </c>
      <c r="I752" s="22" t="s">
        <v>27</v>
      </c>
      <c r="J752" s="22" t="s">
        <v>1482</v>
      </c>
      <c r="K752" s="22" t="s">
        <v>24</v>
      </c>
      <c r="L752" s="2" t="str">
        <f t="shared" si="13"/>
        <v>insert into CHB_DATACHECK_RULE (CHECKRULEID,DATATYPE,CHECKCLASS,CHECKMETHOD,SRCPROPERTY,COMPARETO,OBJVALUE,REMARK,STATUS,NULLABLE) values ('WH4807E5-DFAE-D920-E050-007F010077FD','CHB_ASSET_INFO','com.joyintech.tams.common.svreport.datacheck.service.BaseCheckLib','comparePropertyAsNumber','MIN_REMAIN_TERM','&lt;=','REMAIN_TERM','最短剩余期限（天）≤加权剩余期限（天）','E','Y');</v>
      </c>
    </row>
    <row r="753" spans="1:12" x14ac:dyDescent="0.15">
      <c r="A753" s="9">
        <v>752</v>
      </c>
      <c r="B753" s="21" t="s">
        <v>762</v>
      </c>
      <c r="C753" s="23" t="s">
        <v>1484</v>
      </c>
      <c r="D753" s="22" t="s">
        <v>21</v>
      </c>
      <c r="E753" s="22" t="s">
        <v>48</v>
      </c>
      <c r="F753" s="22" t="s">
        <v>1155</v>
      </c>
      <c r="G753" s="22"/>
      <c r="H753" s="21" t="s">
        <v>63</v>
      </c>
      <c r="I753" s="22" t="s">
        <v>27</v>
      </c>
      <c r="J753" s="22" t="s">
        <v>1483</v>
      </c>
      <c r="K753" s="22" t="s">
        <v>24</v>
      </c>
      <c r="L753" s="2" t="str">
        <f t="shared" si="13"/>
        <v>insert into CHB_DATACHECK_RULE (CHECKRULEID,DATATYPE,CHECKCLASS,CHECKMETHOD,SRCPROPERTY,COMPARETO,OBJVALUE,REMARK,STATUS,NULLABLE) values ('We294A49-6813-5A9E-E050-107F01006B23','CHB_ASSET_INFO','com.joyintech.tams.common.svreport.datacheck.service.BaseCheckLib','isCustomizedString','TRUSTEE','','^[\u4e00-\u9fa5\ue815-\ue864\uff01-\uff5e\uffe0-\uffe5\u3000-\u3003\u3005-\u3017\u301d-\u301e\u2010\u2013-\u2016\u2018-\u2019\u201c-\u201d\u2025-\u2026\u2030\u2032-\u2033\u2035\u203b\u00b7\u0030-\u0039\u0041-\u005a\u0061-\u007a\u2160-\u216b\u0020-\u0026\u0028-\u007B\u007D\u007E]{0,}$','受托人必须填写白名单中的文字。','E','Y');</v>
      </c>
    </row>
    <row r="754" spans="1:12" s="27" customFormat="1" x14ac:dyDescent="0.15">
      <c r="A754" s="17">
        <v>753</v>
      </c>
      <c r="B754" s="24" t="s">
        <v>2374</v>
      </c>
      <c r="C754" s="25" t="s">
        <v>1484</v>
      </c>
      <c r="D754" s="26" t="s">
        <v>21</v>
      </c>
      <c r="E754" s="26" t="s">
        <v>30</v>
      </c>
      <c r="F754" s="26" t="s">
        <v>2362</v>
      </c>
      <c r="G754" s="26" t="s">
        <v>25</v>
      </c>
      <c r="H754" s="24" t="s">
        <v>2367</v>
      </c>
      <c r="I754" s="26" t="s">
        <v>27</v>
      </c>
      <c r="J754" s="26" t="s">
        <v>2369</v>
      </c>
      <c r="K754" s="26" t="s">
        <v>24</v>
      </c>
      <c r="L754" s="19" t="str">
        <f t="shared" si="13"/>
        <v>insert into CHB_DATACHECK_RULE (CHECKRULEID,DATATYPE,CHECKCLASS,CHECKMETHOD,SRCPROPERTY,COMPARETO,OBJVALUE,REMARK,STATUS,NULLABLE) values ('We294A49-6813-5A9E-E050-107F01006B24','CHB_ASSET_INFO','com.joyintech.tams.common.svreport.datacheck.service.BaseCheckLib','inDatadict','BLN_AREA','==','BLN_AREA','境内外不在值域范围内','E','Y');</v>
      </c>
    </row>
    <row r="755" spans="1:12" s="27" customFormat="1" x14ac:dyDescent="0.15">
      <c r="A755" s="9">
        <v>754</v>
      </c>
      <c r="B755" s="24" t="s">
        <v>2372</v>
      </c>
      <c r="C755" s="25" t="s">
        <v>1484</v>
      </c>
      <c r="D755" s="26" t="s">
        <v>21</v>
      </c>
      <c r="E755" s="26" t="s">
        <v>30</v>
      </c>
      <c r="F755" s="26" t="s">
        <v>2363</v>
      </c>
      <c r="G755" s="26" t="s">
        <v>25</v>
      </c>
      <c r="H755" s="24" t="s">
        <v>2365</v>
      </c>
      <c r="I755" s="26" t="s">
        <v>27</v>
      </c>
      <c r="J755" s="26" t="s">
        <v>2370</v>
      </c>
      <c r="K755" s="26" t="s">
        <v>24</v>
      </c>
      <c r="L755" s="19" t="str">
        <f t="shared" si="13"/>
        <v>insert into CHB_DATACHECK_RULE (CHECKRULEID,DATATYPE,CHECKCLASS,CHECKMETHOD,SRCPROPERTY,COMPARETO,OBJVALUE,REMARK,STATUS,NULLABLE) values ('We294A49-6813-5A9E-E050-107F01006B25','CHB_ASSET_INFO','com.joyintech.tams.common.svreport.datacheck.service.BaseCheckLib','inDatadict','PRIVATEPRD_FLAG','==','SVR_YES_OR_NO','是否投向金融资产投资公司发行的私募资产管理产品不在值域范围内','E','Y');</v>
      </c>
    </row>
    <row r="756" spans="1:12" s="27" customFormat="1" x14ac:dyDescent="0.15">
      <c r="A756" s="17">
        <v>755</v>
      </c>
      <c r="B756" s="24" t="s">
        <v>2373</v>
      </c>
      <c r="C756" s="25" t="s">
        <v>1484</v>
      </c>
      <c r="D756" s="26" t="s">
        <v>21</v>
      </c>
      <c r="E756" s="26" t="s">
        <v>30</v>
      </c>
      <c r="F756" s="26" t="s">
        <v>2364</v>
      </c>
      <c r="G756" s="26" t="s">
        <v>25</v>
      </c>
      <c r="H756" s="24" t="s">
        <v>2366</v>
      </c>
      <c r="I756" s="26" t="s">
        <v>27</v>
      </c>
      <c r="J756" s="26" t="s">
        <v>2371</v>
      </c>
      <c r="K756" s="26" t="s">
        <v>24</v>
      </c>
      <c r="L756" s="19" t="str">
        <f t="shared" si="13"/>
        <v>insert into CHB_DATACHECK_RULE (CHECKRULEID,DATATYPE,CHECKCLASS,CHECKMETHOD,SRCPROPERTY,COMPARETO,OBJVALUE,REMARK,STATUS,NULLABLE) values ('We294A49-6813-5A9E-E050-107F01006B26','CHB_ASSET_INFO','com.joyintech.tams.common.svreport.datacheck.service.BaseCheckLib','inDatadict','PRIVATEFUND_FLAG','==','SVR_YES_OR_NO','是否投向金融资产投资公司或其附属机构发行的私募股权投资基金不在值域范围内','E','Y');</v>
      </c>
    </row>
    <row r="757" spans="1:12" s="35" customFormat="1" x14ac:dyDescent="0.15">
      <c r="A757" s="9">
        <v>756</v>
      </c>
      <c r="B757" s="31" t="s">
        <v>2425</v>
      </c>
      <c r="C757" s="32" t="s">
        <v>1484</v>
      </c>
      <c r="D757" s="33" t="s">
        <v>21</v>
      </c>
      <c r="E757" s="33" t="s">
        <v>30</v>
      </c>
      <c r="F757" s="33" t="s">
        <v>2422</v>
      </c>
      <c r="G757" s="33" t="s">
        <v>25</v>
      </c>
      <c r="H757" s="31" t="s">
        <v>2423</v>
      </c>
      <c r="I757" s="33" t="s">
        <v>23</v>
      </c>
      <c r="J757" s="33" t="s">
        <v>2424</v>
      </c>
      <c r="K757" s="33" t="s">
        <v>24</v>
      </c>
      <c r="L757" s="34" t="str">
        <f t="shared" ref="L757:L779" si="14">CONCATENATE("insert into CHB_DATACHECK_RULE (CHECKRULEID,DATATYPE,CHECKCLASS,CHECKMETHOD,SRCPROPERTY,COMPARETO,OBJVALUE,REMARK,STATUS,NULLABLE) values ('",B757,"','",C757,"','",D757,"','",E757,"','",F757,"','",G757,"','",H757,"','",J757,"','",K757,"','",I757,"');")</f>
        <v>insert into CHB_DATACHECK_RULE (CHECKRULEID,DATATYPE,CHECKCLASS,CHECKMETHOD,SRCPROPERTY,COMPARETO,OBJVALUE,REMARK,STATUS,NULLABLE) values ('We294A49-6813-5A9E-E050-107F01006B27','CHB_ASSET_INFO','com.joyintech.tams.common.svreport.datacheck.service.BaseCheckLib','inDatadict','INDUSTRY','==','INSTITUTION_INDUSTRY_FIRST_LEVEL','发行机构所属行业一级分类要素不可为空，且必须在值域范围内。','E','N');</v>
      </c>
    </row>
    <row r="758" spans="1:12" s="35" customFormat="1" x14ac:dyDescent="0.15">
      <c r="A758" s="17">
        <v>757</v>
      </c>
      <c r="B758" s="31" t="s">
        <v>2426</v>
      </c>
      <c r="C758" s="32" t="s">
        <v>1484</v>
      </c>
      <c r="D758" s="33" t="s">
        <v>21</v>
      </c>
      <c r="E758" s="33" t="s">
        <v>30</v>
      </c>
      <c r="F758" s="33" t="s">
        <v>2422</v>
      </c>
      <c r="G758" s="33" t="s">
        <v>25</v>
      </c>
      <c r="H758" s="31" t="s">
        <v>2423</v>
      </c>
      <c r="I758" s="33" t="s">
        <v>23</v>
      </c>
      <c r="J758" s="33" t="s">
        <v>2424</v>
      </c>
      <c r="K758" s="33" t="s">
        <v>24</v>
      </c>
      <c r="L758" s="34" t="str">
        <f t="shared" si="14"/>
        <v>insert into CHB_DATACHECK_RULE (CHECKRULEID,DATATYPE,CHECKCLASS,CHECKMETHOD,SRCPROPERTY,COMPARETO,OBJVALUE,REMARK,STATUS,NULLABLE) values ('We294A49-6813-5A9E-E050-107F01006B28','CHB_ASSET_INFO','com.joyintech.tams.common.svreport.datacheck.service.BaseCheckLib','inDatadict','INDUSTRY','==','INSTITUTION_INDUSTRY_FIRST_LEVEL','发行机构所属行业一级分类要素不可为空，且必须在值域范围内。','E','N');</v>
      </c>
    </row>
    <row r="759" spans="1:12" s="35" customFormat="1" x14ac:dyDescent="0.15">
      <c r="A759" s="9">
        <v>758</v>
      </c>
      <c r="B759" s="31" t="s">
        <v>2430</v>
      </c>
      <c r="C759" s="32" t="s">
        <v>1484</v>
      </c>
      <c r="D759" s="33" t="s">
        <v>21</v>
      </c>
      <c r="E759" s="33" t="s">
        <v>22</v>
      </c>
      <c r="F759" s="33" t="s">
        <v>2429</v>
      </c>
      <c r="G759" s="33"/>
      <c r="H759" s="31"/>
      <c r="I759" s="33" t="s">
        <v>23</v>
      </c>
      <c r="J759" s="33" t="s">
        <v>2445</v>
      </c>
      <c r="K759" s="33" t="s">
        <v>24</v>
      </c>
      <c r="L759" s="34" t="str">
        <f>CONCATENATE("insert into CHB_DATACHECK_RULE (CHECKRULEID,DATATYPE,CHECKCLASS,CHECKMETHOD,SRCPROPERTY,COMPARETO,OBJVALUE,REMARK,STATUS,NULLABLE) values ('",B759,"','",C759,"','",D759,"','",E759,"','",F759,"','",G759,"','",H759,"','",J759,"','",K759,"','",I759,"');")</f>
        <v>insert into CHB_DATACHECK_RULE (CHECKRULEID,DATATYPE,CHECKCLASS,CHECKMETHOD,SRCPROPERTY,COMPARETO,OBJVALUE,REMARK,STATUS,NULLABLE) values ('We294A49-6813-5A9E-E050-107F01006B29','CHB_ASSET_INFO','com.joyintech.tams.common.svreport.datacheck.service.BaseCheckLib','isNotEmpty','INDUSTRY_SHARES','','','行业一级分类要素不可为空。','E','N');</v>
      </c>
    </row>
    <row r="760" spans="1:12" s="35" customFormat="1" x14ac:dyDescent="0.15">
      <c r="A760" s="17">
        <v>759</v>
      </c>
      <c r="B760" s="31" t="s">
        <v>2431</v>
      </c>
      <c r="C760" s="32" t="s">
        <v>1484</v>
      </c>
      <c r="D760" s="33" t="s">
        <v>21</v>
      </c>
      <c r="E760" s="33" t="s">
        <v>30</v>
      </c>
      <c r="F760" s="33" t="s">
        <v>2429</v>
      </c>
      <c r="G760" s="33" t="s">
        <v>25</v>
      </c>
      <c r="H760" s="31" t="s">
        <v>2423</v>
      </c>
      <c r="I760" s="33" t="s">
        <v>27</v>
      </c>
      <c r="J760" s="33" t="s">
        <v>2444</v>
      </c>
      <c r="K760" s="33" t="s">
        <v>24</v>
      </c>
      <c r="L760" s="34" t="str">
        <f t="shared" si="14"/>
        <v>insert into CHB_DATACHECK_RULE (CHECKRULEID,DATATYPE,CHECKCLASS,CHECKMETHOD,SRCPROPERTY,COMPARETO,OBJVALUE,REMARK,STATUS,NULLABLE) values ('We294A49-6813-5A9E-E050-107F01006B30','CHB_ASSET_INFO','com.joyintech.tams.common.svreport.datacheck.service.BaseCheckLib','inDatadict','INDUSTRY_SHARES','==','INSTITUTION_INDUSTRY_FIRST_LEVEL','行业一级分类不在值域范围内。','E','Y');</v>
      </c>
    </row>
    <row r="761" spans="1:12" s="35" customFormat="1" x14ac:dyDescent="0.15">
      <c r="A761" s="9">
        <v>760</v>
      </c>
      <c r="B761" s="31" t="s">
        <v>2432</v>
      </c>
      <c r="C761" s="32" t="s">
        <v>1484</v>
      </c>
      <c r="D761" s="33" t="s">
        <v>21</v>
      </c>
      <c r="E761" s="33" t="s">
        <v>30</v>
      </c>
      <c r="F761" s="33" t="s">
        <v>2429</v>
      </c>
      <c r="G761" s="33" t="s">
        <v>25</v>
      </c>
      <c r="H761" s="31" t="s">
        <v>2423</v>
      </c>
      <c r="I761" s="33" t="s">
        <v>27</v>
      </c>
      <c r="J761" s="33" t="s">
        <v>2444</v>
      </c>
      <c r="K761" s="33" t="s">
        <v>24</v>
      </c>
      <c r="L761" s="34" t="str">
        <f t="shared" si="14"/>
        <v>insert into CHB_DATACHECK_RULE (CHECKRULEID,DATATYPE,CHECKCLASS,CHECKMETHOD,SRCPROPERTY,COMPARETO,OBJVALUE,REMARK,STATUS,NULLABLE) values ('We294A49-6813-5A9E-E050-107F01006B31','CHB_ASSET_INFO','com.joyintech.tams.common.svreport.datacheck.service.BaseCheckLib','inDatadict','INDUSTRY_SHARES','==','INSTITUTION_INDUSTRY_FIRST_LEVEL','行业一级分类不在值域范围内。','E','Y');</v>
      </c>
    </row>
    <row r="762" spans="1:12" s="35" customFormat="1" x14ac:dyDescent="0.15">
      <c r="A762" s="17">
        <v>761</v>
      </c>
      <c r="B762" s="31" t="s">
        <v>2433</v>
      </c>
      <c r="C762" s="32" t="s">
        <v>1484</v>
      </c>
      <c r="D762" s="33" t="s">
        <v>21</v>
      </c>
      <c r="E762" s="33" t="s">
        <v>22</v>
      </c>
      <c r="F762" s="33" t="s">
        <v>2429</v>
      </c>
      <c r="G762" s="33"/>
      <c r="H762" s="31"/>
      <c r="I762" s="33" t="s">
        <v>23</v>
      </c>
      <c r="J762" s="33" t="s">
        <v>2445</v>
      </c>
      <c r="K762" s="33" t="s">
        <v>24</v>
      </c>
      <c r="L762" s="34" t="str">
        <f t="shared" si="14"/>
        <v>insert into CHB_DATACHECK_RULE (CHECKRULEID,DATATYPE,CHECKCLASS,CHECKMETHOD,SRCPROPERTY,COMPARETO,OBJVALUE,REMARK,STATUS,NULLABLE) values ('We294A49-6813-5A9E-E050-107F01006B32','CHB_ASSET_INFO','com.joyintech.tams.common.svreport.datacheck.service.BaseCheckLib','isNotEmpty','INDUSTRY_SHARES','','','行业一级分类要素不可为空。','E','N');</v>
      </c>
    </row>
    <row r="763" spans="1:12" s="35" customFormat="1" x14ac:dyDescent="0.15">
      <c r="A763" s="9">
        <v>762</v>
      </c>
      <c r="B763" s="31" t="s">
        <v>2434</v>
      </c>
      <c r="C763" s="32" t="s">
        <v>1484</v>
      </c>
      <c r="D763" s="33" t="s">
        <v>21</v>
      </c>
      <c r="E763" s="33" t="s">
        <v>22</v>
      </c>
      <c r="F763" s="33" t="s">
        <v>2429</v>
      </c>
      <c r="G763" s="33"/>
      <c r="H763" s="31"/>
      <c r="I763" s="33" t="s">
        <v>23</v>
      </c>
      <c r="J763" s="33" t="s">
        <v>2445</v>
      </c>
      <c r="K763" s="33" t="s">
        <v>24</v>
      </c>
      <c r="L763" s="34" t="str">
        <f t="shared" si="14"/>
        <v>insert into CHB_DATACHECK_RULE (CHECKRULEID,DATATYPE,CHECKCLASS,CHECKMETHOD,SRCPROPERTY,COMPARETO,OBJVALUE,REMARK,STATUS,NULLABLE) values ('We294A49-6813-5A9E-E050-107F01006B33','CHB_ASSET_INFO','com.joyintech.tams.common.svreport.datacheck.service.BaseCheckLib','isNotEmpty','INDUSTRY_SHARES','','','行业一级分类要素不可为空。','E','N');</v>
      </c>
    </row>
    <row r="764" spans="1:12" s="35" customFormat="1" x14ac:dyDescent="0.15">
      <c r="A764" s="17">
        <v>763</v>
      </c>
      <c r="B764" s="31" t="s">
        <v>2435</v>
      </c>
      <c r="C764" s="32" t="s">
        <v>1484</v>
      </c>
      <c r="D764" s="33" t="s">
        <v>21</v>
      </c>
      <c r="E764" s="33" t="s">
        <v>30</v>
      </c>
      <c r="F764" s="33" t="s">
        <v>2429</v>
      </c>
      <c r="G764" s="33" t="s">
        <v>25</v>
      </c>
      <c r="H764" s="31" t="s">
        <v>2423</v>
      </c>
      <c r="I764" s="33" t="s">
        <v>27</v>
      </c>
      <c r="J764" s="33" t="s">
        <v>2444</v>
      </c>
      <c r="K764" s="33" t="s">
        <v>24</v>
      </c>
      <c r="L764" s="34" t="str">
        <f t="shared" si="14"/>
        <v>insert into CHB_DATACHECK_RULE (CHECKRULEID,DATATYPE,CHECKCLASS,CHECKMETHOD,SRCPROPERTY,COMPARETO,OBJVALUE,REMARK,STATUS,NULLABLE) values ('We294A49-6813-5A9E-E050-107F01006B34','CHB_ASSET_INFO','com.joyintech.tams.common.svreport.datacheck.service.BaseCheckLib','inDatadict','INDUSTRY_SHARES','==','INSTITUTION_INDUSTRY_FIRST_LEVEL','行业一级分类不在值域范围内。','E','Y');</v>
      </c>
    </row>
    <row r="765" spans="1:12" s="35" customFormat="1" x14ac:dyDescent="0.15">
      <c r="A765" s="9">
        <v>764</v>
      </c>
      <c r="B765" s="31" t="s">
        <v>2436</v>
      </c>
      <c r="C765" s="32" t="s">
        <v>1484</v>
      </c>
      <c r="D765" s="33" t="s">
        <v>21</v>
      </c>
      <c r="E765" s="33" t="s">
        <v>22</v>
      </c>
      <c r="F765" s="33" t="s">
        <v>2429</v>
      </c>
      <c r="G765" s="33"/>
      <c r="H765" s="31"/>
      <c r="I765" s="33" t="s">
        <v>23</v>
      </c>
      <c r="J765" s="33" t="s">
        <v>2445</v>
      </c>
      <c r="K765" s="33" t="s">
        <v>24</v>
      </c>
      <c r="L765" s="34" t="str">
        <f t="shared" si="14"/>
        <v>insert into CHB_DATACHECK_RULE (CHECKRULEID,DATATYPE,CHECKCLASS,CHECKMETHOD,SRCPROPERTY,COMPARETO,OBJVALUE,REMARK,STATUS,NULLABLE) values ('We294A49-6813-5A9E-E050-107F01006B35','CHB_ASSET_INFO','com.joyintech.tams.common.svreport.datacheck.service.BaseCheckLib','isNotEmpty','INDUSTRY_SHARES','','','行业一级分类要素不可为空。','E','N');</v>
      </c>
    </row>
    <row r="766" spans="1:12" s="35" customFormat="1" x14ac:dyDescent="0.15">
      <c r="A766" s="17">
        <v>765</v>
      </c>
      <c r="B766" s="31" t="s">
        <v>2437</v>
      </c>
      <c r="C766" s="32" t="s">
        <v>1484</v>
      </c>
      <c r="D766" s="33" t="s">
        <v>21</v>
      </c>
      <c r="E766" s="33" t="s">
        <v>30</v>
      </c>
      <c r="F766" s="33" t="s">
        <v>2429</v>
      </c>
      <c r="G766" s="33" t="s">
        <v>25</v>
      </c>
      <c r="H766" s="31" t="s">
        <v>2423</v>
      </c>
      <c r="I766" s="33" t="s">
        <v>27</v>
      </c>
      <c r="J766" s="33" t="s">
        <v>2444</v>
      </c>
      <c r="K766" s="33" t="s">
        <v>24</v>
      </c>
      <c r="L766" s="34" t="str">
        <f t="shared" si="14"/>
        <v>insert into CHB_DATACHECK_RULE (CHECKRULEID,DATATYPE,CHECKCLASS,CHECKMETHOD,SRCPROPERTY,COMPARETO,OBJVALUE,REMARK,STATUS,NULLABLE) values ('We294A49-6813-5A9E-E050-107F01006B36','CHB_ASSET_INFO','com.joyintech.tams.common.svreport.datacheck.service.BaseCheckLib','inDatadict','INDUSTRY_SHARES','==','INSTITUTION_INDUSTRY_FIRST_LEVEL','行业一级分类不在值域范围内。','E','Y');</v>
      </c>
    </row>
    <row r="767" spans="1:12" s="35" customFormat="1" x14ac:dyDescent="0.15">
      <c r="A767" s="9">
        <v>766</v>
      </c>
      <c r="B767" s="31" t="s">
        <v>2438</v>
      </c>
      <c r="C767" s="32" t="s">
        <v>1484</v>
      </c>
      <c r="D767" s="33" t="s">
        <v>21</v>
      </c>
      <c r="E767" s="33" t="s">
        <v>22</v>
      </c>
      <c r="F767" s="33" t="s">
        <v>2442</v>
      </c>
      <c r="G767" s="33"/>
      <c r="H767" s="31"/>
      <c r="I767" s="33" t="s">
        <v>23</v>
      </c>
      <c r="J767" s="33" t="s">
        <v>2446</v>
      </c>
      <c r="K767" s="33" t="s">
        <v>24</v>
      </c>
      <c r="L767" s="34" t="str">
        <f t="shared" si="14"/>
        <v>insert into CHB_DATACHECK_RULE (CHECKRULEID,DATATYPE,CHECKCLASS,CHECKMETHOD,SRCPROPERTY,COMPARETO,OBJVALUE,REMARK,STATUS,NULLABLE) values ('We294A49-6813-5A9E-E050-107F01006B37','CHB_ASSET_INFO','com.joyintech.tams.common.svreport.datacheck.service.BaseCheckLib','isNotEmpty','PRO_INDUSTRY','','','融资项目所属行业一级分类要素不可为空。','E','N');</v>
      </c>
    </row>
    <row r="768" spans="1:12" s="35" customFormat="1" x14ac:dyDescent="0.15">
      <c r="A768" s="17">
        <v>767</v>
      </c>
      <c r="B768" s="31" t="s">
        <v>2439</v>
      </c>
      <c r="C768" s="32" t="s">
        <v>1484</v>
      </c>
      <c r="D768" s="33" t="s">
        <v>21</v>
      </c>
      <c r="E768" s="33" t="s">
        <v>30</v>
      </c>
      <c r="F768" s="33" t="s">
        <v>2443</v>
      </c>
      <c r="G768" s="33"/>
      <c r="H768" s="31" t="s">
        <v>2423</v>
      </c>
      <c r="I768" s="33" t="s">
        <v>27</v>
      </c>
      <c r="J768" s="33" t="s">
        <v>2447</v>
      </c>
      <c r="K768" s="33" t="s">
        <v>24</v>
      </c>
      <c r="L768" s="34" t="str">
        <f t="shared" si="14"/>
        <v>insert into CHB_DATACHECK_RULE (CHECKRULEID,DATATYPE,CHECKCLASS,CHECKMETHOD,SRCPROPERTY,COMPARETO,OBJVALUE,REMARK,STATUS,NULLABLE) values ('We294A49-6813-5A9E-E050-107F01006B38','CHB_ASSET_INFO','com.joyintech.tams.common.svreport.datacheck.service.BaseCheckLib','inDatadict','PRO_INDUSTRY','','INSTITUTION_INDUSTRY_FIRST_LEVEL','融资项目所属行业一级分类不在值域范围内。','E','Y');</v>
      </c>
    </row>
    <row r="769" spans="1:12" s="35" customFormat="1" x14ac:dyDescent="0.15">
      <c r="A769" s="9">
        <v>768</v>
      </c>
      <c r="B769" s="31" t="s">
        <v>2440</v>
      </c>
      <c r="C769" s="32" t="s">
        <v>1484</v>
      </c>
      <c r="D769" s="33" t="s">
        <v>21</v>
      </c>
      <c r="E769" s="33" t="s">
        <v>22</v>
      </c>
      <c r="F769" s="33" t="s">
        <v>2443</v>
      </c>
      <c r="G769" s="33"/>
      <c r="H769" s="31"/>
      <c r="I769" s="33" t="s">
        <v>23</v>
      </c>
      <c r="J769" s="33" t="s">
        <v>2446</v>
      </c>
      <c r="K769" s="33" t="s">
        <v>24</v>
      </c>
      <c r="L769" s="34" t="str">
        <f t="shared" si="14"/>
        <v>insert into CHB_DATACHECK_RULE (CHECKRULEID,DATATYPE,CHECKCLASS,CHECKMETHOD,SRCPROPERTY,COMPARETO,OBJVALUE,REMARK,STATUS,NULLABLE) values ('We294A49-6813-5A9E-E050-107F01006B39','CHB_ASSET_INFO','com.joyintech.tams.common.svreport.datacheck.service.BaseCheckLib','isNotEmpty','PRO_INDUSTRY','','','融资项目所属行业一级分类要素不可为空。','E','N');</v>
      </c>
    </row>
    <row r="770" spans="1:12" s="35" customFormat="1" x14ac:dyDescent="0.15">
      <c r="A770" s="17">
        <v>769</v>
      </c>
      <c r="B770" s="31" t="s">
        <v>2441</v>
      </c>
      <c r="C770" s="32" t="s">
        <v>1484</v>
      </c>
      <c r="D770" s="33" t="s">
        <v>21</v>
      </c>
      <c r="E770" s="33" t="s">
        <v>30</v>
      </c>
      <c r="F770" s="33" t="s">
        <v>2443</v>
      </c>
      <c r="G770" s="33"/>
      <c r="H770" s="31" t="s">
        <v>2423</v>
      </c>
      <c r="I770" s="33" t="s">
        <v>27</v>
      </c>
      <c r="J770" s="33" t="s">
        <v>2447</v>
      </c>
      <c r="K770" s="33" t="s">
        <v>24</v>
      </c>
      <c r="L770" s="34" t="str">
        <f t="shared" si="14"/>
        <v>insert into CHB_DATACHECK_RULE (CHECKRULEID,DATATYPE,CHECKCLASS,CHECKMETHOD,SRCPROPERTY,COMPARETO,OBJVALUE,REMARK,STATUS,NULLABLE) values ('We294A49-6813-5A9E-E050-107F01006B40','CHB_ASSET_INFO','com.joyintech.tams.common.svreport.datacheck.service.BaseCheckLib','inDatadict','PRO_INDUSTRY','','INSTITUTION_INDUSTRY_FIRST_LEVEL','融资项目所属行业一级分类不在值域范围内。','E','Y');</v>
      </c>
    </row>
    <row r="771" spans="1:12" s="35" customFormat="1" x14ac:dyDescent="0.15">
      <c r="A771" s="9">
        <v>770</v>
      </c>
      <c r="B771" s="31" t="s">
        <v>2451</v>
      </c>
      <c r="C771" s="32" t="s">
        <v>1484</v>
      </c>
      <c r="D771" s="33" t="s">
        <v>21</v>
      </c>
      <c r="E771" s="33" t="s">
        <v>22</v>
      </c>
      <c r="F771" s="33" t="s">
        <v>2448</v>
      </c>
      <c r="G771" s="33"/>
      <c r="H771" s="31"/>
      <c r="I771" s="33" t="s">
        <v>23</v>
      </c>
      <c r="J771" s="33" t="s">
        <v>2450</v>
      </c>
      <c r="K771" s="33" t="s">
        <v>24</v>
      </c>
      <c r="L771" s="34" t="str">
        <f t="shared" si="14"/>
        <v>insert into CHB_DATACHECK_RULE (CHECKRULEID,DATATYPE,CHECKCLASS,CHECKMETHOD,SRCPROPERTY,COMPARETO,OBJVALUE,REMARK,STATUS,NULLABLE) values ('We294A49-6813-5A9E-E050-107F01006B41','CHB_ASSET_INFO','com.joyintech.tams.common.svreport.datacheck.service.BaseCheckLib','isNotEmpty','INDUSTRY1','','','融资人所属行业一级分类要素不可为空。','E','N');</v>
      </c>
    </row>
    <row r="772" spans="1:12" s="35" customFormat="1" x14ac:dyDescent="0.15">
      <c r="A772" s="17">
        <v>771</v>
      </c>
      <c r="B772" s="31" t="s">
        <v>2452</v>
      </c>
      <c r="C772" s="32" t="s">
        <v>1484</v>
      </c>
      <c r="D772" s="33" t="s">
        <v>21</v>
      </c>
      <c r="E772" s="33" t="s">
        <v>30</v>
      </c>
      <c r="F772" s="33" t="s">
        <v>2448</v>
      </c>
      <c r="G772" s="33"/>
      <c r="H772" s="31" t="s">
        <v>2423</v>
      </c>
      <c r="I772" s="33" t="s">
        <v>27</v>
      </c>
      <c r="J772" s="33" t="s">
        <v>2497</v>
      </c>
      <c r="K772" s="33" t="s">
        <v>24</v>
      </c>
      <c r="L772" s="34" t="str">
        <f t="shared" si="14"/>
        <v>insert into CHB_DATACHECK_RULE (CHECKRULEID,DATATYPE,CHECKCLASS,CHECKMETHOD,SRCPROPERTY,COMPARETO,OBJVALUE,REMARK,STATUS,NULLABLE) values ('We294A49-6813-5A9E-E050-107F01006B42','CHB_ASSET_INFO','com.joyintech.tams.common.svreport.datacheck.service.BaseCheckLib','inDatadict','INDUSTRY1','','INSTITUTION_INDUSTRY_FIRST_LEVEL','融资人所属行业一级分类不在值域范围内。','E','Y');</v>
      </c>
    </row>
    <row r="773" spans="1:12" s="35" customFormat="1" x14ac:dyDescent="0.15">
      <c r="A773" s="9">
        <v>772</v>
      </c>
      <c r="B773" s="31" t="s">
        <v>2453</v>
      </c>
      <c r="C773" s="32" t="s">
        <v>1484</v>
      </c>
      <c r="D773" s="33" t="s">
        <v>21</v>
      </c>
      <c r="E773" s="33" t="s">
        <v>22</v>
      </c>
      <c r="F773" s="33" t="s">
        <v>2448</v>
      </c>
      <c r="G773" s="33"/>
      <c r="H773" s="31"/>
      <c r="I773" s="33" t="s">
        <v>23</v>
      </c>
      <c r="J773" s="33" t="s">
        <v>2450</v>
      </c>
      <c r="K773" s="33" t="s">
        <v>24</v>
      </c>
      <c r="L773" s="34" t="str">
        <f t="shared" si="14"/>
        <v>insert into CHB_DATACHECK_RULE (CHECKRULEID,DATATYPE,CHECKCLASS,CHECKMETHOD,SRCPROPERTY,COMPARETO,OBJVALUE,REMARK,STATUS,NULLABLE) values ('We294A49-6813-5A9E-E050-107F01006B43','CHB_ASSET_INFO','com.joyintech.tams.common.svreport.datacheck.service.BaseCheckLib','isNotEmpty','INDUSTRY1','','','融资人所属行业一级分类要素不可为空。','E','N');</v>
      </c>
    </row>
    <row r="774" spans="1:12" s="35" customFormat="1" x14ac:dyDescent="0.15">
      <c r="A774" s="17">
        <v>773</v>
      </c>
      <c r="B774" s="31" t="s">
        <v>2454</v>
      </c>
      <c r="C774" s="32" t="s">
        <v>1484</v>
      </c>
      <c r="D774" s="33" t="s">
        <v>21</v>
      </c>
      <c r="E774" s="33" t="s">
        <v>30</v>
      </c>
      <c r="F774" s="33" t="s">
        <v>2448</v>
      </c>
      <c r="G774" s="33"/>
      <c r="H774" s="31" t="s">
        <v>2423</v>
      </c>
      <c r="I774" s="33" t="s">
        <v>27</v>
      </c>
      <c r="J774" s="33" t="s">
        <v>2449</v>
      </c>
      <c r="K774" s="33" t="s">
        <v>24</v>
      </c>
      <c r="L774" s="34" t="str">
        <f t="shared" si="14"/>
        <v>insert into CHB_DATACHECK_RULE (CHECKRULEID,DATATYPE,CHECKCLASS,CHECKMETHOD,SRCPROPERTY,COMPARETO,OBJVALUE,REMARK,STATUS,NULLABLE) values ('We294A49-6813-5A9E-E050-107F01006B44','CHB_ASSET_INFO','com.joyintech.tams.common.svreport.datacheck.service.BaseCheckLib','inDatadict','INDUSTRY1','','INSTITUTION_INDUSTRY_FIRST_LEVEL','融资人所属行业一级分类不在值域范围内。','E','Y');</v>
      </c>
    </row>
    <row r="775" spans="1:12" s="35" customFormat="1" x14ac:dyDescent="0.15">
      <c r="A775" s="9">
        <v>774</v>
      </c>
      <c r="B775" s="31" t="s">
        <v>2458</v>
      </c>
      <c r="C775" s="32" t="s">
        <v>1484</v>
      </c>
      <c r="D775" s="33" t="s">
        <v>21</v>
      </c>
      <c r="E775" s="33" t="s">
        <v>22</v>
      </c>
      <c r="F775" s="33" t="s">
        <v>2456</v>
      </c>
      <c r="G775" s="33"/>
      <c r="H775" s="31"/>
      <c r="I775" s="33" t="s">
        <v>23</v>
      </c>
      <c r="J775" s="33" t="s">
        <v>2461</v>
      </c>
      <c r="K775" s="33" t="s">
        <v>24</v>
      </c>
      <c r="L775" s="34" t="str">
        <f t="shared" si="14"/>
        <v>insert into CHB_DATACHECK_RULE (CHECKRULEID,DATATYPE,CHECKCLASS,CHECKMETHOD,SRCPROPERTY,COMPARETO,OBJVALUE,REMARK,STATUS,NULLABLE) values ('We294A49-6813-5A9E-E050-107F01006B45','CHB_ASSET_INFO','com.joyintech.tams.common.svreport.datacheck.service.BaseCheckLib','isNotEmpty','CAP_USE_INDU','','','资金运用行业一级分类要素不可为空。','E','N');</v>
      </c>
    </row>
    <row r="776" spans="1:12" s="35" customFormat="1" x14ac:dyDescent="0.15">
      <c r="A776" s="17">
        <v>775</v>
      </c>
      <c r="B776" s="31" t="s">
        <v>2459</v>
      </c>
      <c r="C776" s="32" t="s">
        <v>1484</v>
      </c>
      <c r="D776" s="33" t="s">
        <v>21</v>
      </c>
      <c r="E776" s="33" t="s">
        <v>22</v>
      </c>
      <c r="F776" s="33" t="s">
        <v>2456</v>
      </c>
      <c r="G776" s="33"/>
      <c r="H776" s="31"/>
      <c r="I776" s="33" t="s">
        <v>23</v>
      </c>
      <c r="J776" s="33" t="s">
        <v>2461</v>
      </c>
      <c r="K776" s="33" t="s">
        <v>24</v>
      </c>
      <c r="L776" s="34" t="str">
        <f t="shared" si="14"/>
        <v>insert into CHB_DATACHECK_RULE (CHECKRULEID,DATATYPE,CHECKCLASS,CHECKMETHOD,SRCPROPERTY,COMPARETO,OBJVALUE,REMARK,STATUS,NULLABLE) values ('We294A49-6813-5A9E-E050-107F01006B46','CHB_ASSET_INFO','com.joyintech.tams.common.svreport.datacheck.service.BaseCheckLib','isNotEmpty','CAP_USE_INDU','','','资金运用行业一级分类要素不可为空。','E','N');</v>
      </c>
    </row>
    <row r="777" spans="1:12" s="35" customFormat="1" x14ac:dyDescent="0.15">
      <c r="A777" s="9">
        <v>776</v>
      </c>
      <c r="B777" s="31" t="s">
        <v>2460</v>
      </c>
      <c r="C777" s="32" t="s">
        <v>1484</v>
      </c>
      <c r="D777" s="33" t="s">
        <v>21</v>
      </c>
      <c r="E777" s="33" t="s">
        <v>30</v>
      </c>
      <c r="F777" s="33" t="s">
        <v>2456</v>
      </c>
      <c r="G777" s="33" t="s">
        <v>35</v>
      </c>
      <c r="H777" s="31" t="s">
        <v>2423</v>
      </c>
      <c r="I777" s="33" t="s">
        <v>27</v>
      </c>
      <c r="J777" s="33" t="s">
        <v>2462</v>
      </c>
      <c r="K777" s="33" t="s">
        <v>24</v>
      </c>
      <c r="L777" s="34" t="str">
        <f t="shared" si="14"/>
        <v>insert into CHB_DATACHECK_RULE (CHECKRULEID,DATATYPE,CHECKCLASS,CHECKMETHOD,SRCPROPERTY,COMPARETO,OBJVALUE,REMARK,STATUS,NULLABLE) values ('We294A49-6813-5A9E-E050-107F01006B47','CHB_ASSET_INFO','com.joyintech.tams.common.svreport.datacheck.service.BaseCheckLib','inDatadict','CAP_USE_INDU','&gt;=','INSTITUTION_INDUSTRY_FIRST_LEVEL','资金运用行业一级分类不在值域范围内。','E','Y');</v>
      </c>
    </row>
    <row r="778" spans="1:12" x14ac:dyDescent="0.15">
      <c r="A778" s="9">
        <v>777</v>
      </c>
      <c r="B778" s="21" t="s">
        <v>2477</v>
      </c>
      <c r="C778" s="23" t="s">
        <v>1484</v>
      </c>
      <c r="D778" s="22" t="s">
        <v>21</v>
      </c>
      <c r="E778" s="22" t="s">
        <v>62</v>
      </c>
      <c r="F778" s="22" t="s">
        <v>2488</v>
      </c>
      <c r="G778" s="22" t="s">
        <v>25</v>
      </c>
      <c r="H778" s="21" t="s">
        <v>26</v>
      </c>
      <c r="I778" s="22" t="s">
        <v>27</v>
      </c>
      <c r="J778" s="22" t="s">
        <v>2473</v>
      </c>
      <c r="K778" s="22" t="s">
        <v>24</v>
      </c>
      <c r="L778" s="2" t="str">
        <f t="shared" si="14"/>
        <v>insert into CHB_DATACHECK_RULE (CHECKRULEID,DATATYPE,CHECKCLASS,CHECKMETHOD,SRCPROPERTY,COMPARETO,OBJVALUE,REMARK,STATUS,NULLABLE) values ('We294A49-6813-5A9E-E050-107F01006B48','CHB_ASSET_INFO','com.joyintech.tams.common.svreport.datacheck.service.BaseCheckLib','lessThanCharLength','IN_ASSET_TYPE_CMM','==','0','行内资产类别说明要素必须为空。','E','Y');</v>
      </c>
    </row>
    <row r="779" spans="1:12" x14ac:dyDescent="0.15">
      <c r="A779" s="17">
        <v>778</v>
      </c>
      <c r="B779" s="21" t="s">
        <v>2467</v>
      </c>
      <c r="C779" s="11" t="s">
        <v>1484</v>
      </c>
      <c r="D779" s="11" t="s">
        <v>21</v>
      </c>
      <c r="E779" s="11" t="s">
        <v>48</v>
      </c>
      <c r="F779" s="11" t="s">
        <v>858</v>
      </c>
      <c r="H779" s="12" t="s">
        <v>63</v>
      </c>
      <c r="I779" s="10" t="s">
        <v>27</v>
      </c>
      <c r="J779" s="10" t="s">
        <v>859</v>
      </c>
      <c r="K779" s="10" t="s">
        <v>24</v>
      </c>
      <c r="L779" s="2" t="str">
        <f t="shared" si="14"/>
        <v>insert into CHB_DATACHECK_RULE (CHECKRULEID,DATATYPE,CHECKCLASS,CHECKMETHOD,SRCPROPERTY,COMPARETO,OBJVALUE,REMARK,STATUS,NULLABLE) values ('We294A49-6813-5A9E-E050-107F01006B49','CHB_ASSET_INFO','com.joyintech.tams.common.svreport.datacheck.service.BaseCheckLib','isCustomizedString','GUA_TYPE_REMARK','','^[\u4e00-\u9fa5\ue815-\ue864\uff01-\uff5e\uffe0-\uffe5\u3000-\u3003\u3005-\u3017\u301d-\u301e\u2010\u2013-\u2016\u2018-\u2019\u201c-\u201d\u2025-\u2026\u2030\u2032-\u2033\u2035\u203b\u00b7\u0030-\u0039\u0041-\u005a\u0061-\u007a\u2160-\u216b\u0020-\u0026\u0028-\u007B\u007D\u007E]{0,}$','担保情况说明必须填写白名单中的文字。','E','Y');</v>
      </c>
    </row>
    <row r="780" spans="1:12" x14ac:dyDescent="0.15">
      <c r="A780" s="9">
        <v>779</v>
      </c>
      <c r="B780" s="21" t="s">
        <v>2493</v>
      </c>
      <c r="C780" s="11" t="s">
        <v>1484</v>
      </c>
      <c r="D780" s="22" t="s">
        <v>21</v>
      </c>
      <c r="E780" s="22" t="s">
        <v>38</v>
      </c>
      <c r="F780" s="22" t="s">
        <v>1306</v>
      </c>
      <c r="G780" s="22" t="s">
        <v>25</v>
      </c>
      <c r="H780" s="21" t="s">
        <v>767</v>
      </c>
      <c r="I780" s="22" t="s">
        <v>27</v>
      </c>
      <c r="J780" s="22" t="s">
        <v>2492</v>
      </c>
      <c r="K780" s="22" t="s">
        <v>24</v>
      </c>
      <c r="L780" s="2" t="str">
        <f t="shared" ref="L780:L786" si="15">CONCATENATE("insert into CHB_DATACHECK_RULE (CHECKRULEID,DATATYPE,CHECKCLASS,CHECKMETHOD,SRCPROPERTY,COMPARETO,OBJVALUE,REMARK,STATUS,NULLABLE) values ('",B780,"','",C780,"','",D780,"','",E780,"','",F780,"','",G780,"','",H780,"','",J780,"','",K780,"','",I780,"');")</f>
        <v>insert into CHB_DATACHECK_RULE (CHECKRULEID,DATATYPE,CHECKCLASS,CHECKMETHOD,SRCPROPERTY,COMPARETO,OBJVALUE,REMARK,STATUS,NULLABLE) values ('We294A49-6813-5A9E-E050-107F01006B50','CHB_ASSET_INFO','com.joyintech.tams.common.svreport.datacheck.service.BaseCheckLib','isValidDate','FIRST_EXERCISE_DATE','==','yyyy-MM-dd','首次行权日期必须为日期格式（YYYY-MM-DD）。','E','Y');</v>
      </c>
    </row>
    <row r="781" spans="1:12" s="27" customFormat="1" x14ac:dyDescent="0.15">
      <c r="A781" s="17">
        <v>780</v>
      </c>
      <c r="B781" s="24" t="s">
        <v>2519</v>
      </c>
      <c r="C781" s="25" t="s">
        <v>1484</v>
      </c>
      <c r="D781" s="25" t="s">
        <v>21</v>
      </c>
      <c r="E781" s="26" t="s">
        <v>30</v>
      </c>
      <c r="F781" s="25" t="s">
        <v>2494</v>
      </c>
      <c r="G781" s="26" t="s">
        <v>25</v>
      </c>
      <c r="H781" s="38" t="s">
        <v>2495</v>
      </c>
      <c r="I781" s="27" t="s">
        <v>2496</v>
      </c>
      <c r="J781" s="27" t="s">
        <v>2498</v>
      </c>
      <c r="K781" s="22" t="s">
        <v>24</v>
      </c>
      <c r="L781" s="2" t="str">
        <f t="shared" si="15"/>
        <v>insert into CHB_DATACHECK_RULE (CHECKRULEID,DATATYPE,CHECKCLASS,CHECKMETHOD,SRCPROPERTY,COMPARETO,OBJVALUE,REMARK,STATUS,NULLABLE) values ('We294A49-6813-5A9E-E050-107F01006B51','CHB_ASSET_INFO','com.joyintech.tams.common.svreport.datacheck.service.BaseCheckLib','inDatadict','IS_FBZB','==','SVR_YES_OR_NO','是否非标转标资产不在值域范围内。','E','Y');</v>
      </c>
    </row>
    <row r="782" spans="1:12" s="27" customFormat="1" x14ac:dyDescent="0.15">
      <c r="A782" s="9">
        <v>781</v>
      </c>
      <c r="B782" s="24" t="s">
        <v>2499</v>
      </c>
      <c r="C782" s="25" t="s">
        <v>1484</v>
      </c>
      <c r="D782" s="25" t="s">
        <v>21</v>
      </c>
      <c r="E782" s="26" t="s">
        <v>62</v>
      </c>
      <c r="F782" s="25" t="s">
        <v>2494</v>
      </c>
      <c r="G782" s="26" t="s">
        <v>25</v>
      </c>
      <c r="H782" s="38" t="s">
        <v>26</v>
      </c>
      <c r="I782" s="27" t="s">
        <v>27</v>
      </c>
      <c r="J782" s="27" t="s">
        <v>2506</v>
      </c>
      <c r="K782" s="22" t="s">
        <v>24</v>
      </c>
      <c r="L782" s="2" t="str">
        <f t="shared" si="15"/>
        <v>insert into CHB_DATACHECK_RULE (CHECKRULEID,DATATYPE,CHECKCLASS,CHECKMETHOD,SRCPROPERTY,COMPARETO,OBJVALUE,REMARK,STATUS,NULLABLE) values ('We294A49-6813-5A9E-E050-107F01006B52','CHB_ASSET_INFO','com.joyintech.tams.common.svreport.datacheck.service.BaseCheckLib','lessThanCharLength','IS_FBZB','==','0','是否非标转标资产必须为空。','E','Y');</v>
      </c>
    </row>
    <row r="783" spans="1:12" s="27" customFormat="1" x14ac:dyDescent="0.15">
      <c r="A783" s="17">
        <v>782</v>
      </c>
      <c r="B783" s="24" t="s">
        <v>2487</v>
      </c>
      <c r="C783" s="25" t="s">
        <v>1484</v>
      </c>
      <c r="D783" s="25" t="s">
        <v>21</v>
      </c>
      <c r="E783" s="26" t="s">
        <v>30</v>
      </c>
      <c r="F783" s="25" t="s">
        <v>2503</v>
      </c>
      <c r="G783" s="26" t="s">
        <v>25</v>
      </c>
      <c r="H783" s="38" t="s">
        <v>2495</v>
      </c>
      <c r="I783" s="27" t="s">
        <v>2496</v>
      </c>
      <c r="J783" s="27" t="s">
        <v>2505</v>
      </c>
      <c r="K783" s="22" t="s">
        <v>24</v>
      </c>
      <c r="L783" s="2" t="str">
        <f t="shared" si="15"/>
        <v>insert into CHB_DATACHECK_RULE (CHECKRULEID,DATATYPE,CHECKCLASS,CHECKMETHOD,SRCPROPERTY,COMPARETO,OBJVALUE,REMARK,STATUS,NULLABLE) values ('We294A49-6813-5A9E-E050-107F01006B53','CHB_ASSET_INFO','com.joyintech.tams.common.svreport.datacheck.service.BaseCheckLib','inDatadict','BANK_SEC_ZXZQ','==','SVR_YES_OR_NO','是否专项债券不在值域范围内。','E','Y');</v>
      </c>
    </row>
    <row r="784" spans="1:12" s="27" customFormat="1" x14ac:dyDescent="0.15">
      <c r="A784" s="9">
        <v>783</v>
      </c>
      <c r="B784" s="24" t="s">
        <v>2500</v>
      </c>
      <c r="C784" s="25" t="s">
        <v>1484</v>
      </c>
      <c r="D784" s="25" t="s">
        <v>21</v>
      </c>
      <c r="E784" s="26" t="s">
        <v>22</v>
      </c>
      <c r="F784" s="25" t="s">
        <v>2504</v>
      </c>
      <c r="G784" s="26" t="s">
        <v>25</v>
      </c>
      <c r="H784" s="38" t="s">
        <v>26</v>
      </c>
      <c r="I784" s="27" t="s">
        <v>2508</v>
      </c>
      <c r="J784" s="27" t="s">
        <v>2507</v>
      </c>
      <c r="K784" s="22" t="s">
        <v>24</v>
      </c>
      <c r="L784" s="2" t="str">
        <f t="shared" si="15"/>
        <v>insert into CHB_DATACHECK_RULE (CHECKRULEID,DATATYPE,CHECKCLASS,CHECKMETHOD,SRCPROPERTY,COMPARETO,OBJVALUE,REMARK,STATUS,NULLABLE) values ('We294A49-6813-5A9E-E050-107F01006B54','CHB_ASSET_INFO','com.joyintech.tams.common.svreport.datacheck.service.BaseCheckLib','isNotEmpty','BANK_SEC_ZXZQ','==','0','是否专项债券不可为空。','E','N');</v>
      </c>
    </row>
    <row r="785" spans="1:12" s="27" customFormat="1" x14ac:dyDescent="0.15">
      <c r="A785" s="17">
        <v>784</v>
      </c>
      <c r="B785" s="24" t="s">
        <v>2509</v>
      </c>
      <c r="C785" s="25" t="s">
        <v>1484</v>
      </c>
      <c r="D785" s="25" t="s">
        <v>21</v>
      </c>
      <c r="E785" s="26" t="s">
        <v>30</v>
      </c>
      <c r="F785" s="25" t="s">
        <v>2512</v>
      </c>
      <c r="G785" s="26" t="s">
        <v>25</v>
      </c>
      <c r="H785" s="38" t="s">
        <v>2495</v>
      </c>
      <c r="I785" s="27" t="s">
        <v>2496</v>
      </c>
      <c r="J785" s="27" t="s">
        <v>2514</v>
      </c>
      <c r="K785" s="22" t="s">
        <v>24</v>
      </c>
      <c r="L785" s="2" t="str">
        <f t="shared" si="15"/>
        <v>insert into CHB_DATACHECK_RULE (CHECKRULEID,DATATYPE,CHECKCLASS,CHECKMETHOD,SRCPROPERTY,COMPARETO,OBJVALUE,REMARK,STATUS,NULLABLE) values ('We294A49-6813-5A9E-E050-107F01006B55','CHB_ASSET_INFO','com.joyintech.tams.common.svreport.datacheck.service.BaseCheckLib','inDatadict','IS_BZHPJ','==','SVR_YES_OR_NO','是否标准化票据不在值域范围内。','E','Y');</v>
      </c>
    </row>
    <row r="786" spans="1:12" s="27" customFormat="1" x14ac:dyDescent="0.15">
      <c r="A786" s="9">
        <v>785</v>
      </c>
      <c r="B786" s="24" t="s">
        <v>2516</v>
      </c>
      <c r="C786" s="25" t="s">
        <v>1484</v>
      </c>
      <c r="D786" s="25" t="s">
        <v>21</v>
      </c>
      <c r="E786" s="26" t="s">
        <v>22</v>
      </c>
      <c r="F786" s="25" t="s">
        <v>2513</v>
      </c>
      <c r="G786" s="26" t="s">
        <v>25</v>
      </c>
      <c r="H786" s="38" t="s">
        <v>26</v>
      </c>
      <c r="I786" s="27" t="s">
        <v>2508</v>
      </c>
      <c r="J786" s="27" t="s">
        <v>2515</v>
      </c>
      <c r="K786" s="22" t="s">
        <v>24</v>
      </c>
      <c r="L786" s="2" t="str">
        <f t="shared" si="15"/>
        <v>insert into CHB_DATACHECK_RULE (CHECKRULEID,DATATYPE,CHECKCLASS,CHECKMETHOD,SRCPROPERTY,COMPARETO,OBJVALUE,REMARK,STATUS,NULLABLE) values ('We294A49-6813-5A9E-E050-107F01006B56','CHB_ASSET_INFO','com.joyintech.tams.common.svreport.datacheck.service.BaseCheckLib','isNotEmpty','IS_BZHPJ','==','0','是否标准化票据不可为空。','E','N');</v>
      </c>
    </row>
  </sheetData>
  <autoFilter ref="A2:WVI786"/>
  <mergeCells count="1">
    <mergeCell ref="B3:K3"/>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2"/>
  <sheetViews>
    <sheetView topLeftCell="A647" workbookViewId="0">
      <selection activeCell="C647" sqref="C647"/>
    </sheetView>
  </sheetViews>
  <sheetFormatPr defaultColWidth="7.19921875" defaultRowHeight="18.75" x14ac:dyDescent="0.25"/>
  <cols>
    <col min="1" max="1" width="7.19921875" style="3"/>
    <col min="2" max="3" width="27.8984375" style="3" bestFit="1" customWidth="1"/>
    <col min="4" max="4" width="16.5" style="3" customWidth="1"/>
    <col min="5" max="5" width="9.5" style="3" customWidth="1"/>
    <col min="6" max="6" width="11.19921875" style="3" customWidth="1"/>
    <col min="7" max="7" width="7.19921875" style="4"/>
    <col min="8" max="8" width="12.3984375" style="4" customWidth="1"/>
    <col min="9" max="9" width="14.19921875" style="3" customWidth="1"/>
    <col min="10" max="257" width="7.19921875" style="3"/>
    <col min="258" max="258" width="17.796875" style="3" customWidth="1"/>
    <col min="259" max="259" width="7.19921875" style="3"/>
    <col min="260" max="260" width="12.3984375" style="3" customWidth="1"/>
    <col min="261" max="261" width="9.5" style="3" customWidth="1"/>
    <col min="262" max="262" width="11.19921875" style="3" customWidth="1"/>
    <col min="263" max="513" width="7.19921875" style="3"/>
    <col min="514" max="514" width="17.796875" style="3" customWidth="1"/>
    <col min="515" max="515" width="7.19921875" style="3"/>
    <col min="516" max="516" width="12.3984375" style="3" customWidth="1"/>
    <col min="517" max="517" width="9.5" style="3" customWidth="1"/>
    <col min="518" max="518" width="11.19921875" style="3" customWidth="1"/>
    <col min="519" max="769" width="7.19921875" style="3"/>
    <col min="770" max="770" width="17.796875" style="3" customWidth="1"/>
    <col min="771" max="771" width="7.19921875" style="3"/>
    <col min="772" max="772" width="12.3984375" style="3" customWidth="1"/>
    <col min="773" max="773" width="9.5" style="3" customWidth="1"/>
    <col min="774" max="774" width="11.19921875" style="3" customWidth="1"/>
    <col min="775" max="1025" width="7.19921875" style="3"/>
    <col min="1026" max="1026" width="17.796875" style="3" customWidth="1"/>
    <col min="1027" max="1027" width="7.19921875" style="3"/>
    <col min="1028" max="1028" width="12.3984375" style="3" customWidth="1"/>
    <col min="1029" max="1029" width="9.5" style="3" customWidth="1"/>
    <col min="1030" max="1030" width="11.19921875" style="3" customWidth="1"/>
    <col min="1031" max="1281" width="7.19921875" style="3"/>
    <col min="1282" max="1282" width="17.796875" style="3" customWidth="1"/>
    <col min="1283" max="1283" width="7.19921875" style="3"/>
    <col min="1284" max="1284" width="12.3984375" style="3" customWidth="1"/>
    <col min="1285" max="1285" width="9.5" style="3" customWidth="1"/>
    <col min="1286" max="1286" width="11.19921875" style="3" customWidth="1"/>
    <col min="1287" max="1537" width="7.19921875" style="3"/>
    <col min="1538" max="1538" width="17.796875" style="3" customWidth="1"/>
    <col min="1539" max="1539" width="7.19921875" style="3"/>
    <col min="1540" max="1540" width="12.3984375" style="3" customWidth="1"/>
    <col min="1541" max="1541" width="9.5" style="3" customWidth="1"/>
    <col min="1542" max="1542" width="11.19921875" style="3" customWidth="1"/>
    <col min="1543" max="1793" width="7.19921875" style="3"/>
    <col min="1794" max="1794" width="17.796875" style="3" customWidth="1"/>
    <col min="1795" max="1795" width="7.19921875" style="3"/>
    <col min="1796" max="1796" width="12.3984375" style="3" customWidth="1"/>
    <col min="1797" max="1797" width="9.5" style="3" customWidth="1"/>
    <col min="1798" max="1798" width="11.19921875" style="3" customWidth="1"/>
    <col min="1799" max="2049" width="7.19921875" style="3"/>
    <col min="2050" max="2050" width="17.796875" style="3" customWidth="1"/>
    <col min="2051" max="2051" width="7.19921875" style="3"/>
    <col min="2052" max="2052" width="12.3984375" style="3" customWidth="1"/>
    <col min="2053" max="2053" width="9.5" style="3" customWidth="1"/>
    <col min="2054" max="2054" width="11.19921875" style="3" customWidth="1"/>
    <col min="2055" max="2305" width="7.19921875" style="3"/>
    <col min="2306" max="2306" width="17.796875" style="3" customWidth="1"/>
    <col min="2307" max="2307" width="7.19921875" style="3"/>
    <col min="2308" max="2308" width="12.3984375" style="3" customWidth="1"/>
    <col min="2309" max="2309" width="9.5" style="3" customWidth="1"/>
    <col min="2310" max="2310" width="11.19921875" style="3" customWidth="1"/>
    <col min="2311" max="2561" width="7.19921875" style="3"/>
    <col min="2562" max="2562" width="17.796875" style="3" customWidth="1"/>
    <col min="2563" max="2563" width="7.19921875" style="3"/>
    <col min="2564" max="2564" width="12.3984375" style="3" customWidth="1"/>
    <col min="2565" max="2565" width="9.5" style="3" customWidth="1"/>
    <col min="2566" max="2566" width="11.19921875" style="3" customWidth="1"/>
    <col min="2567" max="2817" width="7.19921875" style="3"/>
    <col min="2818" max="2818" width="17.796875" style="3" customWidth="1"/>
    <col min="2819" max="2819" width="7.19921875" style="3"/>
    <col min="2820" max="2820" width="12.3984375" style="3" customWidth="1"/>
    <col min="2821" max="2821" width="9.5" style="3" customWidth="1"/>
    <col min="2822" max="2822" width="11.19921875" style="3" customWidth="1"/>
    <col min="2823" max="3073" width="7.19921875" style="3"/>
    <col min="3074" max="3074" width="17.796875" style="3" customWidth="1"/>
    <col min="3075" max="3075" width="7.19921875" style="3"/>
    <col min="3076" max="3076" width="12.3984375" style="3" customWidth="1"/>
    <col min="3077" max="3077" width="9.5" style="3" customWidth="1"/>
    <col min="3078" max="3078" width="11.19921875" style="3" customWidth="1"/>
    <col min="3079" max="3329" width="7.19921875" style="3"/>
    <col min="3330" max="3330" width="17.796875" style="3" customWidth="1"/>
    <col min="3331" max="3331" width="7.19921875" style="3"/>
    <col min="3332" max="3332" width="12.3984375" style="3" customWidth="1"/>
    <col min="3333" max="3333" width="9.5" style="3" customWidth="1"/>
    <col min="3334" max="3334" width="11.19921875" style="3" customWidth="1"/>
    <col min="3335" max="3585" width="7.19921875" style="3"/>
    <col min="3586" max="3586" width="17.796875" style="3" customWidth="1"/>
    <col min="3587" max="3587" width="7.19921875" style="3"/>
    <col min="3588" max="3588" width="12.3984375" style="3" customWidth="1"/>
    <col min="3589" max="3589" width="9.5" style="3" customWidth="1"/>
    <col min="3590" max="3590" width="11.19921875" style="3" customWidth="1"/>
    <col min="3591" max="3841" width="7.19921875" style="3"/>
    <col min="3842" max="3842" width="17.796875" style="3" customWidth="1"/>
    <col min="3843" max="3843" width="7.19921875" style="3"/>
    <col min="3844" max="3844" width="12.3984375" style="3" customWidth="1"/>
    <col min="3845" max="3845" width="9.5" style="3" customWidth="1"/>
    <col min="3846" max="3846" width="11.19921875" style="3" customWidth="1"/>
    <col min="3847" max="4097" width="7.19921875" style="3"/>
    <col min="4098" max="4098" width="17.796875" style="3" customWidth="1"/>
    <col min="4099" max="4099" width="7.19921875" style="3"/>
    <col min="4100" max="4100" width="12.3984375" style="3" customWidth="1"/>
    <col min="4101" max="4101" width="9.5" style="3" customWidth="1"/>
    <col min="4102" max="4102" width="11.19921875" style="3" customWidth="1"/>
    <col min="4103" max="4353" width="7.19921875" style="3"/>
    <col min="4354" max="4354" width="17.796875" style="3" customWidth="1"/>
    <col min="4355" max="4355" width="7.19921875" style="3"/>
    <col min="4356" max="4356" width="12.3984375" style="3" customWidth="1"/>
    <col min="4357" max="4357" width="9.5" style="3" customWidth="1"/>
    <col min="4358" max="4358" width="11.19921875" style="3" customWidth="1"/>
    <col min="4359" max="4609" width="7.19921875" style="3"/>
    <col min="4610" max="4610" width="17.796875" style="3" customWidth="1"/>
    <col min="4611" max="4611" width="7.19921875" style="3"/>
    <col min="4612" max="4612" width="12.3984375" style="3" customWidth="1"/>
    <col min="4613" max="4613" width="9.5" style="3" customWidth="1"/>
    <col min="4614" max="4614" width="11.19921875" style="3" customWidth="1"/>
    <col min="4615" max="4865" width="7.19921875" style="3"/>
    <col min="4866" max="4866" width="17.796875" style="3" customWidth="1"/>
    <col min="4867" max="4867" width="7.19921875" style="3"/>
    <col min="4868" max="4868" width="12.3984375" style="3" customWidth="1"/>
    <col min="4869" max="4869" width="9.5" style="3" customWidth="1"/>
    <col min="4870" max="4870" width="11.19921875" style="3" customWidth="1"/>
    <col min="4871" max="5121" width="7.19921875" style="3"/>
    <col min="5122" max="5122" width="17.796875" style="3" customWidth="1"/>
    <col min="5123" max="5123" width="7.19921875" style="3"/>
    <col min="5124" max="5124" width="12.3984375" style="3" customWidth="1"/>
    <col min="5125" max="5125" width="9.5" style="3" customWidth="1"/>
    <col min="5126" max="5126" width="11.19921875" style="3" customWidth="1"/>
    <col min="5127" max="5377" width="7.19921875" style="3"/>
    <col min="5378" max="5378" width="17.796875" style="3" customWidth="1"/>
    <col min="5379" max="5379" width="7.19921875" style="3"/>
    <col min="5380" max="5380" width="12.3984375" style="3" customWidth="1"/>
    <col min="5381" max="5381" width="9.5" style="3" customWidth="1"/>
    <col min="5382" max="5382" width="11.19921875" style="3" customWidth="1"/>
    <col min="5383" max="5633" width="7.19921875" style="3"/>
    <col min="5634" max="5634" width="17.796875" style="3" customWidth="1"/>
    <col min="5635" max="5635" width="7.19921875" style="3"/>
    <col min="5636" max="5636" width="12.3984375" style="3" customWidth="1"/>
    <col min="5637" max="5637" width="9.5" style="3" customWidth="1"/>
    <col min="5638" max="5638" width="11.19921875" style="3" customWidth="1"/>
    <col min="5639" max="5889" width="7.19921875" style="3"/>
    <col min="5890" max="5890" width="17.796875" style="3" customWidth="1"/>
    <col min="5891" max="5891" width="7.19921875" style="3"/>
    <col min="5892" max="5892" width="12.3984375" style="3" customWidth="1"/>
    <col min="5893" max="5893" width="9.5" style="3" customWidth="1"/>
    <col min="5894" max="5894" width="11.19921875" style="3" customWidth="1"/>
    <col min="5895" max="6145" width="7.19921875" style="3"/>
    <col min="6146" max="6146" width="17.796875" style="3" customWidth="1"/>
    <col min="6147" max="6147" width="7.19921875" style="3"/>
    <col min="6148" max="6148" width="12.3984375" style="3" customWidth="1"/>
    <col min="6149" max="6149" width="9.5" style="3" customWidth="1"/>
    <col min="6150" max="6150" width="11.19921875" style="3" customWidth="1"/>
    <col min="6151" max="6401" width="7.19921875" style="3"/>
    <col min="6402" max="6402" width="17.796875" style="3" customWidth="1"/>
    <col min="6403" max="6403" width="7.19921875" style="3"/>
    <col min="6404" max="6404" width="12.3984375" style="3" customWidth="1"/>
    <col min="6405" max="6405" width="9.5" style="3" customWidth="1"/>
    <col min="6406" max="6406" width="11.19921875" style="3" customWidth="1"/>
    <col min="6407" max="6657" width="7.19921875" style="3"/>
    <col min="6658" max="6658" width="17.796875" style="3" customWidth="1"/>
    <col min="6659" max="6659" width="7.19921875" style="3"/>
    <col min="6660" max="6660" width="12.3984375" style="3" customWidth="1"/>
    <col min="6661" max="6661" width="9.5" style="3" customWidth="1"/>
    <col min="6662" max="6662" width="11.19921875" style="3" customWidth="1"/>
    <col min="6663" max="6913" width="7.19921875" style="3"/>
    <col min="6914" max="6914" width="17.796875" style="3" customWidth="1"/>
    <col min="6915" max="6915" width="7.19921875" style="3"/>
    <col min="6916" max="6916" width="12.3984375" style="3" customWidth="1"/>
    <col min="6917" max="6917" width="9.5" style="3" customWidth="1"/>
    <col min="6918" max="6918" width="11.19921875" style="3" customWidth="1"/>
    <col min="6919" max="7169" width="7.19921875" style="3"/>
    <col min="7170" max="7170" width="17.796875" style="3" customWidth="1"/>
    <col min="7171" max="7171" width="7.19921875" style="3"/>
    <col min="7172" max="7172" width="12.3984375" style="3" customWidth="1"/>
    <col min="7173" max="7173" width="9.5" style="3" customWidth="1"/>
    <col min="7174" max="7174" width="11.19921875" style="3" customWidth="1"/>
    <col min="7175" max="7425" width="7.19921875" style="3"/>
    <col min="7426" max="7426" width="17.796875" style="3" customWidth="1"/>
    <col min="7427" max="7427" width="7.19921875" style="3"/>
    <col min="7428" max="7428" width="12.3984375" style="3" customWidth="1"/>
    <col min="7429" max="7429" width="9.5" style="3" customWidth="1"/>
    <col min="7430" max="7430" width="11.19921875" style="3" customWidth="1"/>
    <col min="7431" max="7681" width="7.19921875" style="3"/>
    <col min="7682" max="7682" width="17.796875" style="3" customWidth="1"/>
    <col min="7683" max="7683" width="7.19921875" style="3"/>
    <col min="7684" max="7684" width="12.3984375" style="3" customWidth="1"/>
    <col min="7685" max="7685" width="9.5" style="3" customWidth="1"/>
    <col min="7686" max="7686" width="11.19921875" style="3" customWidth="1"/>
    <col min="7687" max="7937" width="7.19921875" style="3"/>
    <col min="7938" max="7938" width="17.796875" style="3" customWidth="1"/>
    <col min="7939" max="7939" width="7.19921875" style="3"/>
    <col min="7940" max="7940" width="12.3984375" style="3" customWidth="1"/>
    <col min="7941" max="7941" width="9.5" style="3" customWidth="1"/>
    <col min="7942" max="7942" width="11.19921875" style="3" customWidth="1"/>
    <col min="7943" max="8193" width="7.19921875" style="3"/>
    <col min="8194" max="8194" width="17.796875" style="3" customWidth="1"/>
    <col min="8195" max="8195" width="7.19921875" style="3"/>
    <col min="8196" max="8196" width="12.3984375" style="3" customWidth="1"/>
    <col min="8197" max="8197" width="9.5" style="3" customWidth="1"/>
    <col min="8198" max="8198" width="11.19921875" style="3" customWidth="1"/>
    <col min="8199" max="8449" width="7.19921875" style="3"/>
    <col min="8450" max="8450" width="17.796875" style="3" customWidth="1"/>
    <col min="8451" max="8451" width="7.19921875" style="3"/>
    <col min="8452" max="8452" width="12.3984375" style="3" customWidth="1"/>
    <col min="8453" max="8453" width="9.5" style="3" customWidth="1"/>
    <col min="8454" max="8454" width="11.19921875" style="3" customWidth="1"/>
    <col min="8455" max="8705" width="7.19921875" style="3"/>
    <col min="8706" max="8706" width="17.796875" style="3" customWidth="1"/>
    <col min="8707" max="8707" width="7.19921875" style="3"/>
    <col min="8708" max="8708" width="12.3984375" style="3" customWidth="1"/>
    <col min="8709" max="8709" width="9.5" style="3" customWidth="1"/>
    <col min="8710" max="8710" width="11.19921875" style="3" customWidth="1"/>
    <col min="8711" max="8961" width="7.19921875" style="3"/>
    <col min="8962" max="8962" width="17.796875" style="3" customWidth="1"/>
    <col min="8963" max="8963" width="7.19921875" style="3"/>
    <col min="8964" max="8964" width="12.3984375" style="3" customWidth="1"/>
    <col min="8965" max="8965" width="9.5" style="3" customWidth="1"/>
    <col min="8966" max="8966" width="11.19921875" style="3" customWidth="1"/>
    <col min="8967" max="9217" width="7.19921875" style="3"/>
    <col min="9218" max="9218" width="17.796875" style="3" customWidth="1"/>
    <col min="9219" max="9219" width="7.19921875" style="3"/>
    <col min="9220" max="9220" width="12.3984375" style="3" customWidth="1"/>
    <col min="9221" max="9221" width="9.5" style="3" customWidth="1"/>
    <col min="9222" max="9222" width="11.19921875" style="3" customWidth="1"/>
    <col min="9223" max="9473" width="7.19921875" style="3"/>
    <col min="9474" max="9474" width="17.796875" style="3" customWidth="1"/>
    <col min="9475" max="9475" width="7.19921875" style="3"/>
    <col min="9476" max="9476" width="12.3984375" style="3" customWidth="1"/>
    <col min="9477" max="9477" width="9.5" style="3" customWidth="1"/>
    <col min="9478" max="9478" width="11.19921875" style="3" customWidth="1"/>
    <col min="9479" max="9729" width="7.19921875" style="3"/>
    <col min="9730" max="9730" width="17.796875" style="3" customWidth="1"/>
    <col min="9731" max="9731" width="7.19921875" style="3"/>
    <col min="9732" max="9732" width="12.3984375" style="3" customWidth="1"/>
    <col min="9733" max="9733" width="9.5" style="3" customWidth="1"/>
    <col min="9734" max="9734" width="11.19921875" style="3" customWidth="1"/>
    <col min="9735" max="9985" width="7.19921875" style="3"/>
    <col min="9986" max="9986" width="17.796875" style="3" customWidth="1"/>
    <col min="9987" max="9987" width="7.19921875" style="3"/>
    <col min="9988" max="9988" width="12.3984375" style="3" customWidth="1"/>
    <col min="9989" max="9989" width="9.5" style="3" customWidth="1"/>
    <col min="9990" max="9990" width="11.19921875" style="3" customWidth="1"/>
    <col min="9991" max="10241" width="7.19921875" style="3"/>
    <col min="10242" max="10242" width="17.796875" style="3" customWidth="1"/>
    <col min="10243" max="10243" width="7.19921875" style="3"/>
    <col min="10244" max="10244" width="12.3984375" style="3" customWidth="1"/>
    <col min="10245" max="10245" width="9.5" style="3" customWidth="1"/>
    <col min="10246" max="10246" width="11.19921875" style="3" customWidth="1"/>
    <col min="10247" max="10497" width="7.19921875" style="3"/>
    <col min="10498" max="10498" width="17.796875" style="3" customWidth="1"/>
    <col min="10499" max="10499" width="7.19921875" style="3"/>
    <col min="10500" max="10500" width="12.3984375" style="3" customWidth="1"/>
    <col min="10501" max="10501" width="9.5" style="3" customWidth="1"/>
    <col min="10502" max="10502" width="11.19921875" style="3" customWidth="1"/>
    <col min="10503" max="10753" width="7.19921875" style="3"/>
    <col min="10754" max="10754" width="17.796875" style="3" customWidth="1"/>
    <col min="10755" max="10755" width="7.19921875" style="3"/>
    <col min="10756" max="10756" width="12.3984375" style="3" customWidth="1"/>
    <col min="10757" max="10757" width="9.5" style="3" customWidth="1"/>
    <col min="10758" max="10758" width="11.19921875" style="3" customWidth="1"/>
    <col min="10759" max="11009" width="7.19921875" style="3"/>
    <col min="11010" max="11010" width="17.796875" style="3" customWidth="1"/>
    <col min="11011" max="11011" width="7.19921875" style="3"/>
    <col min="11012" max="11012" width="12.3984375" style="3" customWidth="1"/>
    <col min="11013" max="11013" width="9.5" style="3" customWidth="1"/>
    <col min="11014" max="11014" width="11.19921875" style="3" customWidth="1"/>
    <col min="11015" max="11265" width="7.19921875" style="3"/>
    <col min="11266" max="11266" width="17.796875" style="3" customWidth="1"/>
    <col min="11267" max="11267" width="7.19921875" style="3"/>
    <col min="11268" max="11268" width="12.3984375" style="3" customWidth="1"/>
    <col min="11269" max="11269" width="9.5" style="3" customWidth="1"/>
    <col min="11270" max="11270" width="11.19921875" style="3" customWidth="1"/>
    <col min="11271" max="11521" width="7.19921875" style="3"/>
    <col min="11522" max="11522" width="17.796875" style="3" customWidth="1"/>
    <col min="11523" max="11523" width="7.19921875" style="3"/>
    <col min="11524" max="11524" width="12.3984375" style="3" customWidth="1"/>
    <col min="11525" max="11525" width="9.5" style="3" customWidth="1"/>
    <col min="11526" max="11526" width="11.19921875" style="3" customWidth="1"/>
    <col min="11527" max="11777" width="7.19921875" style="3"/>
    <col min="11778" max="11778" width="17.796875" style="3" customWidth="1"/>
    <col min="11779" max="11779" width="7.19921875" style="3"/>
    <col min="11780" max="11780" width="12.3984375" style="3" customWidth="1"/>
    <col min="11781" max="11781" width="9.5" style="3" customWidth="1"/>
    <col min="11782" max="11782" width="11.19921875" style="3" customWidth="1"/>
    <col min="11783" max="12033" width="7.19921875" style="3"/>
    <col min="12034" max="12034" width="17.796875" style="3" customWidth="1"/>
    <col min="12035" max="12035" width="7.19921875" style="3"/>
    <col min="12036" max="12036" width="12.3984375" style="3" customWidth="1"/>
    <col min="12037" max="12037" width="9.5" style="3" customWidth="1"/>
    <col min="12038" max="12038" width="11.19921875" style="3" customWidth="1"/>
    <col min="12039" max="12289" width="7.19921875" style="3"/>
    <col min="12290" max="12290" width="17.796875" style="3" customWidth="1"/>
    <col min="12291" max="12291" width="7.19921875" style="3"/>
    <col min="12292" max="12292" width="12.3984375" style="3" customWidth="1"/>
    <col min="12293" max="12293" width="9.5" style="3" customWidth="1"/>
    <col min="12294" max="12294" width="11.19921875" style="3" customWidth="1"/>
    <col min="12295" max="12545" width="7.19921875" style="3"/>
    <col min="12546" max="12546" width="17.796875" style="3" customWidth="1"/>
    <col min="12547" max="12547" width="7.19921875" style="3"/>
    <col min="12548" max="12548" width="12.3984375" style="3" customWidth="1"/>
    <col min="12549" max="12549" width="9.5" style="3" customWidth="1"/>
    <col min="12550" max="12550" width="11.19921875" style="3" customWidth="1"/>
    <col min="12551" max="12801" width="7.19921875" style="3"/>
    <col min="12802" max="12802" width="17.796875" style="3" customWidth="1"/>
    <col min="12803" max="12803" width="7.19921875" style="3"/>
    <col min="12804" max="12804" width="12.3984375" style="3" customWidth="1"/>
    <col min="12805" max="12805" width="9.5" style="3" customWidth="1"/>
    <col min="12806" max="12806" width="11.19921875" style="3" customWidth="1"/>
    <col min="12807" max="13057" width="7.19921875" style="3"/>
    <col min="13058" max="13058" width="17.796875" style="3" customWidth="1"/>
    <col min="13059" max="13059" width="7.19921875" style="3"/>
    <col min="13060" max="13060" width="12.3984375" style="3" customWidth="1"/>
    <col min="13061" max="13061" width="9.5" style="3" customWidth="1"/>
    <col min="13062" max="13062" width="11.19921875" style="3" customWidth="1"/>
    <col min="13063" max="13313" width="7.19921875" style="3"/>
    <col min="13314" max="13314" width="17.796875" style="3" customWidth="1"/>
    <col min="13315" max="13315" width="7.19921875" style="3"/>
    <col min="13316" max="13316" width="12.3984375" style="3" customWidth="1"/>
    <col min="13317" max="13317" width="9.5" style="3" customWidth="1"/>
    <col min="13318" max="13318" width="11.19921875" style="3" customWidth="1"/>
    <col min="13319" max="13569" width="7.19921875" style="3"/>
    <col min="13570" max="13570" width="17.796875" style="3" customWidth="1"/>
    <col min="13571" max="13571" width="7.19921875" style="3"/>
    <col min="13572" max="13572" width="12.3984375" style="3" customWidth="1"/>
    <col min="13573" max="13573" width="9.5" style="3" customWidth="1"/>
    <col min="13574" max="13574" width="11.19921875" style="3" customWidth="1"/>
    <col min="13575" max="13825" width="7.19921875" style="3"/>
    <col min="13826" max="13826" width="17.796875" style="3" customWidth="1"/>
    <col min="13827" max="13827" width="7.19921875" style="3"/>
    <col min="13828" max="13828" width="12.3984375" style="3" customWidth="1"/>
    <col min="13829" max="13829" width="9.5" style="3" customWidth="1"/>
    <col min="13830" max="13830" width="11.19921875" style="3" customWidth="1"/>
    <col min="13831" max="14081" width="7.19921875" style="3"/>
    <col min="14082" max="14082" width="17.796875" style="3" customWidth="1"/>
    <col min="14083" max="14083" width="7.19921875" style="3"/>
    <col min="14084" max="14084" width="12.3984375" style="3" customWidth="1"/>
    <col min="14085" max="14085" width="9.5" style="3" customWidth="1"/>
    <col min="14086" max="14086" width="11.19921875" style="3" customWidth="1"/>
    <col min="14087" max="14337" width="7.19921875" style="3"/>
    <col min="14338" max="14338" width="17.796875" style="3" customWidth="1"/>
    <col min="14339" max="14339" width="7.19921875" style="3"/>
    <col min="14340" max="14340" width="12.3984375" style="3" customWidth="1"/>
    <col min="14341" max="14341" width="9.5" style="3" customWidth="1"/>
    <col min="14342" max="14342" width="11.19921875" style="3" customWidth="1"/>
    <col min="14343" max="14593" width="7.19921875" style="3"/>
    <col min="14594" max="14594" width="17.796875" style="3" customWidth="1"/>
    <col min="14595" max="14595" width="7.19921875" style="3"/>
    <col min="14596" max="14596" width="12.3984375" style="3" customWidth="1"/>
    <col min="14597" max="14597" width="9.5" style="3" customWidth="1"/>
    <col min="14598" max="14598" width="11.19921875" style="3" customWidth="1"/>
    <col min="14599" max="14849" width="7.19921875" style="3"/>
    <col min="14850" max="14850" width="17.796875" style="3" customWidth="1"/>
    <col min="14851" max="14851" width="7.19921875" style="3"/>
    <col min="14852" max="14852" width="12.3984375" style="3" customWidth="1"/>
    <col min="14853" max="14853" width="9.5" style="3" customWidth="1"/>
    <col min="14854" max="14854" width="11.19921875" style="3" customWidth="1"/>
    <col min="14855" max="15105" width="7.19921875" style="3"/>
    <col min="15106" max="15106" width="17.796875" style="3" customWidth="1"/>
    <col min="15107" max="15107" width="7.19921875" style="3"/>
    <col min="15108" max="15108" width="12.3984375" style="3" customWidth="1"/>
    <col min="15109" max="15109" width="9.5" style="3" customWidth="1"/>
    <col min="15110" max="15110" width="11.19921875" style="3" customWidth="1"/>
    <col min="15111" max="15361" width="7.19921875" style="3"/>
    <col min="15362" max="15362" width="17.796875" style="3" customWidth="1"/>
    <col min="15363" max="15363" width="7.19921875" style="3"/>
    <col min="15364" max="15364" width="12.3984375" style="3" customWidth="1"/>
    <col min="15365" max="15365" width="9.5" style="3" customWidth="1"/>
    <col min="15366" max="15366" width="11.19921875" style="3" customWidth="1"/>
    <col min="15367" max="15617" width="7.19921875" style="3"/>
    <col min="15618" max="15618" width="17.796875" style="3" customWidth="1"/>
    <col min="15619" max="15619" width="7.19921875" style="3"/>
    <col min="15620" max="15620" width="12.3984375" style="3" customWidth="1"/>
    <col min="15621" max="15621" width="9.5" style="3" customWidth="1"/>
    <col min="15622" max="15622" width="11.19921875" style="3" customWidth="1"/>
    <col min="15623" max="15873" width="7.19921875" style="3"/>
    <col min="15874" max="15874" width="17.796875" style="3" customWidth="1"/>
    <col min="15875" max="15875" width="7.19921875" style="3"/>
    <col min="15876" max="15876" width="12.3984375" style="3" customWidth="1"/>
    <col min="15877" max="15877" width="9.5" style="3" customWidth="1"/>
    <col min="15878" max="15878" width="11.19921875" style="3" customWidth="1"/>
    <col min="15879" max="16129" width="7.19921875" style="3"/>
    <col min="16130" max="16130" width="17.796875" style="3" customWidth="1"/>
    <col min="16131" max="16131" width="7.19921875" style="3"/>
    <col min="16132" max="16132" width="12.3984375" style="3" customWidth="1"/>
    <col min="16133" max="16133" width="9.5" style="3" customWidth="1"/>
    <col min="16134" max="16134" width="11.19921875" style="3" customWidth="1"/>
    <col min="16135" max="16384" width="7.19921875" style="3"/>
  </cols>
  <sheetData>
    <row r="1" spans="1:10" s="2" customFormat="1" ht="12" x14ac:dyDescent="0.25">
      <c r="B1" s="5" t="s">
        <v>49</v>
      </c>
      <c r="C1" s="5" t="s">
        <v>0</v>
      </c>
      <c r="D1" s="5" t="s">
        <v>3</v>
      </c>
      <c r="E1" s="6" t="s">
        <v>4</v>
      </c>
      <c r="F1" s="6" t="s">
        <v>5</v>
      </c>
      <c r="G1" s="7" t="s">
        <v>6</v>
      </c>
      <c r="H1" s="7" t="s">
        <v>8</v>
      </c>
      <c r="I1" s="5" t="s">
        <v>9</v>
      </c>
    </row>
    <row r="2" spans="1:10" s="2" customFormat="1" ht="24" x14ac:dyDescent="0.25">
      <c r="A2" s="8" t="s">
        <v>10</v>
      </c>
      <c r="B2" s="5" t="s">
        <v>50</v>
      </c>
      <c r="C2" s="5" t="s">
        <v>51</v>
      </c>
      <c r="D2" s="5" t="s">
        <v>14</v>
      </c>
      <c r="E2" s="6" t="s">
        <v>15</v>
      </c>
      <c r="F2" s="5" t="s">
        <v>16</v>
      </c>
      <c r="G2" s="7" t="s">
        <v>52</v>
      </c>
      <c r="H2" s="7" t="s">
        <v>19</v>
      </c>
      <c r="I2" s="5" t="s">
        <v>20</v>
      </c>
    </row>
    <row r="3" spans="1:10" s="2" customFormat="1" x14ac:dyDescent="0.25">
      <c r="A3" s="3"/>
      <c r="B3" s="39" t="s">
        <v>2375</v>
      </c>
      <c r="C3" s="39"/>
      <c r="D3" s="39"/>
      <c r="E3" s="39"/>
      <c r="F3" s="39"/>
      <c r="G3" s="39"/>
      <c r="H3" s="39"/>
      <c r="I3" s="39"/>
      <c r="J3" s="2" t="s">
        <v>1486</v>
      </c>
    </row>
    <row r="4" spans="1:10" s="10" customFormat="1" ht="12" x14ac:dyDescent="0.15">
      <c r="A4" s="17">
        <v>1</v>
      </c>
      <c r="B4" s="21" t="s">
        <v>1487</v>
      </c>
      <c r="C4" s="21" t="s">
        <v>64</v>
      </c>
      <c r="D4" s="21" t="s">
        <v>1083</v>
      </c>
      <c r="E4" s="21" t="s">
        <v>910</v>
      </c>
      <c r="F4" s="21" t="s">
        <v>25</v>
      </c>
      <c r="G4" s="21" t="s">
        <v>2033</v>
      </c>
      <c r="H4" s="21" t="s">
        <v>2034</v>
      </c>
      <c r="I4" s="21" t="s">
        <v>24</v>
      </c>
      <c r="J4" s="13" t="str">
        <f>CONCATENATE("insert into chb_datacheck_condition (CHECKCONDITIONID,CHECKRULEID,CHECKMETHOD,SRCPROPERTY,COMPARETO,OBJVALUE,REMARK,STATUS) values ('",B4,"','",C4,"','",D4,"','",E4,"','",F4,"','",G4,"','",H4,"','",I4,"');")</f>
        <v>insert into chb_datacheck_condition (CHECKCONDITIONID,CHECKRULEID,CHECKMETHOD,SRCPROPERTY,COMPARETO,OBJVALUE,REMARK,STATUS) values ('W13E4A49-6810-5A9E-E050-007F01006A22','W03E4A49-6810-5A9E-E050-007F01006A48','inArray','ASSET_TYPE2','==','1002,1003,1004,1005','当资产/负债类别为本行/他行存款||大额存单时','E');</v>
      </c>
    </row>
    <row r="5" spans="1:10" s="10" customFormat="1" ht="12" x14ac:dyDescent="0.15">
      <c r="A5" s="17">
        <v>2</v>
      </c>
      <c r="B5" s="21" t="s">
        <v>1488</v>
      </c>
      <c r="C5" s="21" t="s">
        <v>65</v>
      </c>
      <c r="D5" s="21" t="s">
        <v>1083</v>
      </c>
      <c r="E5" s="21" t="s">
        <v>910</v>
      </c>
      <c r="F5" s="21" t="s">
        <v>25</v>
      </c>
      <c r="G5" s="21" t="s">
        <v>2033</v>
      </c>
      <c r="H5" s="21" t="s">
        <v>2034</v>
      </c>
      <c r="I5" s="21" t="s">
        <v>24</v>
      </c>
      <c r="J5" s="13" t="str">
        <f t="shared" ref="J5:J68" si="0">CONCATENATE("insert into chb_datacheck_condition (CHECKCONDITIONID,CHECKRULEID,CHECKMETHOD,SRCPROPERTY,COMPARETO,OBJVALUE,REMARK,STATUS) values ('",B5,"','",C5,"','",D5,"','",E5,"','",F5,"','",G5,"','",H5,"','",I5,"');")</f>
        <v>insert into chb_datacheck_condition (CHECKCONDITIONID,CHECKRULEID,CHECKMETHOD,SRCPROPERTY,COMPARETO,OBJVALUE,REMARK,STATUS) values ('W13E4A49-6810-5A9E-E050-007F01006A23','W03E4A49-6810-5A9E-E050-007F01006A49','inArray','ASSET_TYPE2','==','1002,1003,1004,1005','当资产/负债类别为本行/他行存款||大额存单时','E');</v>
      </c>
    </row>
    <row r="6" spans="1:10" s="10" customFormat="1" ht="12" x14ac:dyDescent="0.15">
      <c r="A6" s="17">
        <v>3</v>
      </c>
      <c r="B6" s="21" t="s">
        <v>1489</v>
      </c>
      <c r="C6" s="21" t="s">
        <v>66</v>
      </c>
      <c r="D6" s="21" t="s">
        <v>1083</v>
      </c>
      <c r="E6" s="21" t="s">
        <v>910</v>
      </c>
      <c r="F6" s="21" t="s">
        <v>25</v>
      </c>
      <c r="G6" s="21" t="s">
        <v>2033</v>
      </c>
      <c r="H6" s="21" t="s">
        <v>2034</v>
      </c>
      <c r="I6" s="21" t="s">
        <v>24</v>
      </c>
      <c r="J6" s="13" t="str">
        <f t="shared" si="0"/>
        <v>insert into chb_datacheck_condition (CHECKCONDITIONID,CHECKRULEID,CHECKMETHOD,SRCPROPERTY,COMPARETO,OBJVALUE,REMARK,STATUS) values ('W13E4A49-6810-5A9E-E050-007F01006A24','W03E4A49-6810-5A9E-E050-007F01006A50','inArray','ASSET_TYPE2','==','1002,1003,1004,1005','当资产/负债类别为本行/他行存款||大额存单时','E');</v>
      </c>
    </row>
    <row r="7" spans="1:10" s="10" customFormat="1" ht="12" x14ac:dyDescent="0.15">
      <c r="A7" s="17">
        <v>4</v>
      </c>
      <c r="B7" s="21" t="s">
        <v>1490</v>
      </c>
      <c r="C7" s="21" t="s">
        <v>67</v>
      </c>
      <c r="D7" s="21" t="s">
        <v>1083</v>
      </c>
      <c r="E7" s="21" t="s">
        <v>910</v>
      </c>
      <c r="F7" s="21" t="s">
        <v>25</v>
      </c>
      <c r="G7" s="21" t="s">
        <v>2033</v>
      </c>
      <c r="H7" s="21" t="s">
        <v>2034</v>
      </c>
      <c r="I7" s="21" t="s">
        <v>24</v>
      </c>
      <c r="J7" s="13" t="str">
        <f t="shared" si="0"/>
        <v>insert into chb_datacheck_condition (CHECKCONDITIONID,CHECKRULEID,CHECKMETHOD,SRCPROPERTY,COMPARETO,OBJVALUE,REMARK,STATUS) values ('W13E4A49-6810-5A9E-E050-007F01006A25','W03E4A49-6810-5A9E-E050-007F01006A51','inArray','ASSET_TYPE2','==','1002,1003,1004,1005','当资产/负债类别为本行/他行存款||大额存单时','E');</v>
      </c>
    </row>
    <row r="8" spans="1:10" s="10" customFormat="1" ht="12" x14ac:dyDescent="0.15">
      <c r="A8" s="17">
        <v>5</v>
      </c>
      <c r="B8" s="21" t="s">
        <v>1491</v>
      </c>
      <c r="C8" s="21" t="s">
        <v>68</v>
      </c>
      <c r="D8" s="21" t="s">
        <v>1083</v>
      </c>
      <c r="E8" s="21" t="s">
        <v>910</v>
      </c>
      <c r="F8" s="21" t="s">
        <v>25</v>
      </c>
      <c r="G8" s="21" t="s">
        <v>2033</v>
      </c>
      <c r="H8" s="21" t="s">
        <v>2034</v>
      </c>
      <c r="I8" s="21" t="s">
        <v>24</v>
      </c>
      <c r="J8" s="13" t="str">
        <f t="shared" si="0"/>
        <v>insert into chb_datacheck_condition (CHECKCONDITIONID,CHECKRULEID,CHECKMETHOD,SRCPROPERTY,COMPARETO,OBJVALUE,REMARK,STATUS) values ('W13E4A49-6810-5A9E-E050-007F01006A26','W03E4A49-6810-5A9E-E050-007F01006A52','inArray','ASSET_TYPE2','==','1002,1003,1004,1005','当资产/负债类别为本行/他行存款||大额存单时','E');</v>
      </c>
    </row>
    <row r="9" spans="1:10" x14ac:dyDescent="0.25">
      <c r="A9" s="17">
        <v>6</v>
      </c>
      <c r="B9" s="21" t="s">
        <v>1492</v>
      </c>
      <c r="C9" s="21" t="s">
        <v>69</v>
      </c>
      <c r="D9" s="21" t="s">
        <v>1083</v>
      </c>
      <c r="E9" s="21" t="s">
        <v>910</v>
      </c>
      <c r="F9" s="21" t="s">
        <v>25</v>
      </c>
      <c r="G9" s="21" t="s">
        <v>2033</v>
      </c>
      <c r="H9" s="21" t="s">
        <v>2034</v>
      </c>
      <c r="I9" s="21" t="s">
        <v>24</v>
      </c>
      <c r="J9" s="13" t="str">
        <f t="shared" si="0"/>
        <v>insert into chb_datacheck_condition (CHECKCONDITIONID,CHECKRULEID,CHECKMETHOD,SRCPROPERTY,COMPARETO,OBJVALUE,REMARK,STATUS) values ('W13E4A49-6810-5A9E-E050-007F01006A27','W03E4A49-6810-5A9E-E050-007F01006A53','inArray','ASSET_TYPE2','==','1002,1003,1004,1005','当资产/负债类别为本行/他行存款||大额存单时','E');</v>
      </c>
    </row>
    <row r="10" spans="1:10" x14ac:dyDescent="0.25">
      <c r="A10" s="17">
        <v>7</v>
      </c>
      <c r="B10" s="21" t="s">
        <v>1493</v>
      </c>
      <c r="C10" s="21" t="s">
        <v>70</v>
      </c>
      <c r="D10" s="21" t="s">
        <v>1083</v>
      </c>
      <c r="E10" s="21" t="s">
        <v>910</v>
      </c>
      <c r="F10" s="21" t="s">
        <v>25</v>
      </c>
      <c r="G10" s="21" t="s">
        <v>2033</v>
      </c>
      <c r="H10" s="21" t="s">
        <v>2034</v>
      </c>
      <c r="I10" s="21" t="s">
        <v>24</v>
      </c>
      <c r="J10" s="13" t="str">
        <f t="shared" si="0"/>
        <v>insert into chb_datacheck_condition (CHECKCONDITIONID,CHECKRULEID,CHECKMETHOD,SRCPROPERTY,COMPARETO,OBJVALUE,REMARK,STATUS) values ('W13E4A49-6810-5A9E-E050-007F01006A28','W03E4A49-6810-5A9E-E050-007F01006A54','inArray','ASSET_TYPE2','==','1002,1003,1004,1005','当资产/负债类别为本行/他行存款||大额存单时','E');</v>
      </c>
    </row>
    <row r="11" spans="1:10" x14ac:dyDescent="0.25">
      <c r="A11" s="17">
        <v>8</v>
      </c>
      <c r="B11" s="21" t="s">
        <v>1494</v>
      </c>
      <c r="C11" s="21" t="s">
        <v>71</v>
      </c>
      <c r="D11" s="21" t="s">
        <v>1083</v>
      </c>
      <c r="E11" s="21" t="s">
        <v>910</v>
      </c>
      <c r="F11" s="21" t="s">
        <v>25</v>
      </c>
      <c r="G11" s="21" t="s">
        <v>2033</v>
      </c>
      <c r="H11" s="21" t="s">
        <v>2034</v>
      </c>
      <c r="I11" s="21" t="s">
        <v>24</v>
      </c>
      <c r="J11" s="13" t="str">
        <f t="shared" si="0"/>
        <v>insert into chb_datacheck_condition (CHECKCONDITIONID,CHECKRULEID,CHECKMETHOD,SRCPROPERTY,COMPARETO,OBJVALUE,REMARK,STATUS) values ('W13E4A49-6810-5A9E-E050-007F01006A29','W03E4A49-6810-5A9E-E050-007F01006A55','inArray','ASSET_TYPE2','==','1002,1003,1004,1005','当资产/负债类别为本行/他行存款||大额存单时','E');</v>
      </c>
    </row>
    <row r="12" spans="1:10" x14ac:dyDescent="0.25">
      <c r="A12" s="17">
        <v>9</v>
      </c>
      <c r="B12" s="21" t="s">
        <v>1495</v>
      </c>
      <c r="C12" s="21" t="s">
        <v>72</v>
      </c>
      <c r="D12" s="21" t="s">
        <v>1083</v>
      </c>
      <c r="E12" s="21" t="s">
        <v>910</v>
      </c>
      <c r="F12" s="21" t="s">
        <v>25</v>
      </c>
      <c r="G12" s="21" t="s">
        <v>2033</v>
      </c>
      <c r="H12" s="21" t="s">
        <v>2034</v>
      </c>
      <c r="I12" s="21" t="s">
        <v>24</v>
      </c>
      <c r="J12" s="13" t="str">
        <f t="shared" si="0"/>
        <v>insert into chb_datacheck_condition (CHECKCONDITIONID,CHECKRULEID,CHECKMETHOD,SRCPROPERTY,COMPARETO,OBJVALUE,REMARK,STATUS) values ('W13E4A49-6810-5A9E-E050-007F01006A30','W03E4A49-6810-5A9E-E050-007F01006A56','inArray','ASSET_TYPE2','==','1002,1003,1004,1005','当资产/负债类别为本行/他行存款||大额存单时','E');</v>
      </c>
    </row>
    <row r="13" spans="1:10" x14ac:dyDescent="0.25">
      <c r="A13" s="17">
        <v>10</v>
      </c>
      <c r="B13" s="21" t="s">
        <v>1496</v>
      </c>
      <c r="C13" s="21" t="s">
        <v>73</v>
      </c>
      <c r="D13" s="21" t="s">
        <v>40</v>
      </c>
      <c r="E13" s="21" t="s">
        <v>822</v>
      </c>
      <c r="F13" s="21" t="s">
        <v>25</v>
      </c>
      <c r="G13" s="21" t="s">
        <v>2035</v>
      </c>
      <c r="H13" s="21" t="s">
        <v>2036</v>
      </c>
      <c r="I13" s="21" t="s">
        <v>24</v>
      </c>
      <c r="J13" s="13" t="str">
        <f t="shared" si="0"/>
        <v>insert into chb_datacheck_condition (CHECKCONDITIONID,CHECKRULEID,CHECKMETHOD,SRCPROPERTY,COMPARETO,OBJVALUE,REMARK,STATUS) values ('W13E4A49-6810-5A9E-E050-007F01006A14','W03E4A49-6810-5A9E-E050-007F01006A59','compareValue','DEPO_TYPE','==','06','当“存款类型”要素选择“06 结构性存款”时','E');</v>
      </c>
    </row>
    <row r="14" spans="1:10" x14ac:dyDescent="0.25">
      <c r="A14" s="17">
        <v>11</v>
      </c>
      <c r="B14" s="21" t="s">
        <v>2273</v>
      </c>
      <c r="C14" s="21" t="s">
        <v>74</v>
      </c>
      <c r="D14" s="21" t="s">
        <v>40</v>
      </c>
      <c r="E14" s="21" t="s">
        <v>822</v>
      </c>
      <c r="F14" s="21" t="s">
        <v>41</v>
      </c>
      <c r="G14" s="21" t="s">
        <v>2035</v>
      </c>
      <c r="H14" s="21" t="s">
        <v>2038</v>
      </c>
      <c r="I14" s="21" t="s">
        <v>24</v>
      </c>
      <c r="J14" s="13" t="str">
        <f t="shared" si="0"/>
        <v>insert into chb_datacheck_condition (CHECKCONDITIONID,CHECKRULEID,CHECKMETHOD,SRCPROPERTY,COMPARETO,OBJVALUE,REMARK,STATUS) values ('WH3E4A49-6810-5A9E-E050-007F01006A15','W03E4A49-6810-5A9E-E050-007F01006A60','compareValue','DEPO_TYPE','!=','06','当“存款类型”要素不选择“06 结构性存款”时','E');</v>
      </c>
    </row>
    <row r="15" spans="1:10" x14ac:dyDescent="0.25">
      <c r="A15" s="17">
        <v>12</v>
      </c>
      <c r="B15" s="21" t="s">
        <v>2274</v>
      </c>
      <c r="C15" s="21" t="s">
        <v>75</v>
      </c>
      <c r="D15" s="21" t="s">
        <v>40</v>
      </c>
      <c r="E15" s="21" t="s">
        <v>822</v>
      </c>
      <c r="F15" s="21" t="s">
        <v>25</v>
      </c>
      <c r="G15" s="21" t="s">
        <v>2035</v>
      </c>
      <c r="H15" s="21" t="s">
        <v>2036</v>
      </c>
      <c r="I15" s="21" t="s">
        <v>24</v>
      </c>
      <c r="J15" s="13" t="str">
        <f t="shared" si="0"/>
        <v>insert into chb_datacheck_condition (CHECKCONDITIONID,CHECKRULEID,CHECKMETHOD,SRCPROPERTY,COMPARETO,OBJVALUE,REMARK,STATUS) values ('WH3E4A49-6810-5A9E-E050-007F01006A16','W03E4A49-6810-5A9E-E050-007F01006A61','compareValue','DEPO_TYPE','==','06','当“存款类型”要素选择“06 结构性存款”时','E');</v>
      </c>
    </row>
    <row r="16" spans="1:10" x14ac:dyDescent="0.25">
      <c r="A16" s="17">
        <v>13</v>
      </c>
      <c r="B16" s="21" t="s">
        <v>2275</v>
      </c>
      <c r="C16" s="21" t="s">
        <v>76</v>
      </c>
      <c r="D16" s="21" t="s">
        <v>40</v>
      </c>
      <c r="E16" s="21" t="s">
        <v>822</v>
      </c>
      <c r="F16" s="21" t="s">
        <v>41</v>
      </c>
      <c r="G16" s="21" t="s">
        <v>2035</v>
      </c>
      <c r="H16" s="21" t="s">
        <v>2038</v>
      </c>
      <c r="I16" s="21" t="s">
        <v>24</v>
      </c>
      <c r="J16" s="13" t="str">
        <f t="shared" si="0"/>
        <v>insert into chb_datacheck_condition (CHECKCONDITIONID,CHECKRULEID,CHECKMETHOD,SRCPROPERTY,COMPARETO,OBJVALUE,REMARK,STATUS) values ('WH3E4A49-6810-5A9E-E050-007F01006A17','W03E4A49-6810-5A9E-E050-007F01006A62','compareValue','DEPO_TYPE','!=','06','当“存款类型”要素不选择“06 结构性存款”时','E');</v>
      </c>
    </row>
    <row r="17" spans="1:10" x14ac:dyDescent="0.25">
      <c r="A17" s="17">
        <v>14</v>
      </c>
      <c r="B17" s="21" t="s">
        <v>2276</v>
      </c>
      <c r="C17" s="21" t="s">
        <v>77</v>
      </c>
      <c r="D17" s="21" t="s">
        <v>1083</v>
      </c>
      <c r="E17" s="21" t="s">
        <v>910</v>
      </c>
      <c r="F17" s="21" t="s">
        <v>25</v>
      </c>
      <c r="G17" s="21" t="s">
        <v>2039</v>
      </c>
      <c r="H17" s="21" t="s">
        <v>2040</v>
      </c>
      <c r="I17" s="21" t="s">
        <v>24</v>
      </c>
      <c r="J17" s="13" t="str">
        <f t="shared" si="0"/>
        <v>insert into chb_datacheck_condition (CHECKCONDITIONID,CHECKRULEID,CHECKMETHOD,SRCPROPERTY,COMPARETO,OBJVALUE,REMARK,STATUS) values ('WH3E4A49-6810-5A9E-E050-007F01006A18','W03E4A49-6810-5A9E-E050-007F01006A63','inArray','ASSET_TYPE2','==','1003','当资产/负债类别为他行存款时','E');</v>
      </c>
    </row>
    <row r="18" spans="1:10" x14ac:dyDescent="0.25">
      <c r="A18" s="17">
        <v>15</v>
      </c>
      <c r="B18" s="21" t="s">
        <v>1500</v>
      </c>
      <c r="C18" s="21" t="s">
        <v>78</v>
      </c>
      <c r="D18" s="21" t="s">
        <v>1083</v>
      </c>
      <c r="E18" s="21" t="s">
        <v>910</v>
      </c>
      <c r="F18" s="21" t="s">
        <v>25</v>
      </c>
      <c r="G18" s="21" t="s">
        <v>2041</v>
      </c>
      <c r="H18" s="21" t="s">
        <v>2042</v>
      </c>
      <c r="I18" s="21" t="s">
        <v>24</v>
      </c>
      <c r="J18" s="13" t="str">
        <f t="shared" si="0"/>
        <v>insert into chb_datacheck_condition (CHECKCONDITIONID,CHECKRULEID,CHECKMETHOD,SRCPROPERTY,COMPARETO,OBJVALUE,REMARK,STATUS) values ('W13E4A49-6810-5A9E-E050-007F01006A20','W03E4A49-6810-5A9E-E050-007F01006A64','inArray','ASSET_TYPE2','==','1002','当资产/负债类别为本行存款时','E');</v>
      </c>
    </row>
    <row r="19" spans="1:10" x14ac:dyDescent="0.25">
      <c r="A19" s="17">
        <v>16</v>
      </c>
      <c r="B19" s="21" t="s">
        <v>2277</v>
      </c>
      <c r="C19" s="21" t="s">
        <v>79</v>
      </c>
      <c r="D19" s="21" t="s">
        <v>1083</v>
      </c>
      <c r="E19" s="21" t="s">
        <v>910</v>
      </c>
      <c r="F19" s="21" t="s">
        <v>25</v>
      </c>
      <c r="G19" s="21" t="s">
        <v>2043</v>
      </c>
      <c r="H19" s="21" t="s">
        <v>2044</v>
      </c>
      <c r="I19" s="21" t="s">
        <v>24</v>
      </c>
      <c r="J19" s="13" t="str">
        <f t="shared" si="0"/>
        <v>insert into chb_datacheck_condition (CHECKCONDITIONID,CHECKRULEID,CHECKMETHOD,SRCPROPERTY,COMPARETO,OBJVALUE,REMARK,STATUS) values ('WH3E4A49-6810-5A9E-E050-007F01006A19','W03E4A49-6810-5A9E-E050-007F01006A65','inArray','ASSET_TYPE2','==','1005','当资产/负债类别为他行发行的大额存单时','E');</v>
      </c>
    </row>
    <row r="20" spans="1:10" x14ac:dyDescent="0.25">
      <c r="A20" s="17">
        <v>17</v>
      </c>
      <c r="B20" s="21" t="s">
        <v>1502</v>
      </c>
      <c r="C20" s="21" t="s">
        <v>80</v>
      </c>
      <c r="D20" s="21" t="s">
        <v>1083</v>
      </c>
      <c r="E20" s="21" t="s">
        <v>910</v>
      </c>
      <c r="F20" s="21" t="s">
        <v>25</v>
      </c>
      <c r="G20" s="21" t="s">
        <v>2045</v>
      </c>
      <c r="H20" s="21" t="s">
        <v>2046</v>
      </c>
      <c r="I20" s="21" t="s">
        <v>24</v>
      </c>
      <c r="J20" s="13" t="str">
        <f t="shared" si="0"/>
        <v>insert into chb_datacheck_condition (CHECKCONDITIONID,CHECKRULEID,CHECKMETHOD,SRCPROPERTY,COMPARETO,OBJVALUE,REMARK,STATUS) values ('W13E4A49-6810-5A9E-E050-007F01006A46','W03E4A49-6810-5A9E-E050-007F01006A67','inArray','ASSET_TYPE2','==','1901,1902,1107,1108','当资产/负债类别为拆放同业及买入返售/同业拆入及卖出回购时','E');</v>
      </c>
    </row>
    <row r="21" spans="1:10" x14ac:dyDescent="0.25">
      <c r="A21" s="17">
        <v>18</v>
      </c>
      <c r="B21" s="21" t="s">
        <v>1503</v>
      </c>
      <c r="C21" s="21" t="s">
        <v>81</v>
      </c>
      <c r="D21" s="21" t="s">
        <v>1083</v>
      </c>
      <c r="E21" s="21" t="s">
        <v>910</v>
      </c>
      <c r="F21" s="21" t="s">
        <v>25</v>
      </c>
      <c r="G21" s="21" t="s">
        <v>2045</v>
      </c>
      <c r="H21" s="21" t="s">
        <v>2046</v>
      </c>
      <c r="I21" s="21" t="s">
        <v>24</v>
      </c>
      <c r="J21" s="13" t="str">
        <f t="shared" si="0"/>
        <v>insert into chb_datacheck_condition (CHECKCONDITIONID,CHECKRULEID,CHECKMETHOD,SRCPROPERTY,COMPARETO,OBJVALUE,REMARK,STATUS) values ('W13E4A49-6810-5A9E-E050-007F01006A47','W03E4A49-6810-5A9E-E050-007F01006A68','inArray','ASSET_TYPE2','==','1901,1902,1107,1108','当资产/负债类别为拆放同业及买入返售/同业拆入及卖出回购时','E');</v>
      </c>
    </row>
    <row r="22" spans="1:10" x14ac:dyDescent="0.25">
      <c r="A22" s="17">
        <v>19</v>
      </c>
      <c r="B22" s="21" t="s">
        <v>1504</v>
      </c>
      <c r="C22" s="21" t="s">
        <v>82</v>
      </c>
      <c r="D22" s="21" t="s">
        <v>1083</v>
      </c>
      <c r="E22" s="21" t="s">
        <v>910</v>
      </c>
      <c r="F22" s="21" t="s">
        <v>25</v>
      </c>
      <c r="G22" s="21" t="s">
        <v>2045</v>
      </c>
      <c r="H22" s="21" t="s">
        <v>2046</v>
      </c>
      <c r="I22" s="21" t="s">
        <v>24</v>
      </c>
      <c r="J22" s="13" t="str">
        <f t="shared" si="0"/>
        <v>insert into chb_datacheck_condition (CHECKCONDITIONID,CHECKRULEID,CHECKMETHOD,SRCPROPERTY,COMPARETO,OBJVALUE,REMARK,STATUS) values ('W13E4A49-6810-5A9E-E050-007F01006A48','W03E4A49-6810-5A9E-E050-007F01006A69','inArray','ASSET_TYPE2','==','1901,1902,1107,1108','当资产/负债类别为拆放同业及买入返售/同业拆入及卖出回购时','E');</v>
      </c>
    </row>
    <row r="23" spans="1:10" x14ac:dyDescent="0.25">
      <c r="A23" s="17">
        <v>20</v>
      </c>
      <c r="B23" s="21" t="s">
        <v>1505</v>
      </c>
      <c r="C23" s="21" t="s">
        <v>83</v>
      </c>
      <c r="D23" s="21" t="s">
        <v>1083</v>
      </c>
      <c r="E23" s="21" t="s">
        <v>910</v>
      </c>
      <c r="F23" s="21" t="s">
        <v>25</v>
      </c>
      <c r="G23" s="21" t="s">
        <v>2045</v>
      </c>
      <c r="H23" s="21" t="s">
        <v>2046</v>
      </c>
      <c r="I23" s="21" t="s">
        <v>24</v>
      </c>
      <c r="J23" s="13" t="str">
        <f t="shared" si="0"/>
        <v>insert into chb_datacheck_condition (CHECKCONDITIONID,CHECKRULEID,CHECKMETHOD,SRCPROPERTY,COMPARETO,OBJVALUE,REMARK,STATUS) values ('W13E4A49-6810-5A9E-E050-007F01006A49','W03E4A49-6810-5A9E-E050-007F01006A70','inArray','ASSET_TYPE2','==','1901,1902,1107,1108','当资产/负债类别为拆放同业及买入返售/同业拆入及卖出回购时','E');</v>
      </c>
    </row>
    <row r="24" spans="1:10" x14ac:dyDescent="0.25">
      <c r="A24" s="17">
        <v>21</v>
      </c>
      <c r="B24" s="21" t="s">
        <v>1506</v>
      </c>
      <c r="C24" s="21" t="s">
        <v>84</v>
      </c>
      <c r="D24" s="21" t="s">
        <v>1083</v>
      </c>
      <c r="E24" s="21" t="s">
        <v>910</v>
      </c>
      <c r="F24" s="21" t="s">
        <v>25</v>
      </c>
      <c r="G24" s="21" t="s">
        <v>2045</v>
      </c>
      <c r="H24" s="21" t="s">
        <v>2046</v>
      </c>
      <c r="I24" s="21" t="s">
        <v>24</v>
      </c>
      <c r="J24" s="13" t="str">
        <f t="shared" si="0"/>
        <v>insert into chb_datacheck_condition (CHECKCONDITIONID,CHECKRULEID,CHECKMETHOD,SRCPROPERTY,COMPARETO,OBJVALUE,REMARK,STATUS) values ('W13E4A49-6810-5A9E-E050-007F01006A50','W03E4A49-6810-5A9E-E050-007F01006A71','inArray','ASSET_TYPE2','==','1901,1902,1107,1108','当资产/负债类别为拆放同业及买入返售/同业拆入及卖出回购时','E');</v>
      </c>
    </row>
    <row r="25" spans="1:10" x14ac:dyDescent="0.25">
      <c r="A25" s="17">
        <v>22</v>
      </c>
      <c r="B25" s="21" t="s">
        <v>1507</v>
      </c>
      <c r="C25" s="21" t="s">
        <v>85</v>
      </c>
      <c r="D25" s="21" t="s">
        <v>1083</v>
      </c>
      <c r="E25" s="21" t="s">
        <v>910</v>
      </c>
      <c r="F25" s="21" t="s">
        <v>25</v>
      </c>
      <c r="G25" s="21" t="s">
        <v>2045</v>
      </c>
      <c r="H25" s="21" t="s">
        <v>2046</v>
      </c>
      <c r="I25" s="21" t="s">
        <v>24</v>
      </c>
      <c r="J25" s="13" t="str">
        <f t="shared" si="0"/>
        <v>insert into chb_datacheck_condition (CHECKCONDITIONID,CHECKRULEID,CHECKMETHOD,SRCPROPERTY,COMPARETO,OBJVALUE,REMARK,STATUS) values ('W13E4A49-6810-5A9E-E050-007F01006A51','W03E4A49-6810-5A9E-E050-007F01006A72','inArray','ASSET_TYPE2','==','1901,1902,1107,1108','当资产/负债类别为拆放同业及买入返售/同业拆入及卖出回购时','E');</v>
      </c>
    </row>
    <row r="26" spans="1:10" x14ac:dyDescent="0.25">
      <c r="A26" s="17">
        <v>23</v>
      </c>
      <c r="B26" s="21" t="s">
        <v>1508</v>
      </c>
      <c r="C26" s="21" t="s">
        <v>86</v>
      </c>
      <c r="D26" s="21" t="s">
        <v>1083</v>
      </c>
      <c r="E26" s="21" t="s">
        <v>910</v>
      </c>
      <c r="F26" s="21" t="s">
        <v>25</v>
      </c>
      <c r="G26" s="21" t="s">
        <v>2045</v>
      </c>
      <c r="H26" s="21" t="s">
        <v>2046</v>
      </c>
      <c r="I26" s="21" t="s">
        <v>24</v>
      </c>
      <c r="J26" s="13" t="str">
        <f t="shared" si="0"/>
        <v>insert into chb_datacheck_condition (CHECKCONDITIONID,CHECKRULEID,CHECKMETHOD,SRCPROPERTY,COMPARETO,OBJVALUE,REMARK,STATUS) values ('W13E4A49-6810-5A9E-E050-007F01006A52','W03E4A49-6810-5A9E-E050-007F01006A73','inArray','ASSET_TYPE2','==','1901,1902,1107,1108','当资产/负债类别为拆放同业及买入返售/同业拆入及卖出回购时','E');</v>
      </c>
    </row>
    <row r="27" spans="1:10" x14ac:dyDescent="0.25">
      <c r="A27" s="17">
        <v>24</v>
      </c>
      <c r="B27" s="21" t="s">
        <v>1509</v>
      </c>
      <c r="C27" s="21" t="s">
        <v>87</v>
      </c>
      <c r="D27" s="21" t="s">
        <v>1083</v>
      </c>
      <c r="E27" s="21" t="s">
        <v>910</v>
      </c>
      <c r="F27" s="21" t="s">
        <v>25</v>
      </c>
      <c r="G27" s="21" t="s">
        <v>2047</v>
      </c>
      <c r="H27" s="21" t="s">
        <v>2048</v>
      </c>
      <c r="I27" s="21" t="s">
        <v>24</v>
      </c>
      <c r="J27" s="13" t="str">
        <f t="shared" si="0"/>
        <v>insert into chb_datacheck_condition (CHECKCONDITIONID,CHECKRULEID,CHECKMETHOD,SRCPROPERTY,COMPARETO,OBJVALUE,REMARK,STATUS) values ('W13E4A49-6810-5A9E-E050-007F01006A37','W03E4A49-6810-5A9E-E050-007F01006A74','inArray','ASSET_TYPE2','==','1108','当资产/负债类别为买入返售时','E');</v>
      </c>
    </row>
    <row r="28" spans="1:10" x14ac:dyDescent="0.25">
      <c r="A28" s="17">
        <v>25</v>
      </c>
      <c r="B28" s="21" t="s">
        <v>1510</v>
      </c>
      <c r="C28" s="21" t="s">
        <v>88</v>
      </c>
      <c r="D28" s="21" t="s">
        <v>1083</v>
      </c>
      <c r="E28" s="21" t="s">
        <v>910</v>
      </c>
      <c r="F28" s="21" t="s">
        <v>25</v>
      </c>
      <c r="G28" s="21" t="s">
        <v>2049</v>
      </c>
      <c r="H28" s="21" t="s">
        <v>2050</v>
      </c>
      <c r="I28" s="21" t="s">
        <v>24</v>
      </c>
      <c r="J28" s="13" t="str">
        <f t="shared" si="0"/>
        <v>insert into chb_datacheck_condition (CHECKCONDITIONID,CHECKRULEID,CHECKMETHOD,SRCPROPERTY,COMPARETO,OBJVALUE,REMARK,STATUS) values ('W13E4A49-6810-5A9E-E050-007F01006A38','W03E4A49-6810-5A9E-E050-007F01006A75','inArray','ASSET_TYPE2','==','1902','当资产/负债类别为卖出回购时','E');</v>
      </c>
    </row>
    <row r="29" spans="1:10" x14ac:dyDescent="0.25">
      <c r="A29" s="17">
        <v>26</v>
      </c>
      <c r="B29" s="21" t="s">
        <v>1511</v>
      </c>
      <c r="C29" s="21" t="s">
        <v>89</v>
      </c>
      <c r="D29" s="21" t="s">
        <v>1083</v>
      </c>
      <c r="E29" s="21" t="s">
        <v>910</v>
      </c>
      <c r="F29" s="21" t="s">
        <v>41</v>
      </c>
      <c r="G29" s="21" t="s">
        <v>2047</v>
      </c>
      <c r="H29" s="21" t="s">
        <v>2051</v>
      </c>
      <c r="I29" s="21" t="s">
        <v>24</v>
      </c>
      <c r="J29" s="13" t="str">
        <f t="shared" si="0"/>
        <v>insert into chb_datacheck_condition (CHECKCONDITIONID,CHECKRULEID,CHECKMETHOD,SRCPROPERTY,COMPARETO,OBJVALUE,REMARK,STATUS) values ('W13E4A49-6810-5A9E-E050-007F01006A39','W03E4A49-6810-5A9E-E050-007F01006A76','inArray','ASSET_TYPE2','!=','1108','当资产/负债类别不为买入返售时','E');</v>
      </c>
    </row>
    <row r="30" spans="1:10" x14ac:dyDescent="0.25">
      <c r="A30" s="17">
        <v>27</v>
      </c>
      <c r="B30" s="21" t="s">
        <v>1512</v>
      </c>
      <c r="C30" s="21" t="s">
        <v>89</v>
      </c>
      <c r="D30" s="21" t="s">
        <v>1083</v>
      </c>
      <c r="E30" s="21" t="s">
        <v>910</v>
      </c>
      <c r="F30" s="21" t="s">
        <v>41</v>
      </c>
      <c r="G30" s="21" t="s">
        <v>2049</v>
      </c>
      <c r="H30" s="21" t="s">
        <v>2052</v>
      </c>
      <c r="I30" s="21" t="s">
        <v>24</v>
      </c>
      <c r="J30" s="13" t="str">
        <f t="shared" si="0"/>
        <v>insert into chb_datacheck_condition (CHECKCONDITIONID,CHECKRULEID,CHECKMETHOD,SRCPROPERTY,COMPARETO,OBJVALUE,REMARK,STATUS) values ('W13E4A49-6810-5A9E-E050-007F01006A40','W03E4A49-6810-5A9E-E050-007F01006A76','inArray','ASSET_TYPE2','!=','1902','当资产/负债类别不为卖出回购时','E');</v>
      </c>
    </row>
    <row r="31" spans="1:10" x14ac:dyDescent="0.25">
      <c r="A31" s="17">
        <v>28</v>
      </c>
      <c r="B31" s="21" t="s">
        <v>1513</v>
      </c>
      <c r="C31" s="21" t="s">
        <v>90</v>
      </c>
      <c r="D31" s="21" t="s">
        <v>1083</v>
      </c>
      <c r="E31" s="21" t="s">
        <v>910</v>
      </c>
      <c r="F31" s="21" t="s">
        <v>25</v>
      </c>
      <c r="G31" s="21" t="s">
        <v>2045</v>
      </c>
      <c r="H31" s="21" t="s">
        <v>2046</v>
      </c>
      <c r="I31" s="21" t="s">
        <v>24</v>
      </c>
      <c r="J31" s="13" t="str">
        <f t="shared" si="0"/>
        <v>insert into chb_datacheck_condition (CHECKCONDITIONID,CHECKRULEID,CHECKMETHOD,SRCPROPERTY,COMPARETO,OBJVALUE,REMARK,STATUS) values ('W13E4A49-6810-5A9E-E050-007F01006A53','W03E4A49-6810-5A9E-E050-007F01006A78','inArray','ASSET_TYPE2','==','1901,1902,1107,1108','当资产/负债类别为拆放同业及买入返售/同业拆入及卖出回购时','E');</v>
      </c>
    </row>
    <row r="32" spans="1:10" x14ac:dyDescent="0.25">
      <c r="A32" s="17">
        <v>29</v>
      </c>
      <c r="B32" s="21" t="s">
        <v>1514</v>
      </c>
      <c r="C32" s="21" t="s">
        <v>91</v>
      </c>
      <c r="D32" s="21" t="s">
        <v>1083</v>
      </c>
      <c r="E32" s="21" t="s">
        <v>910</v>
      </c>
      <c r="F32" s="21" t="s">
        <v>25</v>
      </c>
      <c r="G32" s="21" t="s">
        <v>2047</v>
      </c>
      <c r="H32" s="21" t="s">
        <v>2048</v>
      </c>
      <c r="I32" s="21" t="s">
        <v>24</v>
      </c>
      <c r="J32" s="13" t="str">
        <f t="shared" si="0"/>
        <v>insert into chb_datacheck_condition (CHECKCONDITIONID,CHECKRULEID,CHECKMETHOD,SRCPROPERTY,COMPARETO,OBJVALUE,REMARK,STATUS) values ('W13E4A49-6810-5A9E-E050-007F01006A41','W03E4A49-6810-5A9E-E050-007F01006A79','inArray','ASSET_TYPE2','==','1108','当资产/负债类别为买入返售时','E');</v>
      </c>
    </row>
    <row r="33" spans="1:10" x14ac:dyDescent="0.25">
      <c r="A33" s="17">
        <v>30</v>
      </c>
      <c r="B33" s="21" t="s">
        <v>1515</v>
      </c>
      <c r="C33" s="21" t="s">
        <v>92</v>
      </c>
      <c r="D33" s="21" t="s">
        <v>1083</v>
      </c>
      <c r="E33" s="21" t="s">
        <v>910</v>
      </c>
      <c r="F33" s="21" t="s">
        <v>25</v>
      </c>
      <c r="G33" s="21" t="s">
        <v>2049</v>
      </c>
      <c r="H33" s="21" t="s">
        <v>2050</v>
      </c>
      <c r="I33" s="21" t="s">
        <v>24</v>
      </c>
      <c r="J33" s="13" t="str">
        <f t="shared" si="0"/>
        <v>insert into chb_datacheck_condition (CHECKCONDITIONID,CHECKRULEID,CHECKMETHOD,SRCPROPERTY,COMPARETO,OBJVALUE,REMARK,STATUS) values ('W13E4A49-6810-5A9E-E050-007F01006A42','W03E4A49-6810-5A9E-E050-007F01006A80','inArray','ASSET_TYPE2','==','1902','当资产/负债类别为卖出回购时','E');</v>
      </c>
    </row>
    <row r="34" spans="1:10" x14ac:dyDescent="0.25">
      <c r="A34" s="17">
        <v>31</v>
      </c>
      <c r="B34" s="21" t="s">
        <v>1516</v>
      </c>
      <c r="C34" s="21" t="s">
        <v>93</v>
      </c>
      <c r="D34" s="21" t="s">
        <v>1083</v>
      </c>
      <c r="E34" s="21" t="s">
        <v>910</v>
      </c>
      <c r="F34" s="21" t="s">
        <v>41</v>
      </c>
      <c r="G34" s="21" t="s">
        <v>2047</v>
      </c>
      <c r="H34" s="21" t="s">
        <v>2051</v>
      </c>
      <c r="I34" s="21" t="s">
        <v>24</v>
      </c>
      <c r="J34" s="13" t="str">
        <f t="shared" si="0"/>
        <v>insert into chb_datacheck_condition (CHECKCONDITIONID,CHECKRULEID,CHECKMETHOD,SRCPROPERTY,COMPARETO,OBJVALUE,REMARK,STATUS) values ('W13E4A49-6810-5A9E-E050-007F01006A43','W03E4A49-6810-5A9E-E050-007F01006A81','inArray','ASSET_TYPE2','!=','1108','当资产/负债类别不为买入返售时','E');</v>
      </c>
    </row>
    <row r="35" spans="1:10" x14ac:dyDescent="0.25">
      <c r="A35" s="17">
        <v>32</v>
      </c>
      <c r="B35" s="21" t="s">
        <v>1517</v>
      </c>
      <c r="C35" s="21" t="s">
        <v>93</v>
      </c>
      <c r="D35" s="21" t="s">
        <v>1083</v>
      </c>
      <c r="E35" s="21" t="s">
        <v>910</v>
      </c>
      <c r="F35" s="21" t="s">
        <v>41</v>
      </c>
      <c r="G35" s="21" t="s">
        <v>2049</v>
      </c>
      <c r="H35" s="21" t="s">
        <v>2052</v>
      </c>
      <c r="I35" s="21" t="s">
        <v>24</v>
      </c>
      <c r="J35" s="13" t="str">
        <f t="shared" si="0"/>
        <v>insert into chb_datacheck_condition (CHECKCONDITIONID,CHECKRULEID,CHECKMETHOD,SRCPROPERTY,COMPARETO,OBJVALUE,REMARK,STATUS) values ('W13E4A49-6810-5A9E-E050-007F01006A44','W03E4A49-6810-5A9E-E050-007F01006A81','inArray','ASSET_TYPE2','!=','1902','当资产/负债类别不为卖出回购时','E');</v>
      </c>
    </row>
    <row r="36" spans="1:10" x14ac:dyDescent="0.25">
      <c r="A36" s="17">
        <v>33</v>
      </c>
      <c r="B36" s="21" t="s">
        <v>1518</v>
      </c>
      <c r="C36" s="21" t="s">
        <v>94</v>
      </c>
      <c r="D36" s="21" t="s">
        <v>1083</v>
      </c>
      <c r="E36" s="21" t="s">
        <v>910</v>
      </c>
      <c r="F36" s="21" t="s">
        <v>25</v>
      </c>
      <c r="G36" s="21" t="s">
        <v>2045</v>
      </c>
      <c r="H36" s="21" t="s">
        <v>2046</v>
      </c>
      <c r="I36" s="21" t="s">
        <v>24</v>
      </c>
      <c r="J36" s="13" t="str">
        <f t="shared" si="0"/>
        <v>insert into chb_datacheck_condition (CHECKCONDITIONID,CHECKRULEID,CHECKMETHOD,SRCPROPERTY,COMPARETO,OBJVALUE,REMARK,STATUS) values ('W13E4A49-6810-5A9E-E050-007F01006A54','W03E4A49-6810-5A9E-E050-007F01006A83','inArray','ASSET_TYPE2','==','1901,1902,1107,1108','当资产/负债类别为拆放同业及买入返售/同业拆入及卖出回购时','E');</v>
      </c>
    </row>
    <row r="37" spans="1:10" x14ac:dyDescent="0.25">
      <c r="A37" s="17">
        <v>34</v>
      </c>
      <c r="B37" s="21" t="s">
        <v>1519</v>
      </c>
      <c r="C37" s="21" t="s">
        <v>95</v>
      </c>
      <c r="D37" s="21" t="s">
        <v>1083</v>
      </c>
      <c r="E37" s="21" t="s">
        <v>910</v>
      </c>
      <c r="F37" s="21" t="s">
        <v>25</v>
      </c>
      <c r="G37" s="21" t="s">
        <v>2045</v>
      </c>
      <c r="H37" s="21" t="s">
        <v>2046</v>
      </c>
      <c r="I37" s="21" t="s">
        <v>24</v>
      </c>
      <c r="J37" s="13" t="str">
        <f t="shared" si="0"/>
        <v>insert into chb_datacheck_condition (CHECKCONDITIONID,CHECKRULEID,CHECKMETHOD,SRCPROPERTY,COMPARETO,OBJVALUE,REMARK,STATUS) values ('W13E4A49-6810-5A9E-E050-007F01006A55','W03E4A49-6810-5A9E-E050-007F01006A84','inArray','ASSET_TYPE2','==','1901,1902,1107,1108','当资产/负债类别为拆放同业及买入返售/同业拆入及卖出回购时','E');</v>
      </c>
    </row>
    <row r="38" spans="1:10" x14ac:dyDescent="0.25">
      <c r="A38" s="17">
        <v>35</v>
      </c>
      <c r="B38" s="21" t="s">
        <v>1520</v>
      </c>
      <c r="C38" s="21" t="s">
        <v>97</v>
      </c>
      <c r="D38" s="21" t="s">
        <v>1083</v>
      </c>
      <c r="E38" s="21" t="s">
        <v>910</v>
      </c>
      <c r="F38" s="21" t="s">
        <v>25</v>
      </c>
      <c r="G38" s="21" t="s">
        <v>2053</v>
      </c>
      <c r="H38" s="21" t="s">
        <v>2054</v>
      </c>
      <c r="I38" s="21" t="s">
        <v>24</v>
      </c>
      <c r="J38" s="13" t="str">
        <f t="shared" si="0"/>
        <v>insert into chb_datacheck_condition (CHECKCONDITIONID,CHECKRULEID,CHECKMETHOD,SRCPROPERTY,COMPARETO,OBJVALUE,REMARK,STATUS) values ('W13E4A49-6810-5A9E-E050-007F01006A58','W03E4A49-6810-5A9E-E050-007F01006A86','inArray','ASSET_TYPE2','==','1502,1505,1507,1508,1509','当资产/负债类别为QDII股票/基金类时','E');</v>
      </c>
    </row>
    <row r="39" spans="1:10" x14ac:dyDescent="0.25">
      <c r="A39" s="17">
        <v>36</v>
      </c>
      <c r="B39" s="21" t="s">
        <v>1521</v>
      </c>
      <c r="C39" s="21" t="s">
        <v>98</v>
      </c>
      <c r="D39" s="21" t="s">
        <v>1083</v>
      </c>
      <c r="E39" s="21" t="s">
        <v>910</v>
      </c>
      <c r="F39" s="21" t="s">
        <v>25</v>
      </c>
      <c r="G39" s="21" t="s">
        <v>2053</v>
      </c>
      <c r="H39" s="21" t="s">
        <v>2054</v>
      </c>
      <c r="I39" s="21" t="s">
        <v>24</v>
      </c>
      <c r="J39" s="13" t="str">
        <f t="shared" si="0"/>
        <v>insert into chb_datacheck_condition (CHECKCONDITIONID,CHECKRULEID,CHECKMETHOD,SRCPROPERTY,COMPARETO,OBJVALUE,REMARK,STATUS) values ('W13E4A49-6810-5A9E-E050-007F01006A59','W03E4A49-6810-5A9E-E050-007F01006A87','inArray','ASSET_TYPE2','==','1502,1505,1507,1508,1509','当资产/负债类别为QDII股票/基金类时','E');</v>
      </c>
    </row>
    <row r="40" spans="1:10" x14ac:dyDescent="0.25">
      <c r="A40" s="17">
        <v>37</v>
      </c>
      <c r="B40" s="21" t="s">
        <v>1522</v>
      </c>
      <c r="C40" s="21" t="s">
        <v>99</v>
      </c>
      <c r="D40" s="21" t="s">
        <v>1083</v>
      </c>
      <c r="E40" s="21" t="s">
        <v>910</v>
      </c>
      <c r="F40" s="21" t="s">
        <v>25</v>
      </c>
      <c r="G40" s="21" t="s">
        <v>2053</v>
      </c>
      <c r="H40" s="21" t="s">
        <v>2055</v>
      </c>
      <c r="I40" s="21" t="s">
        <v>24</v>
      </c>
      <c r="J40" s="13" t="str">
        <f t="shared" si="0"/>
        <v>insert into chb_datacheck_condition (CHECKCONDITIONID,CHECKRULEID,CHECKMETHOD,SRCPROPERTY,COMPARETO,OBJVALUE,REMARK,STATUS) values ('W13E4A49-6810-5A9E-E050-007F01006A60','W03E4A49-6810-5A9E-E050-007F01006A88','inArray','ASSET_TYPE2','==','1502,1505,1507,1508,1509','当资产/负债类别为QDII股票/基金类资产时','E');</v>
      </c>
    </row>
    <row r="41" spans="1:10" x14ac:dyDescent="0.25">
      <c r="A41" s="17">
        <v>38</v>
      </c>
      <c r="B41" s="21" t="s">
        <v>118</v>
      </c>
      <c r="C41" s="21" t="s">
        <v>100</v>
      </c>
      <c r="D41" s="21" t="s">
        <v>1083</v>
      </c>
      <c r="E41" s="21" t="s">
        <v>910</v>
      </c>
      <c r="F41" s="21" t="s">
        <v>25</v>
      </c>
      <c r="G41" s="21" t="s">
        <v>2053</v>
      </c>
      <c r="H41" s="21" t="s">
        <v>2054</v>
      </c>
      <c r="I41" s="21" t="s">
        <v>24</v>
      </c>
      <c r="J41" s="13" t="str">
        <f t="shared" si="0"/>
        <v>insert into chb_datacheck_condition (CHECKCONDITIONID,CHECKRULEID,CHECKMETHOD,SRCPROPERTY,COMPARETO,OBJVALUE,REMARK,STATUS) values ('W13E4A49-6810-5A9E-E050-007F01006A62','W03E4A49-6810-5A9E-E050-007F01006A90','inArray','ASSET_TYPE2','==','1502,1505,1507,1508,1509','当资产/负债类别为QDII股票/基金类时','E');</v>
      </c>
    </row>
    <row r="42" spans="1:10" x14ac:dyDescent="0.25">
      <c r="A42" s="17">
        <v>39</v>
      </c>
      <c r="B42" s="21" t="s">
        <v>1523</v>
      </c>
      <c r="C42" s="21" t="s">
        <v>101</v>
      </c>
      <c r="D42" s="21" t="s">
        <v>1083</v>
      </c>
      <c r="E42" s="21" t="s">
        <v>910</v>
      </c>
      <c r="F42" s="21" t="s">
        <v>25</v>
      </c>
      <c r="G42" s="21" t="s">
        <v>2053</v>
      </c>
      <c r="H42" s="21" t="s">
        <v>2054</v>
      </c>
      <c r="I42" s="21" t="s">
        <v>24</v>
      </c>
      <c r="J42" s="13" t="str">
        <f t="shared" si="0"/>
        <v>insert into chb_datacheck_condition (CHECKCONDITIONID,CHECKRULEID,CHECKMETHOD,SRCPROPERTY,COMPARETO,OBJVALUE,REMARK,STATUS) values ('W13E4A49-6810-5A9E-E050-007F01006A63','W03E4A49-6810-5A9E-E050-007F01006A91','inArray','ASSET_TYPE2','==','1502,1505,1507,1508,1509','当资产/负债类别为QDII股票/基金类时','E');</v>
      </c>
    </row>
    <row r="43" spans="1:10" x14ac:dyDescent="0.25">
      <c r="A43" s="17">
        <v>40</v>
      </c>
      <c r="B43" s="21" t="s">
        <v>1524</v>
      </c>
      <c r="C43" s="21" t="s">
        <v>102</v>
      </c>
      <c r="D43" s="21" t="s">
        <v>1083</v>
      </c>
      <c r="E43" s="21" t="s">
        <v>910</v>
      </c>
      <c r="F43" s="21" t="s">
        <v>25</v>
      </c>
      <c r="G43" s="21" t="s">
        <v>2056</v>
      </c>
      <c r="H43" s="21" t="s">
        <v>2057</v>
      </c>
      <c r="I43" s="21" t="s">
        <v>24</v>
      </c>
      <c r="J43" s="13" t="str">
        <f t="shared" si="0"/>
        <v>insert into chb_datacheck_condition (CHECKCONDITIONID,CHECKRULEID,CHECKMETHOD,SRCPROPERTY,COMPARETO,OBJVALUE,REMARK,STATUS) values ('W13E4A49-6810-5A9E-E050-007F01006A64','W03E4A49-6810-5A9E-E050-007F01006A92','inArray','ASSET_TYPE2','==','1504,1506','当资产/负债类别为QDII拆出/逆回购资产时','E');</v>
      </c>
    </row>
    <row r="44" spans="1:10" x14ac:dyDescent="0.25">
      <c r="A44" s="17">
        <v>41</v>
      </c>
      <c r="B44" s="21" t="s">
        <v>1525</v>
      </c>
      <c r="C44" s="21" t="s">
        <v>103</v>
      </c>
      <c r="D44" s="21" t="s">
        <v>1083</v>
      </c>
      <c r="E44" s="21" t="s">
        <v>910</v>
      </c>
      <c r="F44" s="21" t="s">
        <v>25</v>
      </c>
      <c r="G44" s="21" t="s">
        <v>2056</v>
      </c>
      <c r="H44" s="21" t="s">
        <v>2057</v>
      </c>
      <c r="I44" s="21" t="s">
        <v>24</v>
      </c>
      <c r="J44" s="13" t="str">
        <f t="shared" si="0"/>
        <v>insert into chb_datacheck_condition (CHECKCONDITIONID,CHECKRULEID,CHECKMETHOD,SRCPROPERTY,COMPARETO,OBJVALUE,REMARK,STATUS) values ('W13E4A49-6810-5A9E-E050-007F01006A66','W03E4A49-6810-5A9E-E050-007F01006A94','inArray','ASSET_TYPE2','==','1504,1506','当资产/负债类别为QDII拆出/逆回购资产时','E');</v>
      </c>
    </row>
    <row r="45" spans="1:10" x14ac:dyDescent="0.25">
      <c r="A45" s="17">
        <v>42</v>
      </c>
      <c r="B45" s="21" t="s">
        <v>1526</v>
      </c>
      <c r="C45" s="21" t="s">
        <v>104</v>
      </c>
      <c r="D45" s="21" t="s">
        <v>1083</v>
      </c>
      <c r="E45" s="21" t="s">
        <v>910</v>
      </c>
      <c r="F45" s="21" t="s">
        <v>25</v>
      </c>
      <c r="G45" s="21" t="s">
        <v>2056</v>
      </c>
      <c r="H45" s="21" t="s">
        <v>2057</v>
      </c>
      <c r="I45" s="21" t="s">
        <v>24</v>
      </c>
      <c r="J45" s="13" t="str">
        <f t="shared" si="0"/>
        <v>insert into chb_datacheck_condition (CHECKCONDITIONID,CHECKRULEID,CHECKMETHOD,SRCPROPERTY,COMPARETO,OBJVALUE,REMARK,STATUS) values ('W13E4A49-6810-5A9E-E050-007F01006A67','W03E4A49-6810-5A9E-E050-007F01006A95','inArray','ASSET_TYPE2','==','1504,1506','当资产/负债类别为QDII拆出/逆回购资产时','E');</v>
      </c>
    </row>
    <row r="46" spans="1:10" x14ac:dyDescent="0.25">
      <c r="A46" s="17">
        <v>43</v>
      </c>
      <c r="B46" s="21" t="s">
        <v>1527</v>
      </c>
      <c r="C46" s="21" t="s">
        <v>105</v>
      </c>
      <c r="D46" s="21" t="s">
        <v>1083</v>
      </c>
      <c r="E46" s="21" t="s">
        <v>910</v>
      </c>
      <c r="F46" s="21" t="s">
        <v>25</v>
      </c>
      <c r="G46" s="21" t="s">
        <v>2056</v>
      </c>
      <c r="H46" s="21" t="s">
        <v>2057</v>
      </c>
      <c r="I46" s="21" t="s">
        <v>24</v>
      </c>
      <c r="J46" s="13" t="str">
        <f t="shared" si="0"/>
        <v>insert into chb_datacheck_condition (CHECKCONDITIONID,CHECKRULEID,CHECKMETHOD,SRCPROPERTY,COMPARETO,OBJVALUE,REMARK,STATUS) values ('W13E4A49-6810-5A9E-E050-007F01006A68','W03E4A49-6810-5A9E-E050-007F01006A96','inArray','ASSET_TYPE2','==','1504,1506','当资产/负债类别为QDII拆出/逆回购资产时','E');</v>
      </c>
    </row>
    <row r="47" spans="1:10" x14ac:dyDescent="0.25">
      <c r="A47" s="17">
        <v>44</v>
      </c>
      <c r="B47" s="21" t="s">
        <v>1528</v>
      </c>
      <c r="C47" s="21" t="s">
        <v>106</v>
      </c>
      <c r="D47" s="21" t="s">
        <v>1083</v>
      </c>
      <c r="E47" s="21" t="s">
        <v>910</v>
      </c>
      <c r="F47" s="21" t="s">
        <v>25</v>
      </c>
      <c r="G47" s="21" t="s">
        <v>2056</v>
      </c>
      <c r="H47" s="21" t="s">
        <v>2057</v>
      </c>
      <c r="I47" s="21" t="s">
        <v>24</v>
      </c>
      <c r="J47" s="13" t="str">
        <f t="shared" si="0"/>
        <v>insert into chb_datacheck_condition (CHECKCONDITIONID,CHECKRULEID,CHECKMETHOD,SRCPROPERTY,COMPARETO,OBJVALUE,REMARK,STATUS) values ('W13E4A49-6810-5A9E-E050-007F01006A69','W03E4A49-6810-5A9E-E050-007F01006A97','inArray','ASSET_TYPE2','==','1504,1506','当资产/负债类别为QDII拆出/逆回购资产时','E');</v>
      </c>
    </row>
    <row r="48" spans="1:10" x14ac:dyDescent="0.25">
      <c r="A48" s="17">
        <v>45</v>
      </c>
      <c r="B48" s="21" t="s">
        <v>1529</v>
      </c>
      <c r="C48" s="21" t="s">
        <v>107</v>
      </c>
      <c r="D48" s="21" t="s">
        <v>1083</v>
      </c>
      <c r="E48" s="21" t="s">
        <v>910</v>
      </c>
      <c r="F48" s="21" t="s">
        <v>25</v>
      </c>
      <c r="G48" s="21" t="s">
        <v>2056</v>
      </c>
      <c r="H48" s="21" t="s">
        <v>2057</v>
      </c>
      <c r="I48" s="21" t="s">
        <v>24</v>
      </c>
      <c r="J48" s="13" t="str">
        <f t="shared" si="0"/>
        <v>insert into chb_datacheck_condition (CHECKCONDITIONID,CHECKRULEID,CHECKMETHOD,SRCPROPERTY,COMPARETO,OBJVALUE,REMARK,STATUS) values ('W13E4A49-6810-5A9E-E050-007F01006A70','W03E4A49-6810-5A9E-E050-007F01006A98','inArray','ASSET_TYPE2','==','1504,1506','当资产/负债类别为QDII拆出/逆回购资产时','E');</v>
      </c>
    </row>
    <row r="49" spans="1:10" x14ac:dyDescent="0.25">
      <c r="A49" s="17">
        <v>46</v>
      </c>
      <c r="B49" s="21" t="s">
        <v>1530</v>
      </c>
      <c r="C49" s="21" t="s">
        <v>108</v>
      </c>
      <c r="D49" s="21" t="s">
        <v>1083</v>
      </c>
      <c r="E49" s="21" t="s">
        <v>910</v>
      </c>
      <c r="F49" s="21" t="s">
        <v>25</v>
      </c>
      <c r="G49" s="21" t="s">
        <v>2056</v>
      </c>
      <c r="H49" s="21" t="s">
        <v>2057</v>
      </c>
      <c r="I49" s="21" t="s">
        <v>24</v>
      </c>
      <c r="J49" s="13" t="str">
        <f t="shared" si="0"/>
        <v>insert into chb_datacheck_condition (CHECKCONDITIONID,CHECKRULEID,CHECKMETHOD,SRCPROPERTY,COMPARETO,OBJVALUE,REMARK,STATUS) values ('W13E4A49-6810-5A9E-E050-007F01006A71','W03E4A49-6810-5A9E-E050-007F01006A99','inArray','ASSET_TYPE2','==','1504,1506','当资产/负债类别为QDII拆出/逆回购资产时','E');</v>
      </c>
    </row>
    <row r="50" spans="1:10" x14ac:dyDescent="0.25">
      <c r="A50" s="17">
        <v>47</v>
      </c>
      <c r="B50" s="21" t="s">
        <v>2278</v>
      </c>
      <c r="C50" s="21" t="s">
        <v>109</v>
      </c>
      <c r="D50" s="21" t="s">
        <v>1083</v>
      </c>
      <c r="E50" s="21" t="s">
        <v>910</v>
      </c>
      <c r="F50" s="21" t="s">
        <v>25</v>
      </c>
      <c r="G50" s="21" t="s">
        <v>2058</v>
      </c>
      <c r="H50" s="21" t="s">
        <v>2059</v>
      </c>
      <c r="I50" s="21" t="s">
        <v>24</v>
      </c>
      <c r="J50" s="13" t="str">
        <f t="shared" si="0"/>
        <v>insert into chb_datacheck_condition (CHECKCONDITIONID,CHECKRULEID,CHECKMETHOD,SRCPROPERTY,COMPARETO,OBJVALUE,REMARK,STATUS) values ('WH3E4A49-6810-5A9E-E050-007F01006A21','W03E4A49-6810-5A9E-E050-007F01007A64','inArray','ASSET_TYPE2','==','1004','当资产/负债类别为本行发行的大额存单时','E');</v>
      </c>
    </row>
    <row r="51" spans="1:10" x14ac:dyDescent="0.25">
      <c r="A51" s="17">
        <v>48</v>
      </c>
      <c r="B51" s="21" t="s">
        <v>2279</v>
      </c>
      <c r="C51" s="21" t="s">
        <v>112</v>
      </c>
      <c r="D51" s="21" t="s">
        <v>1083</v>
      </c>
      <c r="E51" s="21" t="s">
        <v>910</v>
      </c>
      <c r="F51" s="21" t="s">
        <v>25</v>
      </c>
      <c r="G51" s="21" t="s">
        <v>2053</v>
      </c>
      <c r="H51" s="21" t="s">
        <v>2054</v>
      </c>
      <c r="I51" s="21" t="s">
        <v>24</v>
      </c>
      <c r="J51" s="13" t="str">
        <f t="shared" si="0"/>
        <v>insert into chb_datacheck_condition (CHECKCONDITIONID,CHECKRULEID,CHECKMETHOD,SRCPROPERTY,COMPARETO,OBJVALUE,REMARK,STATUS) values ('W13E4A49-6810-5A9E-E050-107F01006A59','W03E4A49-6810-5A9E-E050-107F01006A87','inArray','ASSET_TYPE2','==','1502,1505,1507,1508,1509','当资产/负债类别为QDII股票/基金类时','E');</v>
      </c>
    </row>
    <row r="52" spans="1:10" x14ac:dyDescent="0.25">
      <c r="A52" s="17">
        <v>49</v>
      </c>
      <c r="B52" s="21" t="s">
        <v>1531</v>
      </c>
      <c r="C52" s="21" t="s">
        <v>113</v>
      </c>
      <c r="D52" s="21" t="s">
        <v>1083</v>
      </c>
      <c r="E52" s="21" t="s">
        <v>910</v>
      </c>
      <c r="F52" s="21" t="s">
        <v>25</v>
      </c>
      <c r="G52" s="21" t="s">
        <v>2053</v>
      </c>
      <c r="H52" s="21" t="s">
        <v>2054</v>
      </c>
      <c r="I52" s="21" t="s">
        <v>24</v>
      </c>
      <c r="J52" s="13" t="str">
        <f t="shared" si="0"/>
        <v>insert into chb_datacheck_condition (CHECKCONDITIONID,CHECKRULEID,CHECKMETHOD,SRCPROPERTY,COMPARETO,OBJVALUE,REMARK,STATUS) values ('W13E4A49-6810-5A9E-E050-107F01006A62','W03E4A49-6810-5A9E-E050-107F01006A90','inArray','ASSET_TYPE2','==','1502,1505,1507,1508,1509','当资产/负债类别为QDII股票/基金类时','E');</v>
      </c>
    </row>
    <row r="53" spans="1:10" x14ac:dyDescent="0.25">
      <c r="A53" s="17">
        <v>50</v>
      </c>
      <c r="B53" s="21" t="s">
        <v>1532</v>
      </c>
      <c r="C53" s="21" t="s">
        <v>114</v>
      </c>
      <c r="D53" s="21" t="s">
        <v>1083</v>
      </c>
      <c r="E53" s="21" t="s">
        <v>910</v>
      </c>
      <c r="F53" s="21" t="s">
        <v>25</v>
      </c>
      <c r="G53" s="21" t="s">
        <v>2053</v>
      </c>
      <c r="H53" s="21" t="s">
        <v>2054</v>
      </c>
      <c r="I53" s="21" t="s">
        <v>24</v>
      </c>
      <c r="J53" s="13" t="str">
        <f t="shared" si="0"/>
        <v>insert into chb_datacheck_condition (CHECKCONDITIONID,CHECKRULEID,CHECKMETHOD,SRCPROPERTY,COMPARETO,OBJVALUE,REMARK,STATUS) values ('W13E4A49-6810-5A9E-E050-107F01006A63','W03E4A49-6810-5A9E-E050-107F01006A91','inArray','ASSET_TYPE2','==','1502,1505,1507,1508,1509','当资产/负债类别为QDII股票/基金类时','E');</v>
      </c>
    </row>
    <row r="54" spans="1:10" x14ac:dyDescent="0.25">
      <c r="A54" s="17">
        <v>51</v>
      </c>
      <c r="B54" s="21" t="s">
        <v>1533</v>
      </c>
      <c r="C54" s="21" t="s">
        <v>115</v>
      </c>
      <c r="D54" s="21" t="s">
        <v>1083</v>
      </c>
      <c r="E54" s="21" t="s">
        <v>1075</v>
      </c>
      <c r="F54" s="21" t="s">
        <v>41</v>
      </c>
      <c r="G54" s="21" t="s">
        <v>53</v>
      </c>
      <c r="H54" s="21" t="s">
        <v>2060</v>
      </c>
      <c r="I54" s="21" t="s">
        <v>24</v>
      </c>
      <c r="J54" s="13" t="str">
        <f t="shared" si="0"/>
        <v>insert into chb_datacheck_condition (CHECKCONDITIONID,CHECKRULEID,CHECKMETHOD,SRCPROPERTY,COMPARETO,OBJVALUE,REMARK,STATUS) values ('W84807E5-DF38-D920-E0WM-007F112077FG','W03E4A49-6810-5A9E-E0WM-007F01006A64','inArray','ASSET_TYPE','!=','01','当资产/负债类别不为本行/他行存款||大额存单时','E');</v>
      </c>
    </row>
    <row r="55" spans="1:10" x14ac:dyDescent="0.25">
      <c r="A55" s="17">
        <v>52</v>
      </c>
      <c r="B55" s="21" t="s">
        <v>1534</v>
      </c>
      <c r="C55" s="21" t="s">
        <v>1519</v>
      </c>
      <c r="D55" s="21" t="s">
        <v>1083</v>
      </c>
      <c r="E55" s="21" t="s">
        <v>910</v>
      </c>
      <c r="F55" s="21" t="s">
        <v>25</v>
      </c>
      <c r="G55" s="21" t="s">
        <v>2037</v>
      </c>
      <c r="H55" s="21" t="s">
        <v>2061</v>
      </c>
      <c r="I55" s="21" t="s">
        <v>24</v>
      </c>
      <c r="J55" s="13" t="str">
        <f t="shared" si="0"/>
        <v>insert into chb_datacheck_condition (CHECKCONDITIONID,CHECKRULEID,CHECKMETHOD,SRCPROPERTY,COMPARETO,OBJVALUE,REMARK,STATUS) values ('W21E4A49-6810-5A9E-E050-007F01006A20','W13E4A49-6810-5A9E-E050-007F01006A55','inArray','ASSET_TYPE2','==','1002,1003','当资产/负债类别为本行/他行存款时','E');</v>
      </c>
    </row>
    <row r="56" spans="1:10" x14ac:dyDescent="0.25">
      <c r="A56" s="17">
        <v>53</v>
      </c>
      <c r="B56" s="21" t="s">
        <v>2280</v>
      </c>
      <c r="C56" s="21" t="s">
        <v>2281</v>
      </c>
      <c r="D56" s="21" t="s">
        <v>1083</v>
      </c>
      <c r="E56" s="21" t="s">
        <v>910</v>
      </c>
      <c r="F56" s="21" t="s">
        <v>41</v>
      </c>
      <c r="G56" s="21" t="s">
        <v>2037</v>
      </c>
      <c r="H56" s="21" t="s">
        <v>2062</v>
      </c>
      <c r="I56" s="21" t="s">
        <v>24</v>
      </c>
      <c r="J56" s="13" t="str">
        <f t="shared" si="0"/>
        <v>insert into chb_datacheck_condition (CHECKCONDITIONID,CHECKRULEID,CHECKMETHOD,SRCPROPERTY,COMPARETO,OBJVALUE,REMARK,STATUS) values ('W13E4A49-6810-5A9E-E050-007F01006A21','W13E4A49-6810-5A9E-E050-007F01006A56','inArray','ASSET_TYPE2','!=','1002,1003','当资产/负债类别不为本行/他行存款时','E');</v>
      </c>
    </row>
    <row r="57" spans="1:10" x14ac:dyDescent="0.25">
      <c r="A57" s="17">
        <v>54</v>
      </c>
      <c r="B57" s="21" t="s">
        <v>1535</v>
      </c>
      <c r="C57" s="21" t="s">
        <v>118</v>
      </c>
      <c r="D57" s="21" t="s">
        <v>40</v>
      </c>
      <c r="E57" s="21" t="s">
        <v>822</v>
      </c>
      <c r="F57" s="21" t="s">
        <v>25</v>
      </c>
      <c r="G57" s="21" t="s">
        <v>2035</v>
      </c>
      <c r="H57" s="21" t="s">
        <v>2036</v>
      </c>
      <c r="I57" s="21" t="s">
        <v>24</v>
      </c>
      <c r="J57" s="13" t="str">
        <f t="shared" si="0"/>
        <v>insert into chb_datacheck_condition (CHECKCONDITIONID,CHECKRULEID,CHECKMETHOD,SRCPROPERTY,COMPARETO,OBJVALUE,REMARK,STATUS) values ('W13E4A49-6810-5A9E-E050-007F01006B16','W13E4A49-6810-5A9E-E050-007F01006A62','compareValue','DEPO_TYPE','==','06','当“存款类型”要素选择“06 结构性存款”时','E');</v>
      </c>
    </row>
    <row r="58" spans="1:10" x14ac:dyDescent="0.25">
      <c r="A58" s="17">
        <v>55</v>
      </c>
      <c r="B58" s="21" t="s">
        <v>140</v>
      </c>
      <c r="C58" s="21" t="s">
        <v>1527</v>
      </c>
      <c r="D58" s="21" t="s">
        <v>1083</v>
      </c>
      <c r="E58" s="21" t="s">
        <v>910</v>
      </c>
      <c r="F58" s="21" t="s">
        <v>25</v>
      </c>
      <c r="G58" s="21" t="s">
        <v>2063</v>
      </c>
      <c r="H58" s="21" t="s">
        <v>2064</v>
      </c>
      <c r="I58" s="21" t="s">
        <v>24</v>
      </c>
      <c r="J58" s="13" t="str">
        <f t="shared" si="0"/>
        <v>insert into chb_datacheck_condition (CHECKCONDITIONID,CHECKRULEID,CHECKMETHOD,SRCPROPERTY,COMPARETO,OBJVALUE,REMARK,STATUS) values ('W23E4A49-6810-5A9E-E050-007F01006A49','W13E4A49-6810-5A9E-E050-007F01006A68','inArray','ASSET_TYPE2','==','1101,1110,1109,1102,1111,1112,1113,1114,1115,1116,1117,2101,2501,2502','当资产/负债类别为债券类资产/理财直接融资工具/同业存单时','E');</v>
      </c>
    </row>
    <row r="59" spans="1:10" x14ac:dyDescent="0.25">
      <c r="A59" s="17">
        <v>56</v>
      </c>
      <c r="B59" s="21" t="s">
        <v>1546</v>
      </c>
      <c r="C59" s="21" t="s">
        <v>166</v>
      </c>
      <c r="D59" s="21" t="s">
        <v>1083</v>
      </c>
      <c r="E59" s="21" t="s">
        <v>910</v>
      </c>
      <c r="F59" s="21" t="s">
        <v>25</v>
      </c>
      <c r="G59" s="21" t="s">
        <v>2056</v>
      </c>
      <c r="H59" s="21" t="s">
        <v>2057</v>
      </c>
      <c r="I59" s="21" t="s">
        <v>24</v>
      </c>
      <c r="J59" s="13" t="str">
        <f t="shared" si="0"/>
        <v>insert into chb_datacheck_condition (CHECKCONDITIONID,CHECKRULEID,CHECKMETHOD,SRCPROPERTY,COMPARETO,OBJVALUE,REMARK,STATUS) values ('W13E4A49-6810-5A9E-E050-007F01006A72','W23E4A49-6810-5A9E-E050-007F01006A00','inArray','ASSET_TYPE2','==','1504,1506','当资产/负债类别为QDII拆出/逆回购资产时','E');</v>
      </c>
    </row>
    <row r="60" spans="1:10" x14ac:dyDescent="0.25">
      <c r="A60" s="17">
        <v>57</v>
      </c>
      <c r="B60" s="21" t="s">
        <v>1547</v>
      </c>
      <c r="C60" s="21" t="s">
        <v>167</v>
      </c>
      <c r="D60" s="21" t="s">
        <v>1083</v>
      </c>
      <c r="E60" s="21" t="s">
        <v>910</v>
      </c>
      <c r="F60" s="21" t="s">
        <v>25</v>
      </c>
      <c r="G60" s="21" t="s">
        <v>2068</v>
      </c>
      <c r="H60" s="21" t="s">
        <v>2069</v>
      </c>
      <c r="I60" s="21" t="s">
        <v>24</v>
      </c>
      <c r="J60" s="13" t="str">
        <f t="shared" si="0"/>
        <v>insert into chb_datacheck_condition (CHECKCONDITIONID,CHECKRULEID,CHECKMETHOD,SRCPROPERTY,COMPARETO,OBJVALUE,REMARK,STATUS) values ('W13E4A49-6810-5A9E-E050-007F01006A76','W23E4A49-6810-5A9E-E050-007F01006A02','inArray','ASSET_TYPE2','==','1501','当资产/负债类别为QDII债券资产时','E');</v>
      </c>
    </row>
    <row r="61" spans="1:10" x14ac:dyDescent="0.25">
      <c r="A61" s="17">
        <v>58</v>
      </c>
      <c r="B61" s="21" t="s">
        <v>1548</v>
      </c>
      <c r="C61" s="21" t="s">
        <v>168</v>
      </c>
      <c r="D61" s="21" t="s">
        <v>1083</v>
      </c>
      <c r="E61" s="21" t="s">
        <v>910</v>
      </c>
      <c r="F61" s="21" t="s">
        <v>25</v>
      </c>
      <c r="G61" s="21" t="s">
        <v>2068</v>
      </c>
      <c r="H61" s="21" t="s">
        <v>2069</v>
      </c>
      <c r="I61" s="21" t="s">
        <v>24</v>
      </c>
      <c r="J61" s="13" t="str">
        <f t="shared" si="0"/>
        <v>insert into chb_datacheck_condition (CHECKCONDITIONID,CHECKRULEID,CHECKMETHOD,SRCPROPERTY,COMPARETO,OBJVALUE,REMARK,STATUS) values ('W13E4A49-6810-5A9E-E050-007F01006A77','W23E4A49-6810-5A9E-E050-007F01006A03','inArray','ASSET_TYPE2','==','1501','当资产/负债类别为QDII债券资产时','E');</v>
      </c>
    </row>
    <row r="62" spans="1:10" x14ac:dyDescent="0.25">
      <c r="A62" s="17">
        <v>59</v>
      </c>
      <c r="B62" s="21" t="s">
        <v>1549</v>
      </c>
      <c r="C62" s="21" t="s">
        <v>169</v>
      </c>
      <c r="D62" s="21" t="s">
        <v>1083</v>
      </c>
      <c r="E62" s="21" t="s">
        <v>910</v>
      </c>
      <c r="F62" s="21" t="s">
        <v>25</v>
      </c>
      <c r="G62" s="21" t="s">
        <v>2068</v>
      </c>
      <c r="H62" s="21" t="s">
        <v>2069</v>
      </c>
      <c r="I62" s="21" t="s">
        <v>24</v>
      </c>
      <c r="J62" s="13" t="str">
        <f t="shared" si="0"/>
        <v>insert into chb_datacheck_condition (CHECKCONDITIONID,CHECKRULEID,CHECKMETHOD,SRCPROPERTY,COMPARETO,OBJVALUE,REMARK,STATUS) values ('W13E4A49-6810-5A9E-E050-007F01006A78','W23E4A49-6810-5A9E-E050-007F01006A04','inArray','ASSET_TYPE2','==','1501','当资产/负债类别为QDII债券资产时','E');</v>
      </c>
    </row>
    <row r="63" spans="1:10" x14ac:dyDescent="0.25">
      <c r="A63" s="17">
        <v>60</v>
      </c>
      <c r="B63" s="21" t="s">
        <v>1550</v>
      </c>
      <c r="C63" s="21" t="s">
        <v>170</v>
      </c>
      <c r="D63" s="21" t="s">
        <v>1083</v>
      </c>
      <c r="E63" s="21" t="s">
        <v>910</v>
      </c>
      <c r="F63" s="21" t="s">
        <v>25</v>
      </c>
      <c r="G63" s="21" t="s">
        <v>2068</v>
      </c>
      <c r="H63" s="21" t="s">
        <v>2069</v>
      </c>
      <c r="I63" s="21" t="s">
        <v>24</v>
      </c>
      <c r="J63" s="13" t="str">
        <f t="shared" si="0"/>
        <v>insert into chb_datacheck_condition (CHECKCONDITIONID,CHECKRULEID,CHECKMETHOD,SRCPROPERTY,COMPARETO,OBJVALUE,REMARK,STATUS) values ('W13E4A49-6810-5A9E-E050-007F01006A79','W23E4A49-6810-5A9E-E050-007F01006A05','inArray','ASSET_TYPE2','==','1501','当资产/负债类别为QDII债券资产时','E');</v>
      </c>
    </row>
    <row r="64" spans="1:10" x14ac:dyDescent="0.25">
      <c r="A64" s="17">
        <v>61</v>
      </c>
      <c r="B64" s="21" t="s">
        <v>1551</v>
      </c>
      <c r="C64" s="21" t="s">
        <v>171</v>
      </c>
      <c r="D64" s="21" t="s">
        <v>1083</v>
      </c>
      <c r="E64" s="21" t="s">
        <v>910</v>
      </c>
      <c r="F64" s="21" t="s">
        <v>25</v>
      </c>
      <c r="G64" s="21" t="s">
        <v>2068</v>
      </c>
      <c r="H64" s="21" t="s">
        <v>2069</v>
      </c>
      <c r="I64" s="21" t="s">
        <v>24</v>
      </c>
      <c r="J64" s="13" t="str">
        <f t="shared" si="0"/>
        <v>insert into chb_datacheck_condition (CHECKCONDITIONID,CHECKRULEID,CHECKMETHOD,SRCPROPERTY,COMPARETO,OBJVALUE,REMARK,STATUS) values ('W13E4A49-6810-5A9E-E050-007F01006A80','W23E4A49-6810-5A9E-E050-007F01006A06','inArray','ASSET_TYPE2','==','1501','当资产/负债类别为QDII债券资产时','E');</v>
      </c>
    </row>
    <row r="65" spans="1:10" x14ac:dyDescent="0.25">
      <c r="A65" s="17">
        <v>62</v>
      </c>
      <c r="B65" s="21" t="s">
        <v>1552</v>
      </c>
      <c r="C65" s="21" t="s">
        <v>172</v>
      </c>
      <c r="D65" s="21" t="s">
        <v>1083</v>
      </c>
      <c r="E65" s="21" t="s">
        <v>910</v>
      </c>
      <c r="F65" s="21" t="s">
        <v>25</v>
      </c>
      <c r="G65" s="21" t="s">
        <v>2068</v>
      </c>
      <c r="H65" s="21" t="s">
        <v>2069</v>
      </c>
      <c r="I65" s="21" t="s">
        <v>24</v>
      </c>
      <c r="J65" s="13" t="str">
        <f t="shared" si="0"/>
        <v>insert into chb_datacheck_condition (CHECKCONDITIONID,CHECKRULEID,CHECKMETHOD,SRCPROPERTY,COMPARETO,OBJVALUE,REMARK,STATUS) values ('W13E4A49-6810-5A9E-E050-007F01006A81','W23E4A49-6810-5A9E-E050-007F01006A07','inArray','ASSET_TYPE2','==','1501','当资产/负债类别为QDII债券资产时','E');</v>
      </c>
    </row>
    <row r="66" spans="1:10" x14ac:dyDescent="0.25">
      <c r="A66" s="17">
        <v>63</v>
      </c>
      <c r="B66" s="21" t="s">
        <v>1553</v>
      </c>
      <c r="C66" s="21" t="s">
        <v>173</v>
      </c>
      <c r="D66" s="21" t="s">
        <v>1083</v>
      </c>
      <c r="E66" s="21" t="s">
        <v>910</v>
      </c>
      <c r="F66" s="21" t="s">
        <v>25</v>
      </c>
      <c r="G66" s="21" t="s">
        <v>2068</v>
      </c>
      <c r="H66" s="21" t="s">
        <v>2069</v>
      </c>
      <c r="I66" s="21" t="s">
        <v>24</v>
      </c>
      <c r="J66" s="13" t="str">
        <f t="shared" si="0"/>
        <v>insert into chb_datacheck_condition (CHECKCONDITIONID,CHECKRULEID,CHECKMETHOD,SRCPROPERTY,COMPARETO,OBJVALUE,REMARK,STATUS) values ('W13E4A49-6810-5A9E-E050-007F01006A82','W23E4A49-6810-5A9E-E050-007F01006A08','inArray','ASSET_TYPE2','==','1501','当资产/负债类别为QDII债券资产时','E');</v>
      </c>
    </row>
    <row r="67" spans="1:10" x14ac:dyDescent="0.25">
      <c r="A67" s="17">
        <v>64</v>
      </c>
      <c r="B67" s="21" t="s">
        <v>1554</v>
      </c>
      <c r="C67" s="21" t="s">
        <v>174</v>
      </c>
      <c r="D67" s="21" t="s">
        <v>1083</v>
      </c>
      <c r="E67" s="21" t="s">
        <v>910</v>
      </c>
      <c r="F67" s="21" t="s">
        <v>25</v>
      </c>
      <c r="G67" s="21" t="s">
        <v>2068</v>
      </c>
      <c r="H67" s="21" t="s">
        <v>2069</v>
      </c>
      <c r="I67" s="21" t="s">
        <v>24</v>
      </c>
      <c r="J67" s="13" t="str">
        <f t="shared" si="0"/>
        <v>insert into chb_datacheck_condition (CHECKCONDITIONID,CHECKRULEID,CHECKMETHOD,SRCPROPERTY,COMPARETO,OBJVALUE,REMARK,STATUS) values ('W13E4A49-6810-5A9E-E050-007F01006A83','W23E4A49-6810-5A9E-E050-007F01006A09','inArray','ASSET_TYPE2','==','1501','当资产/负债类别为QDII债券资产时','E');</v>
      </c>
    </row>
    <row r="68" spans="1:10" x14ac:dyDescent="0.25">
      <c r="A68" s="17">
        <v>65</v>
      </c>
      <c r="B68" s="21" t="s">
        <v>1555</v>
      </c>
      <c r="C68" s="21" t="s">
        <v>175</v>
      </c>
      <c r="D68" s="21" t="s">
        <v>1083</v>
      </c>
      <c r="E68" s="21" t="s">
        <v>910</v>
      </c>
      <c r="F68" s="21" t="s">
        <v>25</v>
      </c>
      <c r="G68" s="21" t="s">
        <v>2068</v>
      </c>
      <c r="H68" s="21" t="s">
        <v>2069</v>
      </c>
      <c r="I68" s="21" t="s">
        <v>24</v>
      </c>
      <c r="J68" s="13" t="str">
        <f t="shared" si="0"/>
        <v>insert into chb_datacheck_condition (CHECKCONDITIONID,CHECKRULEID,CHECKMETHOD,SRCPROPERTY,COMPARETO,OBJVALUE,REMARK,STATUS) values ('W13E4A49-6810-5A9E-E050-007F01006A84','W23E4A49-6810-5A9E-E050-007F01006A10','inArray','ASSET_TYPE2','==','1501','当资产/负债类别为QDII债券资产时','E');</v>
      </c>
    </row>
    <row r="69" spans="1:10" x14ac:dyDescent="0.25">
      <c r="A69" s="17">
        <v>66</v>
      </c>
      <c r="B69" s="21" t="s">
        <v>1556</v>
      </c>
      <c r="C69" s="21" t="s">
        <v>176</v>
      </c>
      <c r="D69" s="21" t="s">
        <v>1083</v>
      </c>
      <c r="E69" s="21" t="s">
        <v>910</v>
      </c>
      <c r="F69" s="21" t="s">
        <v>25</v>
      </c>
      <c r="G69" s="21" t="s">
        <v>2068</v>
      </c>
      <c r="H69" s="21" t="s">
        <v>2069</v>
      </c>
      <c r="I69" s="21" t="s">
        <v>24</v>
      </c>
      <c r="J69" s="13" t="str">
        <f t="shared" ref="J69:J132" si="1">CONCATENATE("insert into chb_datacheck_condition (CHECKCONDITIONID,CHECKRULEID,CHECKMETHOD,SRCPROPERTY,COMPARETO,OBJVALUE,REMARK,STATUS) values ('",B69,"','",C69,"','",D69,"','",E69,"','",F69,"','",G69,"','",H69,"','",I69,"');")</f>
        <v>insert into chb_datacheck_condition (CHECKCONDITIONID,CHECKRULEID,CHECKMETHOD,SRCPROPERTY,COMPARETO,OBJVALUE,REMARK,STATUS) values ('W13E4A49-6810-5A9E-E050-007F01006A85','W23E4A49-6810-5A9E-E050-007F01006A11','inArray','ASSET_TYPE2','==','1501','当资产/负债类别为QDII债券资产时','E');</v>
      </c>
    </row>
    <row r="70" spans="1:10" x14ac:dyDescent="0.25">
      <c r="A70" s="17">
        <v>67</v>
      </c>
      <c r="B70" s="21" t="s">
        <v>1557</v>
      </c>
      <c r="C70" s="21" t="s">
        <v>177</v>
      </c>
      <c r="D70" s="21" t="s">
        <v>1083</v>
      </c>
      <c r="E70" s="21" t="s">
        <v>910</v>
      </c>
      <c r="F70" s="21" t="s">
        <v>25</v>
      </c>
      <c r="G70" s="21" t="s">
        <v>2068</v>
      </c>
      <c r="H70" s="21" t="s">
        <v>2069</v>
      </c>
      <c r="I70" s="21" t="s">
        <v>24</v>
      </c>
      <c r="J70" s="13" t="str">
        <f t="shared" si="1"/>
        <v>insert into chb_datacheck_condition (CHECKCONDITIONID,CHECKRULEID,CHECKMETHOD,SRCPROPERTY,COMPARETO,OBJVALUE,REMARK,STATUS) values ('W13E4A49-6810-5A9E-E050-007F01006A86','W23E4A49-6810-5A9E-E050-007F01006A12','inArray','ASSET_TYPE2','==','1501','当资产/负债类别为QDII债券资产时','E');</v>
      </c>
    </row>
    <row r="71" spans="1:10" s="16" customFormat="1" x14ac:dyDescent="0.25">
      <c r="A71" s="17">
        <v>68</v>
      </c>
      <c r="B71" s="21" t="s">
        <v>1558</v>
      </c>
      <c r="C71" s="21" t="s">
        <v>178</v>
      </c>
      <c r="D71" s="21" t="s">
        <v>1083</v>
      </c>
      <c r="E71" s="21" t="s">
        <v>910</v>
      </c>
      <c r="F71" s="21" t="s">
        <v>25</v>
      </c>
      <c r="G71" s="21" t="s">
        <v>2068</v>
      </c>
      <c r="H71" s="21" t="s">
        <v>2069</v>
      </c>
      <c r="I71" s="21" t="s">
        <v>24</v>
      </c>
      <c r="J71" s="14" t="str">
        <f t="shared" si="1"/>
        <v>insert into chb_datacheck_condition (CHECKCONDITIONID,CHECKRULEID,CHECKMETHOD,SRCPROPERTY,COMPARETO,OBJVALUE,REMARK,STATUS) values ('W13E4A49-6810-5A9E-E050-007F01006A87','W23E4A49-6810-5A9E-E050-007F01006A13','inArray','ASSET_TYPE2','==','1501','当资产/负债类别为QDII债券资产时','E');</v>
      </c>
    </row>
    <row r="72" spans="1:10" x14ac:dyDescent="0.25">
      <c r="A72" s="17">
        <v>69</v>
      </c>
      <c r="B72" s="21" t="s">
        <v>1561</v>
      </c>
      <c r="C72" s="21" t="s">
        <v>179</v>
      </c>
      <c r="D72" s="21" t="s">
        <v>1083</v>
      </c>
      <c r="E72" s="21" t="s">
        <v>910</v>
      </c>
      <c r="F72" s="21" t="s">
        <v>25</v>
      </c>
      <c r="G72" s="21" t="s">
        <v>2068</v>
      </c>
      <c r="H72" s="21" t="s">
        <v>2069</v>
      </c>
      <c r="I72" s="21" t="s">
        <v>24</v>
      </c>
      <c r="J72" s="13" t="str">
        <f t="shared" si="1"/>
        <v>insert into chb_datacheck_condition (CHECKCONDITIONID,CHECKRULEID,CHECKMETHOD,SRCPROPERTY,COMPARETO,OBJVALUE,REMARK,STATUS) values ('W13E4A49-6810-5A9E-E050-007F01006A90','W23E4A49-6810-5A9E-E050-007F01006A16','inArray','ASSET_TYPE2','==','1501','当资产/负债类别为QDII债券资产时','E');</v>
      </c>
    </row>
    <row r="73" spans="1:10" x14ac:dyDescent="0.25">
      <c r="A73" s="17">
        <v>70</v>
      </c>
      <c r="B73" s="21" t="s">
        <v>1562</v>
      </c>
      <c r="C73" s="21" t="s">
        <v>180</v>
      </c>
      <c r="D73" s="21" t="s">
        <v>1083</v>
      </c>
      <c r="E73" s="21" t="s">
        <v>910</v>
      </c>
      <c r="F73" s="21" t="s">
        <v>25</v>
      </c>
      <c r="G73" s="21" t="s">
        <v>2068</v>
      </c>
      <c r="H73" s="21" t="s">
        <v>2069</v>
      </c>
      <c r="I73" s="21" t="s">
        <v>24</v>
      </c>
      <c r="J73" s="13" t="str">
        <f t="shared" si="1"/>
        <v>insert into chb_datacheck_condition (CHECKCONDITIONID,CHECKRULEID,CHECKMETHOD,SRCPROPERTY,COMPARETO,OBJVALUE,REMARK,STATUS) values ('W13E4A49-6810-5A9E-E050-007F01006A91','W23E4A49-6810-5A9E-E050-007F01006A17','inArray','ASSET_TYPE2','==','1501','当资产/负债类别为QDII债券资产时','E');</v>
      </c>
    </row>
    <row r="74" spans="1:10" x14ac:dyDescent="0.25">
      <c r="A74" s="17">
        <v>71</v>
      </c>
      <c r="B74" s="21" t="s">
        <v>2269</v>
      </c>
      <c r="C74" s="21" t="s">
        <v>181</v>
      </c>
      <c r="D74" s="21" t="s">
        <v>1083</v>
      </c>
      <c r="E74" s="21" t="s">
        <v>910</v>
      </c>
      <c r="F74" s="21" t="s">
        <v>25</v>
      </c>
      <c r="G74" s="21" t="s">
        <v>2156</v>
      </c>
      <c r="H74" s="21" t="s">
        <v>2160</v>
      </c>
      <c r="I74" s="21" t="s">
        <v>24</v>
      </c>
      <c r="J74" s="13" t="str">
        <f t="shared" si="1"/>
        <v>insert into chb_datacheck_condition (CHECKCONDITIONID,CHECKRULEID,CHECKMETHOD,SRCPROPERTY,COMPARETO,OBJVALUE,REMARK,STATUS) values ('W84807E5-DF38-D920-E050-507F112080FJ','W23E4A49-6810-5A9E-E050-007F01006A18','inArray','ASSET_TYPE2','==','1299','当资产/负债类别为1299其他非标准化债权类投资时','E');</v>
      </c>
    </row>
    <row r="75" spans="1:10" x14ac:dyDescent="0.25">
      <c r="A75" s="17">
        <v>72</v>
      </c>
      <c r="B75" s="21" t="s">
        <v>2270</v>
      </c>
      <c r="C75" s="21" t="s">
        <v>181</v>
      </c>
      <c r="D75" s="21" t="s">
        <v>22</v>
      </c>
      <c r="E75" s="21" t="s">
        <v>1132</v>
      </c>
      <c r="F75" s="21"/>
      <c r="G75" s="21" t="s">
        <v>26</v>
      </c>
      <c r="H75" s="21" t="s">
        <v>2159</v>
      </c>
      <c r="I75" s="21" t="s">
        <v>24</v>
      </c>
      <c r="J75" s="13" t="str">
        <f t="shared" si="1"/>
        <v>insert into chb_datacheck_condition (CHECKCONDITIONID,CHECKRULEID,CHECKMETHOD,SRCPROPERTY,COMPARETO,OBJVALUE,REMARK,STATUS) values ('W84807E5-DF38-D920-E050-507F112081FJ','W23E4A49-6810-5A9E-E050-007F01006A18','isNotEmpty','GUA_TYPE','','0','“担保方式”不为空时','E');</v>
      </c>
    </row>
    <row r="76" spans="1:10" x14ac:dyDescent="0.25">
      <c r="A76" s="17">
        <v>73</v>
      </c>
      <c r="B76" s="21" t="s">
        <v>1536</v>
      </c>
      <c r="C76" s="21" t="s">
        <v>122</v>
      </c>
      <c r="D76" s="21" t="s">
        <v>40</v>
      </c>
      <c r="E76" s="21" t="s">
        <v>822</v>
      </c>
      <c r="F76" s="21" t="s">
        <v>25</v>
      </c>
      <c r="G76" s="21" t="s">
        <v>2035</v>
      </c>
      <c r="H76" s="21" t="s">
        <v>2036</v>
      </c>
      <c r="I76" s="21" t="s">
        <v>24</v>
      </c>
      <c r="J76" s="13" t="str">
        <f t="shared" si="1"/>
        <v>insert into chb_datacheck_condition (CHECKCONDITIONID,CHECKRULEID,CHECKMETHOD,SRCPROPERTY,COMPARETO,OBJVALUE,REMARK,STATUS) values ('W13E4A49-6810-5A9E-E050-007F01006C16','W23E4A49-6810-5A9E-E050-007F01006A20','compareValue','DEPO_TYPE','==','06','当“存款类型”要素选择“06 结构性存款”时','E');</v>
      </c>
    </row>
    <row r="77" spans="1:10" x14ac:dyDescent="0.25">
      <c r="A77" s="17">
        <v>74</v>
      </c>
      <c r="B77" s="21" t="s">
        <v>1537</v>
      </c>
      <c r="C77" s="21" t="s">
        <v>124</v>
      </c>
      <c r="D77" s="21" t="s">
        <v>1083</v>
      </c>
      <c r="E77" s="21" t="s">
        <v>1075</v>
      </c>
      <c r="F77" s="21" t="s">
        <v>25</v>
      </c>
      <c r="G77" s="21" t="s">
        <v>2399</v>
      </c>
      <c r="H77" s="21" t="s">
        <v>2400</v>
      </c>
      <c r="I77" s="21" t="s">
        <v>24</v>
      </c>
      <c r="J77" s="13" t="str">
        <f t="shared" si="1"/>
        <v>insert into chb_datacheck_condition (CHECKCONDITIONID,CHECKRULEID,CHECKMETHOD,SRCPROPERTY,COMPARETO,OBJVALUE,REMARK,STATUS) values ('W13E4A49-6810-5A9E-E050-107F01006A60','W23E4A49-6810-5A9E-E050-007F01006A22','inArray','ASSET_TYPE','==','03','当资产/负债类别为债券类资产时','E');</v>
      </c>
    </row>
    <row r="78" spans="1:10" x14ac:dyDescent="0.25">
      <c r="A78" s="17">
        <v>75</v>
      </c>
      <c r="B78" s="21" t="s">
        <v>1574</v>
      </c>
      <c r="C78" s="21" t="s">
        <v>182</v>
      </c>
      <c r="D78" s="21" t="s">
        <v>1083</v>
      </c>
      <c r="E78" s="21" t="s">
        <v>910</v>
      </c>
      <c r="F78" s="21" t="s">
        <v>25</v>
      </c>
      <c r="G78" s="21" t="s">
        <v>2081</v>
      </c>
      <c r="H78" s="21" t="s">
        <v>2082</v>
      </c>
      <c r="I78" s="21" t="s">
        <v>24</v>
      </c>
      <c r="J78" s="13" t="str">
        <f t="shared" si="1"/>
        <v>insert into chb_datacheck_condition (CHECKCONDITIONID,CHECKRULEID,CHECKMETHOD,SRCPROPERTY,COMPARETO,OBJVALUE,REMARK,STATUS) values ('W33E4A49-6810-5A9E-E050-007F01006A04','W23E4A49-6810-5A9E-E050-007F01006A30','inArray','ASSET_TYPE2','==','1503','当资产/负债类别为QDII结构性票据类资产时','E');</v>
      </c>
    </row>
    <row r="79" spans="1:10" x14ac:dyDescent="0.25">
      <c r="A79" s="17">
        <v>76</v>
      </c>
      <c r="B79" s="21" t="s">
        <v>1575</v>
      </c>
      <c r="C79" s="21" t="s">
        <v>183</v>
      </c>
      <c r="D79" s="21" t="s">
        <v>1083</v>
      </c>
      <c r="E79" s="21" t="s">
        <v>910</v>
      </c>
      <c r="F79" s="21" t="s">
        <v>25</v>
      </c>
      <c r="G79" s="21" t="s">
        <v>2081</v>
      </c>
      <c r="H79" s="21" t="s">
        <v>2082</v>
      </c>
      <c r="I79" s="21" t="s">
        <v>24</v>
      </c>
      <c r="J79" s="13" t="str">
        <f t="shared" si="1"/>
        <v>insert into chb_datacheck_condition (CHECKCONDITIONID,CHECKRULEID,CHECKMETHOD,SRCPROPERTY,COMPARETO,OBJVALUE,REMARK,STATUS) values ('W33E4A49-6810-5A9E-E050-007F01006A05','W23E4A49-6810-5A9E-E050-007F01006A31','inArray','ASSET_TYPE2','==','1503','当资产/负债类别为QDII结构性票据类资产时','E');</v>
      </c>
    </row>
    <row r="80" spans="1:10" x14ac:dyDescent="0.25">
      <c r="A80" s="17">
        <v>77</v>
      </c>
      <c r="B80" s="21" t="s">
        <v>1576</v>
      </c>
      <c r="C80" s="21" t="s">
        <v>184</v>
      </c>
      <c r="D80" s="21" t="s">
        <v>1083</v>
      </c>
      <c r="E80" s="21" t="s">
        <v>910</v>
      </c>
      <c r="F80" s="21" t="s">
        <v>25</v>
      </c>
      <c r="G80" s="21" t="s">
        <v>2081</v>
      </c>
      <c r="H80" s="21" t="s">
        <v>2082</v>
      </c>
      <c r="I80" s="21" t="s">
        <v>24</v>
      </c>
      <c r="J80" s="13" t="str">
        <f t="shared" si="1"/>
        <v>insert into chb_datacheck_condition (CHECKCONDITIONID,CHECKRULEID,CHECKMETHOD,SRCPROPERTY,COMPARETO,OBJVALUE,REMARK,STATUS) values ('W33E4A49-6810-5A9E-E050-007F01006A06','W23E4A49-6810-5A9E-E050-007F01006A32','inArray','ASSET_TYPE2','==','1503','当资产/负债类别为QDII结构性票据类资产时','E');</v>
      </c>
    </row>
    <row r="81" spans="1:10" x14ac:dyDescent="0.25">
      <c r="A81" s="17">
        <v>78</v>
      </c>
      <c r="B81" s="21" t="s">
        <v>1577</v>
      </c>
      <c r="C81" s="21" t="s">
        <v>185</v>
      </c>
      <c r="D81" s="21" t="s">
        <v>1083</v>
      </c>
      <c r="E81" s="21" t="s">
        <v>910</v>
      </c>
      <c r="F81" s="21" t="s">
        <v>25</v>
      </c>
      <c r="G81" s="21" t="s">
        <v>2081</v>
      </c>
      <c r="H81" s="21" t="s">
        <v>2082</v>
      </c>
      <c r="I81" s="21" t="s">
        <v>24</v>
      </c>
      <c r="J81" s="13" t="str">
        <f t="shared" si="1"/>
        <v>insert into chb_datacheck_condition (CHECKCONDITIONID,CHECKRULEID,CHECKMETHOD,SRCPROPERTY,COMPARETO,OBJVALUE,REMARK,STATUS) values ('W33E4A49-6810-5A9E-E050-007F01006A07','W23E4A49-6810-5A9E-E050-007F01006A33','inArray','ASSET_TYPE2','==','1503','当资产/负债类别为QDII结构性票据类资产时','E');</v>
      </c>
    </row>
    <row r="82" spans="1:10" x14ac:dyDescent="0.25">
      <c r="A82" s="17">
        <v>79</v>
      </c>
      <c r="B82" s="21" t="s">
        <v>1579</v>
      </c>
      <c r="C82" s="21" t="s">
        <v>186</v>
      </c>
      <c r="D82" s="21" t="s">
        <v>1083</v>
      </c>
      <c r="E82" s="21" t="s">
        <v>910</v>
      </c>
      <c r="F82" s="21" t="s">
        <v>25</v>
      </c>
      <c r="G82" s="21" t="s">
        <v>2081</v>
      </c>
      <c r="H82" s="21" t="s">
        <v>2082</v>
      </c>
      <c r="I82" s="21" t="s">
        <v>24</v>
      </c>
      <c r="J82" s="13" t="str">
        <f t="shared" si="1"/>
        <v>insert into chb_datacheck_condition (CHECKCONDITIONID,CHECKRULEID,CHECKMETHOD,SRCPROPERTY,COMPARETO,OBJVALUE,REMARK,STATUS) values ('W33E4A49-6810-5A9E-E050-007F01006A09','W23E4A49-6810-5A9E-E050-007F01006A35','inArray','ASSET_TYPE2','==','1503','当资产/负债类别为QDII结构性票据类资产时','E');</v>
      </c>
    </row>
    <row r="83" spans="1:10" x14ac:dyDescent="0.25">
      <c r="A83" s="17">
        <v>80</v>
      </c>
      <c r="B83" s="21" t="s">
        <v>1580</v>
      </c>
      <c r="C83" s="21" t="s">
        <v>187</v>
      </c>
      <c r="D83" s="21" t="s">
        <v>1083</v>
      </c>
      <c r="E83" s="21" t="s">
        <v>910</v>
      </c>
      <c r="F83" s="21" t="s">
        <v>25</v>
      </c>
      <c r="G83" s="21" t="s">
        <v>2081</v>
      </c>
      <c r="H83" s="21" t="s">
        <v>2082</v>
      </c>
      <c r="I83" s="21" t="s">
        <v>24</v>
      </c>
      <c r="J83" s="13" t="str">
        <f t="shared" si="1"/>
        <v>insert into chb_datacheck_condition (CHECKCONDITIONID,CHECKRULEID,CHECKMETHOD,SRCPROPERTY,COMPARETO,OBJVALUE,REMARK,STATUS) values ('W33E4A49-6810-5A9E-E050-007F01006A10','W23E4A49-6810-5A9E-E050-007F01006A36','inArray','ASSET_TYPE2','==','1503','当资产/负债类别为QDII结构性票据类资产时','E');</v>
      </c>
    </row>
    <row r="84" spans="1:10" x14ac:dyDescent="0.25">
      <c r="A84" s="17">
        <v>81</v>
      </c>
      <c r="B84" s="21" t="s">
        <v>1581</v>
      </c>
      <c r="C84" s="21" t="s">
        <v>188</v>
      </c>
      <c r="D84" s="21" t="s">
        <v>1083</v>
      </c>
      <c r="E84" s="21" t="s">
        <v>910</v>
      </c>
      <c r="F84" s="21" t="s">
        <v>25</v>
      </c>
      <c r="G84" s="21" t="s">
        <v>2081</v>
      </c>
      <c r="H84" s="21" t="s">
        <v>2082</v>
      </c>
      <c r="I84" s="21" t="s">
        <v>24</v>
      </c>
      <c r="J84" s="13" t="str">
        <f t="shared" si="1"/>
        <v>insert into chb_datacheck_condition (CHECKCONDITIONID,CHECKRULEID,CHECKMETHOD,SRCPROPERTY,COMPARETO,OBJVALUE,REMARK,STATUS) values ('W33E4A49-6810-5A9E-E050-007F01006A11','W23E4A49-6810-5A9E-E050-007F01006A37','inArray','ASSET_TYPE2','==','1503','当资产/负债类别为QDII结构性票据类资产时','E');</v>
      </c>
    </row>
    <row r="85" spans="1:10" x14ac:dyDescent="0.25">
      <c r="A85" s="17">
        <v>82</v>
      </c>
      <c r="B85" s="21" t="s">
        <v>1582</v>
      </c>
      <c r="C85" s="21" t="s">
        <v>189</v>
      </c>
      <c r="D85" s="21" t="s">
        <v>1083</v>
      </c>
      <c r="E85" s="21" t="s">
        <v>910</v>
      </c>
      <c r="F85" s="21" t="s">
        <v>25</v>
      </c>
      <c r="G85" s="21" t="s">
        <v>2081</v>
      </c>
      <c r="H85" s="21" t="s">
        <v>2082</v>
      </c>
      <c r="I85" s="21" t="s">
        <v>24</v>
      </c>
      <c r="J85" s="13" t="str">
        <f t="shared" si="1"/>
        <v>insert into chb_datacheck_condition (CHECKCONDITIONID,CHECKRULEID,CHECKMETHOD,SRCPROPERTY,COMPARETO,OBJVALUE,REMARK,STATUS) values ('W33E4A49-6810-5A9E-E050-007F01006A12','W23E4A49-6810-5A9E-E050-007F01006A38','inArray','ASSET_TYPE2','==','1503','当资产/负债类别为QDII结构性票据类资产时','E');</v>
      </c>
    </row>
    <row r="86" spans="1:10" x14ac:dyDescent="0.25">
      <c r="A86" s="17">
        <v>83</v>
      </c>
      <c r="B86" s="21" t="s">
        <v>1583</v>
      </c>
      <c r="C86" s="21" t="s">
        <v>190</v>
      </c>
      <c r="D86" s="21" t="s">
        <v>1083</v>
      </c>
      <c r="E86" s="21" t="s">
        <v>910</v>
      </c>
      <c r="F86" s="21" t="s">
        <v>25</v>
      </c>
      <c r="G86" s="21" t="s">
        <v>2081</v>
      </c>
      <c r="H86" s="21" t="s">
        <v>2082</v>
      </c>
      <c r="I86" s="21" t="s">
        <v>24</v>
      </c>
      <c r="J86" s="13" t="str">
        <f t="shared" si="1"/>
        <v>insert into chb_datacheck_condition (CHECKCONDITIONID,CHECKRULEID,CHECKMETHOD,SRCPROPERTY,COMPARETO,OBJVALUE,REMARK,STATUS) values ('W33E4A49-6810-5A9E-E050-007F01006A13','W23E4A49-6810-5A9E-E050-007F01006A39','inArray','ASSET_TYPE2','==','1503','当资产/负债类别为QDII结构性票据类资产时','E');</v>
      </c>
    </row>
    <row r="87" spans="1:10" x14ac:dyDescent="0.25">
      <c r="A87" s="17">
        <v>84</v>
      </c>
      <c r="B87" s="21" t="s">
        <v>1584</v>
      </c>
      <c r="C87" s="21" t="s">
        <v>191</v>
      </c>
      <c r="D87" s="21" t="s">
        <v>1083</v>
      </c>
      <c r="E87" s="21" t="s">
        <v>910</v>
      </c>
      <c r="F87" s="21" t="s">
        <v>25</v>
      </c>
      <c r="G87" s="21" t="s">
        <v>2081</v>
      </c>
      <c r="H87" s="21" t="s">
        <v>2082</v>
      </c>
      <c r="I87" s="21" t="s">
        <v>24</v>
      </c>
      <c r="J87" s="13" t="str">
        <f t="shared" si="1"/>
        <v>insert into chb_datacheck_condition (CHECKCONDITIONID,CHECKRULEID,CHECKMETHOD,SRCPROPERTY,COMPARETO,OBJVALUE,REMARK,STATUS) values ('W33E4A49-6810-5A9E-E050-007F01006A14','W23E4A49-6810-5A9E-E050-007F01006A40','inArray','ASSET_TYPE2','==','1503','当资产/负债类别为QDII结构性票据类资产时','E');</v>
      </c>
    </row>
    <row r="88" spans="1:10" x14ac:dyDescent="0.25">
      <c r="A88" s="17">
        <v>85</v>
      </c>
      <c r="B88" s="21" t="s">
        <v>1585</v>
      </c>
      <c r="C88" s="21" t="s">
        <v>192</v>
      </c>
      <c r="D88" s="21" t="s">
        <v>1083</v>
      </c>
      <c r="E88" s="21" t="s">
        <v>910</v>
      </c>
      <c r="F88" s="21" t="s">
        <v>25</v>
      </c>
      <c r="G88" s="21" t="s">
        <v>2081</v>
      </c>
      <c r="H88" s="21" t="s">
        <v>2082</v>
      </c>
      <c r="I88" s="21" t="s">
        <v>24</v>
      </c>
      <c r="J88" s="13" t="str">
        <f t="shared" si="1"/>
        <v>insert into chb_datacheck_condition (CHECKCONDITIONID,CHECKRULEID,CHECKMETHOD,SRCPROPERTY,COMPARETO,OBJVALUE,REMARK,STATUS) values ('W33E4A49-6810-5A9E-E050-007F01006A15','W23E4A49-6810-5A9E-E050-007F01006A41','inArray','ASSET_TYPE2','==','1503','当资产/负债类别为QDII结构性票据类资产时','E');</v>
      </c>
    </row>
    <row r="89" spans="1:10" x14ac:dyDescent="0.25">
      <c r="A89" s="17">
        <v>86</v>
      </c>
      <c r="B89" s="21" t="s">
        <v>2272</v>
      </c>
      <c r="C89" s="21" t="s">
        <v>134</v>
      </c>
      <c r="D89" s="21" t="s">
        <v>22</v>
      </c>
      <c r="E89" s="21" t="s">
        <v>1132</v>
      </c>
      <c r="F89" s="21"/>
      <c r="G89" s="21" t="s">
        <v>26</v>
      </c>
      <c r="H89" s="21" t="s">
        <v>2159</v>
      </c>
      <c r="I89" s="21" t="s">
        <v>24</v>
      </c>
      <c r="J89" s="13" t="str">
        <f t="shared" si="1"/>
        <v>insert into chb_datacheck_condition (CHECKCONDITIONID,CHECKRULEID,CHECKMETHOD,SRCPROPERTY,COMPARETO,OBJVALUE,REMARK,STATUS) values ('W84807E5-DF38-D920-E050-507F112083FJ','W23E4A49-6810-5A9E-E050-007F01006A43','isNotEmpty','GUA_TYPE','','0','“担保方式”不为空时','E');</v>
      </c>
    </row>
    <row r="90" spans="1:10" x14ac:dyDescent="0.25">
      <c r="A90" s="17">
        <v>87</v>
      </c>
      <c r="B90" s="21" t="s">
        <v>2271</v>
      </c>
      <c r="C90" s="21" t="s">
        <v>134</v>
      </c>
      <c r="D90" s="21" t="s">
        <v>1083</v>
      </c>
      <c r="E90" s="21" t="s">
        <v>910</v>
      </c>
      <c r="F90" s="21" t="s">
        <v>25</v>
      </c>
      <c r="G90" s="21" t="s">
        <v>2161</v>
      </c>
      <c r="H90" s="21" t="s">
        <v>2162</v>
      </c>
      <c r="I90" s="21" t="s">
        <v>24</v>
      </c>
      <c r="J90" s="13" t="str">
        <f t="shared" si="1"/>
        <v>insert into chb_datacheck_condition (CHECKCONDITIONID,CHECKRULEID,CHECKMETHOD,SRCPROPERTY,COMPARETO,OBJVALUE,REMARK,STATUS) values ('W84807E5-DF38-D920-E050-507F112082FJ','W23E4A49-6810-5A9E-E050-007F01006A43','inArray','ASSET_TYPE2','==','1202,1203,1204,1205,1206,1207,1208,1209','当资产/负债类别为非标准化债权类资产时','E');</v>
      </c>
    </row>
    <row r="91" spans="1:10" x14ac:dyDescent="0.25">
      <c r="A91" s="17">
        <v>88</v>
      </c>
      <c r="B91" s="21" t="s">
        <v>1602</v>
      </c>
      <c r="C91" s="21" t="s">
        <v>193</v>
      </c>
      <c r="D91" s="21" t="s">
        <v>1083</v>
      </c>
      <c r="E91" s="21" t="s">
        <v>910</v>
      </c>
      <c r="F91" s="21" t="s">
        <v>25</v>
      </c>
      <c r="G91" s="21" t="s">
        <v>2085</v>
      </c>
      <c r="H91" s="21" t="s">
        <v>2086</v>
      </c>
      <c r="I91" s="21" t="s">
        <v>24</v>
      </c>
      <c r="J91" s="13" t="str">
        <f t="shared" si="1"/>
        <v>insert into chb_datacheck_condition (CHECKCONDITIONID,CHECKRULEID,CHECKMETHOD,SRCPROPERTY,COMPARETO,OBJVALUE,REMARK,STATUS) values ('W33E4A49-6810-5A9E-E050-007F01006A36','W23E4A49-6810-5A9E-E050-007F01006A60','inArray','ASSET_TYPE2','==','2301,2302,2303,2304,2305,1603','当资产/负债类别为另类资产时','E');</v>
      </c>
    </row>
    <row r="92" spans="1:10" x14ac:dyDescent="0.25">
      <c r="A92" s="17">
        <v>89</v>
      </c>
      <c r="B92" s="21" t="s">
        <v>1603</v>
      </c>
      <c r="C92" s="21" t="s">
        <v>194</v>
      </c>
      <c r="D92" s="21" t="s">
        <v>1083</v>
      </c>
      <c r="E92" s="21" t="s">
        <v>910</v>
      </c>
      <c r="F92" s="21" t="s">
        <v>25</v>
      </c>
      <c r="G92" s="21" t="s">
        <v>2085</v>
      </c>
      <c r="H92" s="21" t="s">
        <v>2086</v>
      </c>
      <c r="I92" s="21" t="s">
        <v>24</v>
      </c>
      <c r="J92" s="13" t="str">
        <f t="shared" si="1"/>
        <v>insert into chb_datacheck_condition (CHECKCONDITIONID,CHECKRULEID,CHECKMETHOD,SRCPROPERTY,COMPARETO,OBJVALUE,REMARK,STATUS) values ('W33E4A49-6810-5A9E-E050-007F01006A37','W23E4A49-6810-5A9E-E050-007F01006A61','inArray','ASSET_TYPE2','==','2301,2302,2303,2304,2305,1603','当资产/负债类别为另类资产时','E');</v>
      </c>
    </row>
    <row r="93" spans="1:10" x14ac:dyDescent="0.25">
      <c r="A93" s="17">
        <v>90</v>
      </c>
      <c r="B93" s="21" t="s">
        <v>1604</v>
      </c>
      <c r="C93" s="21" t="s">
        <v>195</v>
      </c>
      <c r="D93" s="21" t="s">
        <v>1083</v>
      </c>
      <c r="E93" s="21" t="s">
        <v>910</v>
      </c>
      <c r="F93" s="21" t="s">
        <v>25</v>
      </c>
      <c r="G93" s="21" t="s">
        <v>2087</v>
      </c>
      <c r="H93" s="21" t="s">
        <v>2088</v>
      </c>
      <c r="I93" s="21" t="s">
        <v>24</v>
      </c>
      <c r="J93" s="13" t="str">
        <f t="shared" si="1"/>
        <v>insert into chb_datacheck_condition (CHECKCONDITIONID,CHECKRULEID,CHECKMETHOD,SRCPROPERTY,COMPARETO,OBJVALUE,REMARK,STATUS) values ('W33E4A49-6810-5A9E-E050-007F01006A40','W23E4A49-6810-5A9E-E050-007F01006A63','inArray','ASSET_TYPE2','==','1601,1602,1699','当资产/负债类别为商品类资产时','E');</v>
      </c>
    </row>
    <row r="94" spans="1:10" x14ac:dyDescent="0.25">
      <c r="A94" s="17">
        <v>91</v>
      </c>
      <c r="B94" s="21" t="s">
        <v>1605</v>
      </c>
      <c r="C94" s="21" t="s">
        <v>196</v>
      </c>
      <c r="D94" s="21" t="s">
        <v>1083</v>
      </c>
      <c r="E94" s="21" t="s">
        <v>910</v>
      </c>
      <c r="F94" s="21" t="s">
        <v>25</v>
      </c>
      <c r="G94" s="21" t="s">
        <v>2087</v>
      </c>
      <c r="H94" s="21" t="s">
        <v>2088</v>
      </c>
      <c r="I94" s="21" t="s">
        <v>24</v>
      </c>
      <c r="J94" s="13" t="str">
        <f t="shared" si="1"/>
        <v>insert into chb_datacheck_condition (CHECKCONDITIONID,CHECKRULEID,CHECKMETHOD,SRCPROPERTY,COMPARETO,OBJVALUE,REMARK,STATUS) values ('W33E4A49-6810-5A9E-E050-007F01006A41','W23E4A49-6810-5A9E-E050-007F01006A64','inArray','ASSET_TYPE2','==','1601,1602,1699','当资产/负债类别为商品类资产时','E');</v>
      </c>
    </row>
    <row r="95" spans="1:10" x14ac:dyDescent="0.25">
      <c r="A95" s="17">
        <v>92</v>
      </c>
      <c r="B95" s="21" t="s">
        <v>1606</v>
      </c>
      <c r="C95" s="21" t="s">
        <v>197</v>
      </c>
      <c r="D95" s="21" t="s">
        <v>1083</v>
      </c>
      <c r="E95" s="21" t="s">
        <v>910</v>
      </c>
      <c r="F95" s="21" t="s">
        <v>25</v>
      </c>
      <c r="G95" s="21" t="s">
        <v>2087</v>
      </c>
      <c r="H95" s="21" t="s">
        <v>2088</v>
      </c>
      <c r="I95" s="21" t="s">
        <v>24</v>
      </c>
      <c r="J95" s="13" t="str">
        <f t="shared" si="1"/>
        <v>insert into chb_datacheck_condition (CHECKCONDITIONID,CHECKRULEID,CHECKMETHOD,SRCPROPERTY,COMPARETO,OBJVALUE,REMARK,STATUS) values ('W33E4A49-6810-5A9E-E050-007F01006A42','W23E4A49-6810-5A9E-E050-007F01006A65','inArray','ASSET_TYPE2','==','1601,1602,1699','当资产/负债类别为商品类资产时','E');</v>
      </c>
    </row>
    <row r="96" spans="1:10" x14ac:dyDescent="0.25">
      <c r="A96" s="17">
        <v>93</v>
      </c>
      <c r="B96" s="21" t="s">
        <v>1607</v>
      </c>
      <c r="C96" s="21" t="s">
        <v>198</v>
      </c>
      <c r="D96" s="21" t="s">
        <v>1083</v>
      </c>
      <c r="E96" s="21" t="s">
        <v>910</v>
      </c>
      <c r="F96" s="21" t="s">
        <v>25</v>
      </c>
      <c r="G96" s="21" t="s">
        <v>2087</v>
      </c>
      <c r="H96" s="21" t="s">
        <v>2088</v>
      </c>
      <c r="I96" s="21" t="s">
        <v>24</v>
      </c>
      <c r="J96" s="13" t="str">
        <f t="shared" si="1"/>
        <v>insert into chb_datacheck_condition (CHECKCONDITIONID,CHECKRULEID,CHECKMETHOD,SRCPROPERTY,COMPARETO,OBJVALUE,REMARK,STATUS) values ('W33E4A49-6810-5A9E-E050-007F01006A43','W23E4A49-6810-5A9E-E050-007F01006A66','inArray','ASSET_TYPE2','==','1601,1602,1699','当资产/负债类别为商品类资产时','E');</v>
      </c>
    </row>
    <row r="97" spans="1:10" x14ac:dyDescent="0.25">
      <c r="A97" s="17">
        <v>94</v>
      </c>
      <c r="B97" s="21" t="s">
        <v>1608</v>
      </c>
      <c r="C97" s="21" t="s">
        <v>199</v>
      </c>
      <c r="D97" s="21" t="s">
        <v>1083</v>
      </c>
      <c r="E97" s="21" t="s">
        <v>910</v>
      </c>
      <c r="F97" s="21" t="s">
        <v>25</v>
      </c>
      <c r="G97" s="21" t="s">
        <v>2087</v>
      </c>
      <c r="H97" s="21" t="s">
        <v>2088</v>
      </c>
      <c r="I97" s="21" t="s">
        <v>24</v>
      </c>
      <c r="J97" s="13" t="str">
        <f t="shared" si="1"/>
        <v>insert into chb_datacheck_condition (CHECKCONDITIONID,CHECKRULEID,CHECKMETHOD,SRCPROPERTY,COMPARETO,OBJVALUE,REMARK,STATUS) values ('W33E4A49-6810-5A9E-E050-007F01006A44','W23E4A49-6810-5A9E-E050-007F01006A67','inArray','ASSET_TYPE2','==','1601,1602,1699','当资产/负债类别为商品类资产时','E');</v>
      </c>
    </row>
    <row r="98" spans="1:10" x14ac:dyDescent="0.25">
      <c r="A98" s="17">
        <v>95</v>
      </c>
      <c r="B98" s="21" t="s">
        <v>2282</v>
      </c>
      <c r="C98" s="21" t="s">
        <v>2283</v>
      </c>
      <c r="D98" s="21" t="s">
        <v>1083</v>
      </c>
      <c r="E98" s="21" t="s">
        <v>910</v>
      </c>
      <c r="F98" s="21" t="s">
        <v>25</v>
      </c>
      <c r="G98" s="21" t="s">
        <v>2080</v>
      </c>
      <c r="H98" s="21" t="s">
        <v>2067</v>
      </c>
      <c r="I98" s="21" t="s">
        <v>24</v>
      </c>
      <c r="J98" s="13" t="str">
        <f t="shared" si="1"/>
        <v>insert into chb_datacheck_condition (CHECKCONDITIONID,CHECKRULEID,CHECKMETHOD,SRCPROPERTY,COMPARETO,OBJVALUE,REMARK,STATUS) values ('WH3E4A49-6810-5A9E-E050-007F01006A49','W23E4A49-6810-5A9E-E050-007F01006A68','inArray','ASSET_TYPE2','==','1301,1302,1305','当资产/负债类别为权益类资产时','E');</v>
      </c>
    </row>
    <row r="99" spans="1:10" x14ac:dyDescent="0.25">
      <c r="A99" s="17">
        <v>96</v>
      </c>
      <c r="B99" s="21" t="s">
        <v>1610</v>
      </c>
      <c r="C99" s="21" t="s">
        <v>200</v>
      </c>
      <c r="D99" s="21" t="s">
        <v>1083</v>
      </c>
      <c r="E99" s="21" t="s">
        <v>910</v>
      </c>
      <c r="F99" s="21" t="s">
        <v>25</v>
      </c>
      <c r="G99" s="21" t="s">
        <v>2087</v>
      </c>
      <c r="H99" s="21" t="s">
        <v>2088</v>
      </c>
      <c r="I99" s="21" t="s">
        <v>24</v>
      </c>
      <c r="J99" s="13" t="str">
        <f t="shared" si="1"/>
        <v>insert into chb_datacheck_condition (CHECKCONDITIONID,CHECKRULEID,CHECKMETHOD,SRCPROPERTY,COMPARETO,OBJVALUE,REMARK,STATUS) values ('W33E4A49-6810-5A9E-E050-007F01006A48','W23E4A49-6810-5A9E-E050-007F01006A70','inArray','ASSET_TYPE2','==','1601,1602,1699','当资产/负债类别为商品类资产时','E');</v>
      </c>
    </row>
    <row r="100" spans="1:10" x14ac:dyDescent="0.25">
      <c r="A100" s="17">
        <v>97</v>
      </c>
      <c r="B100" s="21" t="s">
        <v>1611</v>
      </c>
      <c r="C100" s="21" t="s">
        <v>201</v>
      </c>
      <c r="D100" s="21" t="s">
        <v>1083</v>
      </c>
      <c r="E100" s="21" t="s">
        <v>910</v>
      </c>
      <c r="F100" s="21" t="s">
        <v>25</v>
      </c>
      <c r="G100" s="21" t="s">
        <v>2089</v>
      </c>
      <c r="H100" s="21" t="s">
        <v>2090</v>
      </c>
      <c r="I100" s="21" t="s">
        <v>24</v>
      </c>
      <c r="J100" s="13" t="str">
        <f t="shared" si="1"/>
        <v>insert into chb_datacheck_condition (CHECKCONDITIONID,CHECKRULEID,CHECKMETHOD,SRCPROPERTY,COMPARETO,OBJVALUE,REMARK,STATUS) values ('W33E4A49-6810-5A9E-E050-007F01006A49','W23E4A49-6810-5A9E-E050-007F01006A71','inArray','ASSET_TYPE2','==','2000','当资产/负债类别为其他（负债）类资产时','E');</v>
      </c>
    </row>
    <row r="101" spans="1:10" x14ac:dyDescent="0.25">
      <c r="A101" s="17">
        <v>98</v>
      </c>
      <c r="B101" s="21" t="s">
        <v>1612</v>
      </c>
      <c r="C101" s="21" t="s">
        <v>202</v>
      </c>
      <c r="D101" s="21" t="s">
        <v>1083</v>
      </c>
      <c r="E101" s="21" t="s">
        <v>910</v>
      </c>
      <c r="F101" s="21" t="s">
        <v>25</v>
      </c>
      <c r="G101" s="21" t="s">
        <v>2089</v>
      </c>
      <c r="H101" s="21" t="s">
        <v>2090</v>
      </c>
      <c r="I101" s="21" t="s">
        <v>24</v>
      </c>
      <c r="J101" s="13" t="str">
        <f t="shared" si="1"/>
        <v>insert into chb_datacheck_condition (CHECKCONDITIONID,CHECKRULEID,CHECKMETHOD,SRCPROPERTY,COMPARETO,OBJVALUE,REMARK,STATUS) values ('W33E4A49-6810-5A9E-E050-007F01006A50','W23E4A49-6810-5A9E-E050-007F01006A72','inArray','ASSET_TYPE2','==','2000','当资产/负债类别为其他（负债）类资产时','E');</v>
      </c>
    </row>
    <row r="102" spans="1:10" x14ac:dyDescent="0.25">
      <c r="A102" s="17">
        <v>99</v>
      </c>
      <c r="B102" s="21" t="s">
        <v>1613</v>
      </c>
      <c r="C102" s="21" t="s">
        <v>203</v>
      </c>
      <c r="D102" s="21" t="s">
        <v>1083</v>
      </c>
      <c r="E102" s="21" t="s">
        <v>910</v>
      </c>
      <c r="F102" s="21" t="s">
        <v>25</v>
      </c>
      <c r="G102" s="21" t="s">
        <v>2089</v>
      </c>
      <c r="H102" s="21" t="s">
        <v>2090</v>
      </c>
      <c r="I102" s="21" t="s">
        <v>24</v>
      </c>
      <c r="J102" s="13" t="str">
        <f t="shared" si="1"/>
        <v>insert into chb_datacheck_condition (CHECKCONDITIONID,CHECKRULEID,CHECKMETHOD,SRCPROPERTY,COMPARETO,OBJVALUE,REMARK,STATUS) values ('W33E4A49-6810-5A9E-E050-007F01006A51','W23E4A49-6810-5A9E-E050-007F01006A73','inArray','ASSET_TYPE2','==','2000','当资产/负债类别为其他（负债）类资产时','E');</v>
      </c>
    </row>
    <row r="103" spans="1:10" x14ac:dyDescent="0.25">
      <c r="A103" s="17">
        <v>100</v>
      </c>
      <c r="B103" s="21" t="s">
        <v>1614</v>
      </c>
      <c r="C103" s="21" t="s">
        <v>204</v>
      </c>
      <c r="D103" s="21" t="s">
        <v>1083</v>
      </c>
      <c r="E103" s="21" t="s">
        <v>910</v>
      </c>
      <c r="F103" s="21" t="s">
        <v>25</v>
      </c>
      <c r="G103" s="21" t="s">
        <v>2089</v>
      </c>
      <c r="H103" s="21" t="s">
        <v>2090</v>
      </c>
      <c r="I103" s="21" t="s">
        <v>24</v>
      </c>
      <c r="J103" s="13" t="str">
        <f t="shared" si="1"/>
        <v>insert into chb_datacheck_condition (CHECKCONDITIONID,CHECKRULEID,CHECKMETHOD,SRCPROPERTY,COMPARETO,OBJVALUE,REMARK,STATUS) values ('W33E4A49-6810-5A9E-E050-007F01006A52','W23E4A49-6810-5A9E-E050-007F01006A74','inArray','ASSET_TYPE2','==','2000','当资产/负债类别为其他（负债）类资产时','E');</v>
      </c>
    </row>
    <row r="104" spans="1:10" x14ac:dyDescent="0.25">
      <c r="A104" s="17">
        <v>101</v>
      </c>
      <c r="B104" s="21" t="s">
        <v>1615</v>
      </c>
      <c r="C104" s="21" t="s">
        <v>205</v>
      </c>
      <c r="D104" s="21" t="s">
        <v>1083</v>
      </c>
      <c r="E104" s="21" t="s">
        <v>910</v>
      </c>
      <c r="F104" s="21" t="s">
        <v>25</v>
      </c>
      <c r="G104" s="21" t="s">
        <v>2089</v>
      </c>
      <c r="H104" s="21" t="s">
        <v>2090</v>
      </c>
      <c r="I104" s="21" t="s">
        <v>24</v>
      </c>
      <c r="J104" s="13" t="str">
        <f t="shared" si="1"/>
        <v>insert into chb_datacheck_condition (CHECKCONDITIONID,CHECKRULEID,CHECKMETHOD,SRCPROPERTY,COMPARETO,OBJVALUE,REMARK,STATUS) values ('W33E4A49-6810-5A9E-E050-007F01006A53','W23E4A49-6810-5A9E-E050-007F01006A75','inArray','ASSET_TYPE2','==','2000','当资产/负债类别为其他（负债）类资产时','E');</v>
      </c>
    </row>
    <row r="105" spans="1:10" x14ac:dyDescent="0.25">
      <c r="A105" s="17">
        <v>102</v>
      </c>
      <c r="B105" s="21" t="s">
        <v>1616</v>
      </c>
      <c r="C105" s="21" t="s">
        <v>206</v>
      </c>
      <c r="D105" s="21" t="s">
        <v>1083</v>
      </c>
      <c r="E105" s="21" t="s">
        <v>910</v>
      </c>
      <c r="F105" s="21" t="s">
        <v>25</v>
      </c>
      <c r="G105" s="21" t="s">
        <v>2089</v>
      </c>
      <c r="H105" s="21" t="s">
        <v>2090</v>
      </c>
      <c r="I105" s="21" t="s">
        <v>24</v>
      </c>
      <c r="J105" s="13" t="str">
        <f t="shared" si="1"/>
        <v>insert into chb_datacheck_condition (CHECKCONDITIONID,CHECKRULEID,CHECKMETHOD,SRCPROPERTY,COMPARETO,OBJVALUE,REMARK,STATUS) values ('W33E4A49-6810-5A9E-E050-007F01006A54','W23E4A49-6810-5A9E-E050-007F01006A76','inArray','ASSET_TYPE2','==','2000','当资产/负债类别为其他（负债）类资产时','E');</v>
      </c>
    </row>
    <row r="106" spans="1:10" x14ac:dyDescent="0.25">
      <c r="A106" s="17">
        <v>103</v>
      </c>
      <c r="B106" s="21" t="s">
        <v>1617</v>
      </c>
      <c r="C106" s="21" t="s">
        <v>207</v>
      </c>
      <c r="D106" s="21" t="s">
        <v>1083</v>
      </c>
      <c r="E106" s="21" t="s">
        <v>910</v>
      </c>
      <c r="F106" s="21" t="s">
        <v>25</v>
      </c>
      <c r="G106" s="21" t="s">
        <v>2089</v>
      </c>
      <c r="H106" s="21" t="s">
        <v>2090</v>
      </c>
      <c r="I106" s="21" t="s">
        <v>24</v>
      </c>
      <c r="J106" s="13" t="str">
        <f t="shared" si="1"/>
        <v>insert into chb_datacheck_condition (CHECKCONDITIONID,CHECKRULEID,CHECKMETHOD,SRCPROPERTY,COMPARETO,OBJVALUE,REMARK,STATUS) values ('W33E4A49-6810-5A9E-E050-007F01006A55','W23E4A49-6810-5A9E-E050-007F01006A77','inArray','ASSET_TYPE2','==','2000','当资产/负债类别为其他（负债）类资产时','E');</v>
      </c>
    </row>
    <row r="107" spans="1:10" x14ac:dyDescent="0.25">
      <c r="A107" s="17">
        <v>104</v>
      </c>
      <c r="B107" s="21" t="s">
        <v>1618</v>
      </c>
      <c r="C107" s="21" t="s">
        <v>208</v>
      </c>
      <c r="D107" s="21" t="s">
        <v>1083</v>
      </c>
      <c r="E107" s="21" t="s">
        <v>910</v>
      </c>
      <c r="F107" s="21" t="s">
        <v>25</v>
      </c>
      <c r="G107" s="21" t="s">
        <v>2089</v>
      </c>
      <c r="H107" s="21" t="s">
        <v>2090</v>
      </c>
      <c r="I107" s="21" t="s">
        <v>24</v>
      </c>
      <c r="J107" s="13" t="str">
        <f t="shared" si="1"/>
        <v>insert into chb_datacheck_condition (CHECKCONDITIONID,CHECKRULEID,CHECKMETHOD,SRCPROPERTY,COMPARETO,OBJVALUE,REMARK,STATUS) values ('W33E4A49-6810-5A9E-E050-007F01006A56','W23E4A49-6810-5A9E-E050-007F01006A78','inArray','ASSET_TYPE2','==','2000','当资产/负债类别为其他（负债）类资产时','E');</v>
      </c>
    </row>
    <row r="108" spans="1:10" x14ac:dyDescent="0.25">
      <c r="A108" s="17">
        <v>105</v>
      </c>
      <c r="B108" s="21" t="s">
        <v>209</v>
      </c>
      <c r="C108" s="21" t="s">
        <v>209</v>
      </c>
      <c r="D108" s="21" t="s">
        <v>1083</v>
      </c>
      <c r="E108" s="21" t="s">
        <v>910</v>
      </c>
      <c r="F108" s="21" t="s">
        <v>25</v>
      </c>
      <c r="G108" s="21" t="s">
        <v>2091</v>
      </c>
      <c r="H108" s="21" t="s">
        <v>2092</v>
      </c>
      <c r="I108" s="21" t="s">
        <v>24</v>
      </c>
      <c r="J108" s="13" t="str">
        <f t="shared" si="1"/>
        <v>insert into chb_datacheck_condition (CHECKCONDITIONID,CHECKRULEID,CHECKMETHOD,SRCPROPERTY,COMPARETO,OBJVALUE,REMARK,STATUS) values ('W23E4A49-6810-5A9E-E050-007F01006A80','W23E4A49-6810-5A9E-E050-007F01006A80','inArray','ASSET_TYPE2','==','1106,1303,2401,2402,2403,2499','当资产/负债类别为公募基金时','E');</v>
      </c>
    </row>
    <row r="109" spans="1:10" x14ac:dyDescent="0.25">
      <c r="A109" s="17">
        <v>106</v>
      </c>
      <c r="B109" s="21" t="s">
        <v>1619</v>
      </c>
      <c r="C109" s="21" t="s">
        <v>210</v>
      </c>
      <c r="D109" s="21" t="s">
        <v>1083</v>
      </c>
      <c r="E109" s="21" t="s">
        <v>910</v>
      </c>
      <c r="F109" s="21" t="s">
        <v>25</v>
      </c>
      <c r="G109" s="21" t="s">
        <v>2091</v>
      </c>
      <c r="H109" s="21" t="s">
        <v>2092</v>
      </c>
      <c r="I109" s="21" t="s">
        <v>24</v>
      </c>
      <c r="J109" s="13" t="str">
        <f t="shared" si="1"/>
        <v>insert into chb_datacheck_condition (CHECKCONDITIONID,CHECKRULEID,CHECKMETHOD,SRCPROPERTY,COMPARETO,OBJVALUE,REMARK,STATUS) values ('W56E4A49-1111-5A9E-E050-007F01006A63','W23E4A49-6810-5A9E-E050-007F01006A81','inArray','ASSET_TYPE2','==','1106,1303,2401,2402,2403,2499','当资产/负债类别为公募基金时','E');</v>
      </c>
    </row>
    <row r="110" spans="1:10" x14ac:dyDescent="0.25">
      <c r="A110" s="17">
        <v>107</v>
      </c>
      <c r="B110" s="21" t="s">
        <v>1620</v>
      </c>
      <c r="C110" s="21" t="s">
        <v>211</v>
      </c>
      <c r="D110" s="21" t="s">
        <v>1083</v>
      </c>
      <c r="E110" s="21" t="s">
        <v>910</v>
      </c>
      <c r="F110" s="21" t="s">
        <v>25</v>
      </c>
      <c r="G110" s="21" t="s">
        <v>2065</v>
      </c>
      <c r="H110" s="21" t="s">
        <v>2066</v>
      </c>
      <c r="I110" s="21" t="s">
        <v>24</v>
      </c>
      <c r="J110" s="13" t="str">
        <f t="shared" si="1"/>
        <v>insert into chb_datacheck_condition (CHECKCONDITIONID,CHECKRULEID,CHECKMETHOD,SRCPROPERTY,COMPARETO,OBJVALUE,REMARK,STATUS) values ('W84807E5-DFBD-D111-E050-007F010277FD','W23E4A49-6810-5A9E-E050-007F01006A82','inArray','ASSET_TYPE2','==','1106,1303,2401,2402,2403,2499,2601,2602,2604,2605,2606,2607,2610,2611,2612,2613,2614,2616,2617,2618,2619,2620,2699','当资产/负债类别为公募/私募基金时','E');</v>
      </c>
    </row>
    <row r="111" spans="1:10" x14ac:dyDescent="0.25">
      <c r="A111" s="17">
        <v>108</v>
      </c>
      <c r="B111" s="21" t="s">
        <v>1621</v>
      </c>
      <c r="C111" s="21" t="s">
        <v>212</v>
      </c>
      <c r="D111" s="21" t="s">
        <v>1083</v>
      </c>
      <c r="E111" s="21" t="s">
        <v>910</v>
      </c>
      <c r="F111" s="21" t="s">
        <v>25</v>
      </c>
      <c r="G111" s="21" t="s">
        <v>2065</v>
      </c>
      <c r="H111" s="21" t="s">
        <v>2066</v>
      </c>
      <c r="I111" s="21" t="s">
        <v>24</v>
      </c>
      <c r="J111" s="13" t="str">
        <f t="shared" si="1"/>
        <v>insert into chb_datacheck_condition (CHECKCONDITIONID,CHECKRULEID,CHECKMETHOD,SRCPROPERTY,COMPARETO,OBJVALUE,REMARK,STATUS) values ('W56E4A49-0001-5A9E-E050-007F01006A63','W23E4A49-6810-5A9E-E050-007F01006A83','inArray','ASSET_TYPE2','==','1106,1303,2401,2402,2403,2499,2601,2602,2604,2605,2606,2607,2610,2611,2612,2613,2614,2616,2617,2618,2619,2620,2699','当资产/负债类别为公募/私募基金时','E');</v>
      </c>
    </row>
    <row r="112" spans="1:10" x14ac:dyDescent="0.25">
      <c r="A112" s="17">
        <v>109</v>
      </c>
      <c r="B112" s="21" t="s">
        <v>1622</v>
      </c>
      <c r="C112" s="21" t="s">
        <v>213</v>
      </c>
      <c r="D112" s="21" t="s">
        <v>1083</v>
      </c>
      <c r="E112" s="21" t="s">
        <v>910</v>
      </c>
      <c r="F112" s="21" t="s">
        <v>25</v>
      </c>
      <c r="G112" s="21" t="s">
        <v>2093</v>
      </c>
      <c r="H112" s="21" t="s">
        <v>2094</v>
      </c>
      <c r="I112" s="21" t="s">
        <v>24</v>
      </c>
      <c r="J112" s="13" t="str">
        <f t="shared" si="1"/>
        <v>insert into chb_datacheck_condition (CHECKCONDITIONID,CHECKRULEID,CHECKMETHOD,SRCPROPERTY,COMPARETO,OBJVALUE,REMARK,STATUS) values ('W33E4A49-6810-5A9E-E050-007F01006A63','W23E4A49-6810-5A9E-E050-007F01006A84','inArray','ASSET_TYPE2','==','2607','资产/负债类别为：2607 上市公司定向增发基金(证券投资基金)时','E');</v>
      </c>
    </row>
    <row r="113" spans="1:10" x14ac:dyDescent="0.25">
      <c r="A113" s="17">
        <v>110</v>
      </c>
      <c r="B113" s="21" t="s">
        <v>1623</v>
      </c>
      <c r="C113" s="21" t="s">
        <v>214</v>
      </c>
      <c r="D113" s="21" t="s">
        <v>1083</v>
      </c>
      <c r="E113" s="21" t="s">
        <v>910</v>
      </c>
      <c r="F113" s="21" t="s">
        <v>25</v>
      </c>
      <c r="G113" s="21" t="s">
        <v>2095</v>
      </c>
      <c r="H113" s="21" t="s">
        <v>2096</v>
      </c>
      <c r="I113" s="21" t="s">
        <v>24</v>
      </c>
      <c r="J113" s="13" t="str">
        <f t="shared" si="1"/>
        <v>insert into chb_datacheck_condition (CHECKCONDITIONID,CHECKRULEID,CHECKMETHOD,SRCPROPERTY,COMPARETO,OBJVALUE,REMARK,STATUS) values ('W33E4A49-6810-5A9E-E050-007F01006A65','W23E4A49-6810-5A9E-E050-007F01006A86','inArray','ASSET_TYPE2','==','2610','资产/负债类别为：2610 并购基金时','E');</v>
      </c>
    </row>
    <row r="114" spans="1:10" x14ac:dyDescent="0.25">
      <c r="A114" s="17">
        <v>111</v>
      </c>
      <c r="B114" s="21" t="s">
        <v>1624</v>
      </c>
      <c r="C114" s="21" t="s">
        <v>215</v>
      </c>
      <c r="D114" s="21" t="s">
        <v>1083</v>
      </c>
      <c r="E114" s="21" t="s">
        <v>910</v>
      </c>
      <c r="F114" s="21" t="s">
        <v>25</v>
      </c>
      <c r="G114" s="21" t="s">
        <v>2097</v>
      </c>
      <c r="H114" s="21" t="s">
        <v>2098</v>
      </c>
      <c r="I114" s="21" t="s">
        <v>24</v>
      </c>
      <c r="J114" s="13" t="str">
        <f t="shared" si="1"/>
        <v>insert into chb_datacheck_condition (CHECKCONDITIONID,CHECKRULEID,CHECKMETHOD,SRCPROPERTY,COMPARETO,OBJVALUE,REMARK,STATUS) values ('W33E4A49-6810-5A9E-E050-007F01006A66','W23E4A49-6810-5A9E-E050-007F01006A87','inArray','ASSET_TYPE2','==','2611','资产/负债类别为：2611 房地产基金时','E');</v>
      </c>
    </row>
    <row r="115" spans="1:10" x14ac:dyDescent="0.25">
      <c r="A115" s="17">
        <v>112</v>
      </c>
      <c r="B115" s="21" t="s">
        <v>1625</v>
      </c>
      <c r="C115" s="21" t="s">
        <v>216</v>
      </c>
      <c r="D115" s="21" t="s">
        <v>1083</v>
      </c>
      <c r="E115" s="21" t="s">
        <v>910</v>
      </c>
      <c r="F115" s="21" t="s">
        <v>25</v>
      </c>
      <c r="G115" s="21" t="s">
        <v>2099</v>
      </c>
      <c r="H115" s="21" t="s">
        <v>2100</v>
      </c>
      <c r="I115" s="21" t="s">
        <v>24</v>
      </c>
      <c r="J115" s="13" t="str">
        <f t="shared" si="1"/>
        <v>insert into chb_datacheck_condition (CHECKCONDITIONID,CHECKRULEID,CHECKMETHOD,SRCPROPERTY,COMPARETO,OBJVALUE,REMARK,STATUS) values ('W33E4A49-6810-5A9E-E050-007F01006A67','W23E4A49-6810-5A9E-E050-007F01006A88','inArray','ASSET_TYPE2','==','2612','资产/负债类别为：2612 基础设施基金时','E');</v>
      </c>
    </row>
    <row r="116" spans="1:10" x14ac:dyDescent="0.25">
      <c r="A116" s="17">
        <v>113</v>
      </c>
      <c r="B116" s="21" t="s">
        <v>1626</v>
      </c>
      <c r="C116" s="21" t="s">
        <v>217</v>
      </c>
      <c r="D116" s="21" t="s">
        <v>1083</v>
      </c>
      <c r="E116" s="21" t="s">
        <v>910</v>
      </c>
      <c r="F116" s="21" t="s">
        <v>25</v>
      </c>
      <c r="G116" s="21" t="s">
        <v>2101</v>
      </c>
      <c r="H116" s="21" t="s">
        <v>2102</v>
      </c>
      <c r="I116" s="21" t="s">
        <v>24</v>
      </c>
      <c r="J116" s="13" t="str">
        <f t="shared" si="1"/>
        <v>insert into chb_datacheck_condition (CHECKCONDITIONID,CHECKRULEID,CHECKMETHOD,SRCPROPERTY,COMPARETO,OBJVALUE,REMARK,STATUS) values ('W33E4A49-6810-5A9E-E050-007F01006A68','W23E4A49-6810-5A9E-E050-007F01006A89','inArray','ASSET_TYPE2','==','2613','资产/负债类别为：2613 创业投资基金时','E');</v>
      </c>
    </row>
    <row r="117" spans="1:10" x14ac:dyDescent="0.25">
      <c r="A117" s="17">
        <v>114</v>
      </c>
      <c r="B117" s="21" t="s">
        <v>1627</v>
      </c>
      <c r="C117" s="21" t="s">
        <v>218</v>
      </c>
      <c r="D117" s="21" t="s">
        <v>1083</v>
      </c>
      <c r="E117" s="21" t="s">
        <v>910</v>
      </c>
      <c r="F117" s="21" t="s">
        <v>25</v>
      </c>
      <c r="G117" s="21" t="s">
        <v>2103</v>
      </c>
      <c r="H117" s="21" t="s">
        <v>2075</v>
      </c>
      <c r="I117" s="21" t="s">
        <v>24</v>
      </c>
      <c r="J117" s="13" t="str">
        <f t="shared" si="1"/>
        <v>insert into chb_datacheck_condition (CHECKCONDITIONID,CHECKRULEID,CHECKMETHOD,SRCPROPERTY,COMPARETO,OBJVALUE,REMARK,STATUS) values ('W33E4A49-6810-5A9E-E050-007F01006A5S','W23E4A49-6810-5A9E-E050-007F01006A8S','inArray','ASSET_TYPE2','==','2801,2802,2803,2804,2805,2806,2899','当资产/负债类别为委外投资时','E');</v>
      </c>
    </row>
    <row r="118" spans="1:10" x14ac:dyDescent="0.25">
      <c r="A118" s="17">
        <v>115</v>
      </c>
      <c r="B118" s="21" t="s">
        <v>1628</v>
      </c>
      <c r="C118" s="21" t="s">
        <v>219</v>
      </c>
      <c r="D118" s="21" t="s">
        <v>1083</v>
      </c>
      <c r="E118" s="21" t="s">
        <v>910</v>
      </c>
      <c r="F118" s="21" t="s">
        <v>25</v>
      </c>
      <c r="G118" s="21" t="s">
        <v>2104</v>
      </c>
      <c r="H118" s="21" t="s">
        <v>2284</v>
      </c>
      <c r="I118" s="21" t="s">
        <v>24</v>
      </c>
      <c r="J118" s="13" t="str">
        <f t="shared" si="1"/>
        <v>insert into chb_datacheck_condition (CHECKCONDITIONID,CHECKRULEID,CHECKMETHOD,SRCPROPERTY,COMPARETO,OBJVALUE,REMARK,STATUS) values ('W33E4A49-6810-5A9E-E050-007F01006A69','W23E4A49-6810-5A9E-E050-007F01006A90','inArray','ASSET_TYPE2','==','2617','资产/负债类别为：2617 其他私募股权投资基金时','E');</v>
      </c>
    </row>
    <row r="119" spans="1:10" x14ac:dyDescent="0.25">
      <c r="A119" s="17">
        <v>116</v>
      </c>
      <c r="B119" s="21" t="s">
        <v>1629</v>
      </c>
      <c r="C119" s="21" t="s">
        <v>220</v>
      </c>
      <c r="D119" s="21" t="s">
        <v>40</v>
      </c>
      <c r="E119" s="21" t="s">
        <v>981</v>
      </c>
      <c r="F119" s="21" t="s">
        <v>25</v>
      </c>
      <c r="G119" s="21" t="s">
        <v>53</v>
      </c>
      <c r="H119" s="21" t="s">
        <v>2105</v>
      </c>
      <c r="I119" s="21" t="s">
        <v>24</v>
      </c>
      <c r="J119" s="13" t="str">
        <f t="shared" si="1"/>
        <v>insert into chb_datacheck_condition (CHECKCONDITIONID,CHECKRULEID,CHECKMETHOD,SRCPROPERTY,COMPARETO,OBJVALUE,REMARK,STATUS) values ('W33E4A49-6810-5A9E-E050-007F01006A71','W23E4A49-6810-5A9E-E050-007F01006A92','compareValue','IS_GOVERN_FUND','==','01','当是否属于政府投资基金为是时','E');</v>
      </c>
    </row>
    <row r="120" spans="1:10" x14ac:dyDescent="0.25">
      <c r="A120" s="17">
        <v>117</v>
      </c>
      <c r="B120" s="21" t="s">
        <v>2285</v>
      </c>
      <c r="C120" s="21" t="s">
        <v>221</v>
      </c>
      <c r="D120" s="21" t="s">
        <v>1083</v>
      </c>
      <c r="E120" s="21" t="s">
        <v>910</v>
      </c>
      <c r="F120" s="21" t="s">
        <v>25</v>
      </c>
      <c r="G120" s="21" t="s">
        <v>2065</v>
      </c>
      <c r="H120" s="21" t="s">
        <v>2066</v>
      </c>
      <c r="I120" s="21" t="s">
        <v>24</v>
      </c>
      <c r="J120" s="13" t="str">
        <f t="shared" si="1"/>
        <v>insert into chb_datacheck_condition (CHECKCONDITIONID,CHECKRULEID,CHECKMETHOD,SRCPROPERTY,COMPARETO,OBJVALUE,REMARK,STATUS) values ('W84807E5-DF38-D920-E050-107F112077FJ','W23E4A49-6810-5A9E-E050-007F01006A93','inArray','ASSET_TYPE2','==','1106,1303,2401,2402,2403,2499,2601,2602,2604,2605,2606,2607,2610,2611,2612,2613,2614,2616,2617,2618,2619,2620,2699','当资产/负债类别为公募/私募基金时','E');</v>
      </c>
    </row>
    <row r="121" spans="1:10" x14ac:dyDescent="0.25">
      <c r="A121" s="17">
        <v>118</v>
      </c>
      <c r="B121" s="21" t="s">
        <v>1630</v>
      </c>
      <c r="C121" s="21" t="s">
        <v>222</v>
      </c>
      <c r="D121" s="21" t="s">
        <v>1083</v>
      </c>
      <c r="E121" s="21" t="s">
        <v>910</v>
      </c>
      <c r="F121" s="21" t="s">
        <v>25</v>
      </c>
      <c r="G121" s="21" t="s">
        <v>2106</v>
      </c>
      <c r="H121" s="21" t="s">
        <v>2107</v>
      </c>
      <c r="I121" s="21" t="s">
        <v>24</v>
      </c>
      <c r="J121" s="13" t="str">
        <f t="shared" si="1"/>
        <v>insert into chb_datacheck_condition (CHECKCONDITIONID,CHECKRULEID,CHECKMETHOD,SRCPROPERTY,COMPARETO,OBJVALUE,REMARK,STATUS) values ('W56E4A49-6810-5A9E-E112-007F01006A63','W23E4A49-6810-5A9E-E050-007F01006A94','inArray','ASSET_TYPE2','==','2601,2602,2604,2605,2606,2607,2610,2611,2612,2613,2614,2616,2617,2618,2619,2620,2699','当资产/负债类别为私募基金时','E');</v>
      </c>
    </row>
    <row r="122" spans="1:10" x14ac:dyDescent="0.25">
      <c r="A122" s="17">
        <v>119</v>
      </c>
      <c r="B122" s="21" t="s">
        <v>1631</v>
      </c>
      <c r="C122" s="21" t="s">
        <v>223</v>
      </c>
      <c r="D122" s="21" t="s">
        <v>1083</v>
      </c>
      <c r="E122" s="21" t="s">
        <v>910</v>
      </c>
      <c r="F122" s="21" t="s">
        <v>25</v>
      </c>
      <c r="G122" s="21" t="s">
        <v>2106</v>
      </c>
      <c r="H122" s="21" t="s">
        <v>2107</v>
      </c>
      <c r="I122" s="21" t="s">
        <v>24</v>
      </c>
      <c r="J122" s="13" t="str">
        <f t="shared" si="1"/>
        <v>insert into chb_datacheck_condition (CHECKCONDITIONID,CHECKRULEID,CHECKMETHOD,SRCPROPERTY,COMPARETO,OBJVALUE,REMARK,STATUS) values ('W56E4A49-6810-5A9E-E112-007F01001111','W23E4A49-6810-5A9E-E050-007F01006A95','inArray','ASSET_TYPE2','==','2601,2602,2604,2605,2606,2607,2610,2611,2612,2613,2614,2616,2617,2618,2619,2620,2699','当资产/负债类别为私募基金时','E');</v>
      </c>
    </row>
    <row r="123" spans="1:10" x14ac:dyDescent="0.25">
      <c r="A123" s="17">
        <v>120</v>
      </c>
      <c r="B123" s="21" t="s">
        <v>1632</v>
      </c>
      <c r="C123" s="21" t="s">
        <v>224</v>
      </c>
      <c r="D123" s="21" t="s">
        <v>1083</v>
      </c>
      <c r="E123" s="21" t="s">
        <v>910</v>
      </c>
      <c r="F123" s="21" t="s">
        <v>25</v>
      </c>
      <c r="G123" s="21" t="s">
        <v>2065</v>
      </c>
      <c r="H123" s="21" t="s">
        <v>2066</v>
      </c>
      <c r="I123" s="21" t="s">
        <v>24</v>
      </c>
      <c r="J123" s="13" t="str">
        <f t="shared" si="1"/>
        <v>insert into chb_datacheck_condition (CHECKCONDITIONID,CHECKRULEID,CHECKMETHOD,SRCPROPERTY,COMPARETO,OBJVALUE,REMARK,STATUS) values ('W56E4A49-6810-5A9E-E001-007F01001111','W23E4A49-6810-5A9E-E050-007F01006A96','inArray','ASSET_TYPE2','==','1106,1303,2401,2402,2403,2499,2601,2602,2604,2605,2606,2607,2610,2611,2612,2613,2614,2616,2617,2618,2619,2620,2699','当资产/负债类别为公募/私募基金时','E');</v>
      </c>
    </row>
    <row r="124" spans="1:10" x14ac:dyDescent="0.25">
      <c r="A124" s="17">
        <v>121</v>
      </c>
      <c r="B124" s="21" t="s">
        <v>1633</v>
      </c>
      <c r="C124" s="21" t="s">
        <v>225</v>
      </c>
      <c r="D124" s="21" t="s">
        <v>1083</v>
      </c>
      <c r="E124" s="21" t="s">
        <v>910</v>
      </c>
      <c r="F124" s="21" t="s">
        <v>25</v>
      </c>
      <c r="G124" s="21" t="s">
        <v>2097</v>
      </c>
      <c r="H124" s="21" t="s">
        <v>2098</v>
      </c>
      <c r="I124" s="21" t="s">
        <v>24</v>
      </c>
      <c r="J124" s="13" t="str">
        <f t="shared" si="1"/>
        <v>insert into chb_datacheck_condition (CHECKCONDITIONID,CHECKRULEID,CHECKMETHOD,SRCPROPERTY,COMPARETO,OBJVALUE,REMARK,STATUS) values ('W33E4A49-6810-5A9E-E050-007F01006A77','W23E4A49-6810-5A9E-E050-007F01006A98','inArray','ASSET_TYPE2','==','2611','资产/负债类别为：2611 房地产基金时','E');</v>
      </c>
    </row>
    <row r="125" spans="1:10" x14ac:dyDescent="0.25">
      <c r="A125" s="17">
        <v>122</v>
      </c>
      <c r="B125" s="21" t="s">
        <v>1634</v>
      </c>
      <c r="C125" s="21" t="s">
        <v>226</v>
      </c>
      <c r="D125" s="21" t="s">
        <v>1083</v>
      </c>
      <c r="E125" s="21" t="s">
        <v>910</v>
      </c>
      <c r="F125" s="21" t="s">
        <v>25</v>
      </c>
      <c r="G125" s="21" t="s">
        <v>2099</v>
      </c>
      <c r="H125" s="21" t="s">
        <v>2100</v>
      </c>
      <c r="I125" s="21" t="s">
        <v>24</v>
      </c>
      <c r="J125" s="13" t="str">
        <f t="shared" si="1"/>
        <v>insert into chb_datacheck_condition (CHECKCONDITIONID,CHECKRULEID,CHECKMETHOD,SRCPROPERTY,COMPARETO,OBJVALUE,REMARK,STATUS) values ('W33E4A49-6810-5A9E-E050-007F01006A78','W23E4A49-6810-5A9E-E050-007F01006A99','inArray','ASSET_TYPE2','==','2612','资产/负债类别为：2612 基础设施基金时','E');</v>
      </c>
    </row>
    <row r="126" spans="1:10" x14ac:dyDescent="0.25">
      <c r="A126" s="17">
        <v>123</v>
      </c>
      <c r="B126" s="21" t="s">
        <v>1635</v>
      </c>
      <c r="C126" s="21" t="s">
        <v>228</v>
      </c>
      <c r="D126" s="21" t="s">
        <v>1083</v>
      </c>
      <c r="E126" s="21" t="s">
        <v>910</v>
      </c>
      <c r="F126" s="21" t="s">
        <v>25</v>
      </c>
      <c r="G126" s="21" t="s">
        <v>2068</v>
      </c>
      <c r="H126" s="21" t="s">
        <v>2069</v>
      </c>
      <c r="I126" s="21" t="s">
        <v>24</v>
      </c>
      <c r="J126" s="13" t="str">
        <f t="shared" si="1"/>
        <v>insert into chb_datacheck_condition (CHECKCONDITIONID,CHECKRULEID,CHECKMETHOD,SRCPROPERTY,COMPARETO,OBJVALUE,REMARK,STATUS) values ('W13E4A49-6810-5A9E-E050-107F01006A79','W23E4A49-6810-5A9E-E050-107F01006A05','inArray','ASSET_TYPE2','==','1501','当资产/负债类别为QDII债券资产时','E');</v>
      </c>
    </row>
    <row r="127" spans="1:10" x14ac:dyDescent="0.25">
      <c r="A127" s="17">
        <v>124</v>
      </c>
      <c r="B127" s="21" t="s">
        <v>1636</v>
      </c>
      <c r="C127" s="21" t="s">
        <v>229</v>
      </c>
      <c r="D127" s="21" t="s">
        <v>1083</v>
      </c>
      <c r="E127" s="21" t="s">
        <v>910</v>
      </c>
      <c r="F127" s="21" t="s">
        <v>25</v>
      </c>
      <c r="G127" s="21" t="s">
        <v>2068</v>
      </c>
      <c r="H127" s="21" t="s">
        <v>2069</v>
      </c>
      <c r="I127" s="21" t="s">
        <v>24</v>
      </c>
      <c r="J127" s="13" t="str">
        <f t="shared" si="1"/>
        <v>insert into chb_datacheck_condition (CHECKCONDITIONID,CHECKRULEID,CHECKMETHOD,SRCPROPERTY,COMPARETO,OBJVALUE,REMARK,STATUS) values ('W13E4A49-6810-5A9E-E050-207F01006A79','W23E4A49-6810-5A9E-E050-107F01006A18','inArray','ASSET_TYPE2','==','1501','当资产/负债类别为QDII债券资产时','E');</v>
      </c>
    </row>
    <row r="128" spans="1:10" x14ac:dyDescent="0.25">
      <c r="A128" s="17">
        <v>125</v>
      </c>
      <c r="B128" s="21" t="s">
        <v>1538</v>
      </c>
      <c r="C128" s="21" t="s">
        <v>153</v>
      </c>
      <c r="D128" s="21" t="s">
        <v>1083</v>
      </c>
      <c r="E128" s="21" t="s">
        <v>1075</v>
      </c>
      <c r="F128" s="21" t="s">
        <v>25</v>
      </c>
      <c r="G128" s="21" t="s">
        <v>2035</v>
      </c>
      <c r="H128" s="21" t="s">
        <v>2067</v>
      </c>
      <c r="I128" s="21" t="s">
        <v>24</v>
      </c>
      <c r="J128" s="13" t="str">
        <f t="shared" si="1"/>
        <v>insert into chb_datacheck_condition (CHECKCONDITIONID,CHECKRULEID,CHECKMETHOD,SRCPROPERTY,COMPARETO,OBJVALUE,REMARK,STATUS) values ('W13E4A49-6810-5A9E-E050-307F01006A60','W23E4A49-6810-5A9E-E050-107F01006A22','inArray','ASSET_TYPE','==','06','当资产/负债类别为权益类资产时','E');</v>
      </c>
    </row>
    <row r="129" spans="1:10" x14ac:dyDescent="0.25">
      <c r="A129" s="17">
        <v>126</v>
      </c>
      <c r="B129" s="21" t="s">
        <v>2286</v>
      </c>
      <c r="C129" s="21" t="s">
        <v>230</v>
      </c>
      <c r="D129" s="21" t="s">
        <v>1083</v>
      </c>
      <c r="E129" s="21" t="s">
        <v>910</v>
      </c>
      <c r="F129" s="21" t="s">
        <v>25</v>
      </c>
      <c r="G129" s="21" t="s">
        <v>2081</v>
      </c>
      <c r="H129" s="21" t="s">
        <v>2082</v>
      </c>
      <c r="I129" s="21" t="s">
        <v>24</v>
      </c>
      <c r="J129" s="13" t="str">
        <f t="shared" si="1"/>
        <v>insert into chb_datacheck_condition (CHECKCONDITIONID,CHECKRULEID,CHECKMETHOD,SRCPROPERTY,COMPARETO,OBJVALUE,REMARK,STATUS) values ('WH3E4A49-6810-5A9E-E050-007F01006A14','W23E4A49-6810-5A9E-E050-107F01006A31','inArray','ASSET_TYPE2','==','1503','当资产/负债类别为QDII结构性票据类资产时','E');</v>
      </c>
    </row>
    <row r="130" spans="1:10" x14ac:dyDescent="0.25">
      <c r="A130" s="17">
        <v>127</v>
      </c>
      <c r="B130" s="21" t="s">
        <v>1539</v>
      </c>
      <c r="C130" s="21" t="s">
        <v>154</v>
      </c>
      <c r="D130" s="21" t="s">
        <v>1083</v>
      </c>
      <c r="E130" s="21" t="s">
        <v>910</v>
      </c>
      <c r="F130" s="21" t="s">
        <v>25</v>
      </c>
      <c r="G130" s="21" t="s">
        <v>2068</v>
      </c>
      <c r="H130" s="21" t="s">
        <v>2069</v>
      </c>
      <c r="I130" s="21" t="s">
        <v>24</v>
      </c>
      <c r="J130" s="13" t="str">
        <f t="shared" si="1"/>
        <v>insert into chb_datacheck_condition (CHECKCONDITIONID,CHECKRULEID,CHECKMETHOD,SRCPROPERTY,COMPARETO,OBJVALUE,REMARK,STATUS) values ('W13E4A49-6810-5A9E-E050-307F01006A79','W23E4A49-6810-5A9E-E050-107F01006A43','inArray','ASSET_TYPE2','==','1501','当资产/负债类别为QDII债券资产时','E');</v>
      </c>
    </row>
    <row r="131" spans="1:10" x14ac:dyDescent="0.25">
      <c r="A131" s="17">
        <v>128</v>
      </c>
      <c r="B131" s="21" t="s">
        <v>1637</v>
      </c>
      <c r="C131" s="21" t="s">
        <v>231</v>
      </c>
      <c r="D131" s="21" t="s">
        <v>1083</v>
      </c>
      <c r="E131" s="21" t="s">
        <v>910</v>
      </c>
      <c r="F131" s="21" t="s">
        <v>25</v>
      </c>
      <c r="G131" s="21" t="s">
        <v>2083</v>
      </c>
      <c r="H131" s="21" t="s">
        <v>2084</v>
      </c>
      <c r="I131" s="21" t="s">
        <v>24</v>
      </c>
      <c r="J131" s="13" t="str">
        <f t="shared" si="1"/>
        <v>insert into chb_datacheck_condition (CHECKCONDITIONID,CHECKRULEID,CHECKMETHOD,SRCPROPERTY,COMPARETO,OBJVALUE,REMARK,STATUS) values ('W33E4A49-6810-5A9E-E050-107F01006A24','W23E4A49-6810-5A9E-E050-107F01006A49','inArray','ASSET_TYPE2','==','1401,1402,1403,1404,1405,1406,1499','当资产/负债类别为金融衍生品时','E');</v>
      </c>
    </row>
    <row r="132" spans="1:10" x14ac:dyDescent="0.25">
      <c r="A132" s="17">
        <v>129</v>
      </c>
      <c r="B132" s="21" t="s">
        <v>1638</v>
      </c>
      <c r="C132" s="21" t="s">
        <v>232</v>
      </c>
      <c r="D132" s="21" t="s">
        <v>1083</v>
      </c>
      <c r="E132" s="21" t="s">
        <v>910</v>
      </c>
      <c r="F132" s="21" t="s">
        <v>25</v>
      </c>
      <c r="G132" s="21" t="s">
        <v>2083</v>
      </c>
      <c r="H132" s="21" t="s">
        <v>2084</v>
      </c>
      <c r="I132" s="21" t="s">
        <v>24</v>
      </c>
      <c r="J132" s="13" t="str">
        <f t="shared" si="1"/>
        <v>insert into chb_datacheck_condition (CHECKCONDITIONID,CHECKRULEID,CHECKMETHOD,SRCPROPERTY,COMPARETO,OBJVALUE,REMARK,STATUS) values ('W33E4A49-6810-5A9E-E050-107F01006A27','W23E4A49-6810-5A9E-E050-107F01006A52','inArray','ASSET_TYPE2','==','1401,1402,1403,1404,1405,1406,1499','当资产/负债类别为金融衍生品时','E');</v>
      </c>
    </row>
    <row r="133" spans="1:10" x14ac:dyDescent="0.25">
      <c r="A133" s="17">
        <v>130</v>
      </c>
      <c r="B133" s="21" t="s">
        <v>1639</v>
      </c>
      <c r="C133" s="21" t="s">
        <v>233</v>
      </c>
      <c r="D133" s="21" t="s">
        <v>1083</v>
      </c>
      <c r="E133" s="21" t="s">
        <v>910</v>
      </c>
      <c r="F133" s="21" t="s">
        <v>25</v>
      </c>
      <c r="G133" s="21" t="s">
        <v>2085</v>
      </c>
      <c r="H133" s="21" t="s">
        <v>2086</v>
      </c>
      <c r="I133" s="21" t="s">
        <v>24</v>
      </c>
      <c r="J133" s="13" t="str">
        <f t="shared" ref="J133:J196" si="2">CONCATENATE("insert into chb_datacheck_condition (CHECKCONDITIONID,CHECKRULEID,CHECKMETHOD,SRCPROPERTY,COMPARETO,OBJVALUE,REMARK,STATUS) values ('",B133,"','",C133,"','",D133,"','",E133,"','",F133,"','",G133,"','",H133,"','",I133,"');")</f>
        <v>insert into chb_datacheck_condition (CHECKCONDITIONID,CHECKRULEID,CHECKMETHOD,SRCPROPERTY,COMPARETO,OBJVALUE,REMARK,STATUS) values ('W33E4A49-6810-5A9E-E050-107F01006A31','W23E4A49-6810-5A9E-E050-107F01006A55','inArray','ASSET_TYPE2','==','2301,2302,2303,2304,2305,1603','当资产/负债类别为另类资产时','E');</v>
      </c>
    </row>
    <row r="134" spans="1:10" x14ac:dyDescent="0.25">
      <c r="A134" s="17">
        <v>131</v>
      </c>
      <c r="B134" s="21" t="s">
        <v>1640</v>
      </c>
      <c r="C134" s="21" t="s">
        <v>234</v>
      </c>
      <c r="D134" s="21" t="s">
        <v>1083</v>
      </c>
      <c r="E134" s="21" t="s">
        <v>910</v>
      </c>
      <c r="F134" s="21" t="s">
        <v>25</v>
      </c>
      <c r="G134" s="21" t="s">
        <v>2087</v>
      </c>
      <c r="H134" s="21" t="s">
        <v>2088</v>
      </c>
      <c r="I134" s="21" t="s">
        <v>24</v>
      </c>
      <c r="J134" s="13" t="str">
        <f t="shared" si="2"/>
        <v>insert into chb_datacheck_condition (CHECKCONDITIONID,CHECKRULEID,CHECKMETHOD,SRCPROPERTY,COMPARETO,OBJVALUE,REMARK,STATUS) values ('W33E4A49-6810-5A9E-E050-107F01006A41','W23E4A49-6810-5A9E-E050-107F01006A64','inArray','ASSET_TYPE2','==','1601,1602,1699','当资产/负债类别为商品类资产时','E');</v>
      </c>
    </row>
    <row r="135" spans="1:10" x14ac:dyDescent="0.25">
      <c r="A135" s="17">
        <v>132</v>
      </c>
      <c r="B135" s="21" t="s">
        <v>1641</v>
      </c>
      <c r="C135" s="21" t="s">
        <v>235</v>
      </c>
      <c r="D135" s="21" t="s">
        <v>1083</v>
      </c>
      <c r="E135" s="21" t="s">
        <v>910</v>
      </c>
      <c r="F135" s="21" t="s">
        <v>25</v>
      </c>
      <c r="G135" s="21" t="s">
        <v>2089</v>
      </c>
      <c r="H135" s="21" t="s">
        <v>2090</v>
      </c>
      <c r="I135" s="21" t="s">
        <v>24</v>
      </c>
      <c r="J135" s="13" t="str">
        <f t="shared" si="2"/>
        <v>insert into chb_datacheck_condition (CHECKCONDITIONID,CHECKRULEID,CHECKMETHOD,SRCPROPERTY,COMPARETO,OBJVALUE,REMARK,STATUS) values ('W33E4A49-6810-5A9E-E050-107F01006A50','W23E4A49-6810-5A9E-E050-107F01006A72','inArray','ASSET_TYPE2','==','2000','当资产/负债类别为其他（负债）类资产时','E');</v>
      </c>
    </row>
    <row r="136" spans="1:10" x14ac:dyDescent="0.25">
      <c r="A136" s="17">
        <v>133</v>
      </c>
      <c r="B136" s="21" t="s">
        <v>236</v>
      </c>
      <c r="C136" s="21" t="s">
        <v>236</v>
      </c>
      <c r="D136" s="21" t="s">
        <v>1083</v>
      </c>
      <c r="E136" s="21" t="s">
        <v>910</v>
      </c>
      <c r="F136" s="21" t="s">
        <v>25</v>
      </c>
      <c r="G136" s="21" t="s">
        <v>2091</v>
      </c>
      <c r="H136" s="21" t="s">
        <v>2092</v>
      </c>
      <c r="I136" s="21" t="s">
        <v>24</v>
      </c>
      <c r="J136" s="13" t="str">
        <f t="shared" si="2"/>
        <v>insert into chb_datacheck_condition (CHECKCONDITIONID,CHECKRULEID,CHECKMETHOD,SRCPROPERTY,COMPARETO,OBJVALUE,REMARK,STATUS) values ('W23E4A49-6810-5A9E-E050-107F01006A80','W23E4A49-6810-5A9E-E050-107F01006A80','inArray','ASSET_TYPE2','==','1106,1303,2401,2402,2403,2499','当资产/负债类别为公募基金时','E');</v>
      </c>
    </row>
    <row r="137" spans="1:10" x14ac:dyDescent="0.25">
      <c r="A137" s="17">
        <v>134</v>
      </c>
      <c r="B137" s="21" t="s">
        <v>2349</v>
      </c>
      <c r="C137" s="21" t="s">
        <v>2348</v>
      </c>
      <c r="D137" s="21" t="s">
        <v>1083</v>
      </c>
      <c r="E137" s="21" t="s">
        <v>910</v>
      </c>
      <c r="F137" s="21" t="s">
        <v>25</v>
      </c>
      <c r="G137" s="21" t="s">
        <v>2161</v>
      </c>
      <c r="H137" s="21" t="s">
        <v>2162</v>
      </c>
      <c r="I137" s="21" t="s">
        <v>24</v>
      </c>
      <c r="J137" s="13" t="str">
        <f t="shared" si="2"/>
        <v>insert into chb_datacheck_condition (CHECKCONDITIONID,CHECKRULEID,CHECKMETHOD,SRCPROPERTY,COMPARETO,OBJVALUE,REMARK,STATUS) values ('W84807E5-DF38-D920-E050-607F112082FJ','W23E4A49-6810-5A9E-E050-207F01006A18','inArray','ASSET_TYPE2','==','1202,1203,1204,1205,1206,1207,1208,1209','当资产/负债类别为非标准化债权类资产时','E');</v>
      </c>
    </row>
    <row r="138" spans="1:10" x14ac:dyDescent="0.25">
      <c r="A138" s="17">
        <v>135</v>
      </c>
      <c r="B138" s="21" t="s">
        <v>2347</v>
      </c>
      <c r="C138" s="21" t="s">
        <v>2348</v>
      </c>
      <c r="D138" s="21" t="s">
        <v>22</v>
      </c>
      <c r="E138" s="21" t="s">
        <v>1132</v>
      </c>
      <c r="F138" s="21"/>
      <c r="G138" s="21" t="s">
        <v>26</v>
      </c>
      <c r="H138" s="21" t="s">
        <v>2159</v>
      </c>
      <c r="I138" s="21" t="s">
        <v>24</v>
      </c>
      <c r="J138" s="13" t="str">
        <f t="shared" si="2"/>
        <v>insert into chb_datacheck_condition (CHECKCONDITIONID,CHECKRULEID,CHECKMETHOD,SRCPROPERTY,COMPARETO,OBJVALUE,REMARK,STATUS) values ('W84807E5-DF38-D920-E050-607F112083FJ','W23E4A49-6810-5A9E-E050-207F01006A18','isNotEmpty','GUA_TYPE','','0','“担保方式”不为空时','E');</v>
      </c>
    </row>
    <row r="139" spans="1:10" x14ac:dyDescent="0.25">
      <c r="A139" s="17">
        <v>136</v>
      </c>
      <c r="B139" s="21" t="s">
        <v>1540</v>
      </c>
      <c r="C139" s="21" t="s">
        <v>155</v>
      </c>
      <c r="D139" s="21" t="s">
        <v>1083</v>
      </c>
      <c r="E139" s="21" t="s">
        <v>1075</v>
      </c>
      <c r="F139" s="21" t="s">
        <v>25</v>
      </c>
      <c r="G139" s="21" t="s">
        <v>2070</v>
      </c>
      <c r="H139" s="21" t="s">
        <v>2069</v>
      </c>
      <c r="I139" s="21" t="s">
        <v>24</v>
      </c>
      <c r="J139" s="13" t="str">
        <f t="shared" si="2"/>
        <v>insert into chb_datacheck_condition (CHECKCONDITIONID,CHECKRULEID,CHECKMETHOD,SRCPROPERTY,COMPARETO,OBJVALUE,REMARK,STATUS) values ('W13E4A49-6810-5A9E-E050-407F01006A60','W23E4A49-6810-5A9E-E050-207F01006A22','inArray','ASSET_TYPE','==','08','当资产/负债类别为QDII债券资产时','E');</v>
      </c>
    </row>
    <row r="140" spans="1:10" x14ac:dyDescent="0.25">
      <c r="A140" s="17">
        <v>137</v>
      </c>
      <c r="B140" s="21" t="s">
        <v>2287</v>
      </c>
      <c r="C140" s="21" t="s">
        <v>238</v>
      </c>
      <c r="D140" s="21" t="s">
        <v>1083</v>
      </c>
      <c r="E140" s="21" t="s">
        <v>910</v>
      </c>
      <c r="F140" s="21" t="s">
        <v>25</v>
      </c>
      <c r="G140" s="21" t="s">
        <v>2081</v>
      </c>
      <c r="H140" s="21" t="s">
        <v>2082</v>
      </c>
      <c r="I140" s="21" t="s">
        <v>24</v>
      </c>
      <c r="J140" s="13" t="str">
        <f t="shared" si="2"/>
        <v>insert into chb_datacheck_condition (CHECKCONDITIONID,CHECKRULEID,CHECKMETHOD,SRCPROPERTY,COMPARETO,OBJVALUE,REMARK,STATUS) values ('W13E4A49-6810-5A9E-E050-007F01006A15','W23E4A49-6810-5A9E-E050-207F01006A31','inArray','ASSET_TYPE2','==','1503','当资产/负债类别为QDII结构性票据类资产时','E');</v>
      </c>
    </row>
    <row r="141" spans="1:10" x14ac:dyDescent="0.25">
      <c r="A141" s="17">
        <v>138</v>
      </c>
      <c r="B141" s="21" t="s">
        <v>1497</v>
      </c>
      <c r="C141" s="21" t="s">
        <v>239</v>
      </c>
      <c r="D141" s="21" t="s">
        <v>1083</v>
      </c>
      <c r="E141" s="21" t="s">
        <v>910</v>
      </c>
      <c r="F141" s="21" t="s">
        <v>25</v>
      </c>
      <c r="G141" s="21" t="s">
        <v>2081</v>
      </c>
      <c r="H141" s="21" t="s">
        <v>2082</v>
      </c>
      <c r="I141" s="21" t="s">
        <v>24</v>
      </c>
      <c r="J141" s="13" t="str">
        <f t="shared" si="2"/>
        <v>insert into chb_datacheck_condition (CHECKCONDITIONID,CHECKRULEID,CHECKMETHOD,SRCPROPERTY,COMPARETO,OBJVALUE,REMARK,STATUS) values ('W13E4A49-6810-5A9E-E050-007F01006A16','W23E4A49-6810-5A9E-E050-207F01006A32','inArray','ASSET_TYPE2','==','1503','当资产/负债类别为QDII结构性票据类资产时','E');</v>
      </c>
    </row>
    <row r="142" spans="1:10" x14ac:dyDescent="0.25">
      <c r="A142" s="17">
        <v>139</v>
      </c>
      <c r="B142" s="21" t="s">
        <v>1498</v>
      </c>
      <c r="C142" s="21" t="s">
        <v>240</v>
      </c>
      <c r="D142" s="21" t="s">
        <v>1083</v>
      </c>
      <c r="E142" s="21" t="s">
        <v>910</v>
      </c>
      <c r="F142" s="21" t="s">
        <v>25</v>
      </c>
      <c r="G142" s="21" t="s">
        <v>2081</v>
      </c>
      <c r="H142" s="21" t="s">
        <v>2082</v>
      </c>
      <c r="I142" s="21" t="s">
        <v>24</v>
      </c>
      <c r="J142" s="13" t="str">
        <f t="shared" si="2"/>
        <v>insert into chb_datacheck_condition (CHECKCONDITIONID,CHECKRULEID,CHECKMETHOD,SRCPROPERTY,COMPARETO,OBJVALUE,REMARK,STATUS) values ('W13E4A49-6810-5A9E-E050-007F01006A17','W23E4A49-6810-5A9E-E050-207F01006A33','inArray','ASSET_TYPE2','==','1503','当资产/负债类别为QDII结构性票据类资产时','E');</v>
      </c>
    </row>
    <row r="143" spans="1:10" x14ac:dyDescent="0.25">
      <c r="A143" s="17">
        <v>140</v>
      </c>
      <c r="B143" s="21" t="s">
        <v>1499</v>
      </c>
      <c r="C143" s="21" t="s">
        <v>241</v>
      </c>
      <c r="D143" s="21" t="s">
        <v>1083</v>
      </c>
      <c r="E143" s="21" t="s">
        <v>910</v>
      </c>
      <c r="F143" s="21" t="s">
        <v>25</v>
      </c>
      <c r="G143" s="21" t="s">
        <v>2081</v>
      </c>
      <c r="H143" s="21" t="s">
        <v>2082</v>
      </c>
      <c r="I143" s="21" t="s">
        <v>24</v>
      </c>
      <c r="J143" s="13" t="str">
        <f t="shared" si="2"/>
        <v>insert into chb_datacheck_condition (CHECKCONDITIONID,CHECKRULEID,CHECKMETHOD,SRCPROPERTY,COMPARETO,OBJVALUE,REMARK,STATUS) values ('W13E4A49-6810-5A9E-E050-007F01006A18','W23E4A49-6810-5A9E-E050-207F01006A34','inArray','ASSET_TYPE2','==','1503','当资产/负债类别为QDII结构性票据类资产时','E');</v>
      </c>
    </row>
    <row r="144" spans="1:10" x14ac:dyDescent="0.25">
      <c r="A144" s="17">
        <v>141</v>
      </c>
      <c r="B144" s="21" t="s">
        <v>1501</v>
      </c>
      <c r="C144" s="21" t="s">
        <v>242</v>
      </c>
      <c r="D144" s="21" t="s">
        <v>1083</v>
      </c>
      <c r="E144" s="21" t="s">
        <v>910</v>
      </c>
      <c r="F144" s="21" t="s">
        <v>25</v>
      </c>
      <c r="G144" s="21" t="s">
        <v>2081</v>
      </c>
      <c r="H144" s="21" t="s">
        <v>2082</v>
      </c>
      <c r="I144" s="21" t="s">
        <v>24</v>
      </c>
      <c r="J144" s="13" t="str">
        <f t="shared" si="2"/>
        <v>insert into chb_datacheck_condition (CHECKCONDITIONID,CHECKRULEID,CHECKMETHOD,SRCPROPERTY,COMPARETO,OBJVALUE,REMARK,STATUS) values ('W13E4A49-6810-5A9E-E050-007F01006A19','W23E4A49-6810-5A9E-E050-207F01006A35','inArray','ASSET_TYPE2','==','1503','当资产/负债类别为QDII结构性票据类资产时','E');</v>
      </c>
    </row>
    <row r="145" spans="1:10" x14ac:dyDescent="0.25">
      <c r="A145" s="17">
        <v>142</v>
      </c>
      <c r="B145" s="21" t="s">
        <v>2288</v>
      </c>
      <c r="C145" s="21" t="s">
        <v>243</v>
      </c>
      <c r="D145" s="21" t="s">
        <v>1083</v>
      </c>
      <c r="E145" s="21" t="s">
        <v>910</v>
      </c>
      <c r="F145" s="21" t="s">
        <v>25</v>
      </c>
      <c r="G145" s="21" t="s">
        <v>2081</v>
      </c>
      <c r="H145" s="21" t="s">
        <v>2082</v>
      </c>
      <c r="I145" s="21" t="s">
        <v>24</v>
      </c>
      <c r="J145" s="13" t="str">
        <f t="shared" si="2"/>
        <v>insert into chb_datacheck_condition (CHECKCONDITIONID,CHECKRULEID,CHECKMETHOD,SRCPROPERTY,COMPARETO,OBJVALUE,REMARK,STATUS) values ('WH3E4A49-6810-5A9E-E050-007F01006A20','W23E4A49-6810-5A9E-E050-207F01006A36','inArray','ASSET_TYPE2','==','1503','当资产/负债类别为QDII结构性票据类资产时','E');</v>
      </c>
    </row>
    <row r="146" spans="1:10" x14ac:dyDescent="0.25">
      <c r="A146" s="17">
        <v>143</v>
      </c>
      <c r="B146" s="21" t="s">
        <v>2289</v>
      </c>
      <c r="C146" s="21" t="s">
        <v>244</v>
      </c>
      <c r="D146" s="21" t="s">
        <v>1083</v>
      </c>
      <c r="E146" s="21" t="s">
        <v>910</v>
      </c>
      <c r="F146" s="21" t="s">
        <v>25</v>
      </c>
      <c r="G146" s="21" t="s">
        <v>2081</v>
      </c>
      <c r="H146" s="21" t="s">
        <v>2082</v>
      </c>
      <c r="I146" s="21" t="s">
        <v>24</v>
      </c>
      <c r="J146" s="13" t="str">
        <f t="shared" si="2"/>
        <v>insert into chb_datacheck_condition (CHECKCONDITIONID,CHECKRULEID,CHECKMETHOD,SRCPROPERTY,COMPARETO,OBJVALUE,REMARK,STATUS) values ('WH3E4A49-6810-5A9E-E050-007F01006A22','W23E4A49-6810-5A9E-E050-207F01006A37','inArray','ASSET_TYPE2','==','1503','当资产/负债类别为QDII结构性票据类资产时','E');</v>
      </c>
    </row>
    <row r="147" spans="1:10" x14ac:dyDescent="0.25">
      <c r="A147" s="17">
        <v>144</v>
      </c>
      <c r="B147" s="21" t="s">
        <v>1541</v>
      </c>
      <c r="C147" s="21" t="s">
        <v>156</v>
      </c>
      <c r="D147" s="21" t="s">
        <v>1083</v>
      </c>
      <c r="E147" s="21" t="s">
        <v>1075</v>
      </c>
      <c r="F147" s="21" t="s">
        <v>25</v>
      </c>
      <c r="G147" s="21" t="s">
        <v>2071</v>
      </c>
      <c r="H147" s="21" t="s">
        <v>2055</v>
      </c>
      <c r="I147" s="21" t="s">
        <v>24</v>
      </c>
      <c r="J147" s="13" t="str">
        <f t="shared" si="2"/>
        <v>insert into chb_datacheck_condition (CHECKCONDITIONID,CHECKRULEID,CHECKMETHOD,SRCPROPERTY,COMPARETO,OBJVALUE,REMARK,STATUS) values ('W13E4A49-6810-5A9E-E050-507F01006A60','W23E4A49-6810-5A9E-E050-307F01006A22','inArray','ASSET_TYPE','==','10','当资产/负债类别为QDII股票/基金类资产时','E');</v>
      </c>
    </row>
    <row r="148" spans="1:10" x14ac:dyDescent="0.25">
      <c r="A148" s="17">
        <v>145</v>
      </c>
      <c r="B148" s="21" t="s">
        <v>1542</v>
      </c>
      <c r="C148" s="21" t="s">
        <v>157</v>
      </c>
      <c r="D148" s="21" t="s">
        <v>1083</v>
      </c>
      <c r="E148" s="21" t="s">
        <v>1075</v>
      </c>
      <c r="F148" s="21" t="s">
        <v>25</v>
      </c>
      <c r="G148" s="21" t="s">
        <v>2072</v>
      </c>
      <c r="H148" s="21" t="s">
        <v>2073</v>
      </c>
      <c r="I148" s="21" t="s">
        <v>24</v>
      </c>
      <c r="J148" s="13" t="str">
        <f t="shared" si="2"/>
        <v>insert into chb_datacheck_condition (CHECKCONDITIONID,CHECKRULEID,CHECKMETHOD,SRCPROPERTY,COMPARETO,OBJVALUE,REMARK,STATUS) values ('W13E4A49-6810-5A9E-E050-607F01006A60','W23E4A49-6810-5A9E-E050-407F01006A22','inArray','ASSET_TYPE','==','15,19','当资产/负债类别为公募基金/私募基金时','E');</v>
      </c>
    </row>
    <row r="149" spans="1:10" x14ac:dyDescent="0.25">
      <c r="A149" s="17">
        <v>146</v>
      </c>
      <c r="B149" s="21" t="s">
        <v>1543</v>
      </c>
      <c r="C149" s="21" t="s">
        <v>158</v>
      </c>
      <c r="D149" s="21" t="s">
        <v>1083</v>
      </c>
      <c r="E149" s="21" t="s">
        <v>1075</v>
      </c>
      <c r="F149" s="21" t="s">
        <v>25</v>
      </c>
      <c r="G149" s="21" t="s">
        <v>2074</v>
      </c>
      <c r="H149" s="21" t="s">
        <v>2075</v>
      </c>
      <c r="I149" s="21" t="s">
        <v>24</v>
      </c>
      <c r="J149" s="13" t="str">
        <f t="shared" si="2"/>
        <v>insert into chb_datacheck_condition (CHECKCONDITIONID,CHECKRULEID,CHECKMETHOD,SRCPROPERTY,COMPARETO,OBJVALUE,REMARK,STATUS) values ('W13E4A49-6810-5A9E-E050-707F01006A60','W23E4A49-6810-5A9E-E050-507F01006A22','inArray','ASSET_TYPE','==','16','当资产/负债类别为委外投资时','E');</v>
      </c>
    </row>
    <row r="150" spans="1:10" x14ac:dyDescent="0.25">
      <c r="A150" s="17">
        <v>147</v>
      </c>
      <c r="B150" s="21" t="s">
        <v>1544</v>
      </c>
      <c r="C150" s="21" t="s">
        <v>161</v>
      </c>
      <c r="D150" s="21" t="s">
        <v>1083</v>
      </c>
      <c r="E150" s="21" t="s">
        <v>910</v>
      </c>
      <c r="F150" s="21" t="s">
        <v>25</v>
      </c>
      <c r="G150" s="21" t="s">
        <v>2076</v>
      </c>
      <c r="H150" s="21" t="s">
        <v>2077</v>
      </c>
      <c r="I150" s="21" t="s">
        <v>24</v>
      </c>
      <c r="J150" s="13" t="str">
        <f t="shared" si="2"/>
        <v>insert into chb_datacheck_condition (CHECKCONDITIONID,CHECKRULEID,CHECKMETHOD,SRCPROPERTY,COMPARETO,OBJVALUE,REMARK,STATUS) values ('W84827E5-DF35-D920-E050-207F010077KL','W23E4A49-6810-5AWM-E050-007F01006A33','inArray','ASSET_TYPE2','==','1202,1203,1204,1205,1206,1207,1208,1209,2201,2202','当资产/负债类别为非标准化债权类资产/新增可投资资产时','E');</v>
      </c>
    </row>
    <row r="151" spans="1:10" x14ac:dyDescent="0.25">
      <c r="A151" s="17">
        <v>148</v>
      </c>
      <c r="B151" s="21" t="s">
        <v>1545</v>
      </c>
      <c r="C151" s="21" t="s">
        <v>164</v>
      </c>
      <c r="D151" s="21" t="s">
        <v>1083</v>
      </c>
      <c r="E151" s="21" t="s">
        <v>1075</v>
      </c>
      <c r="F151" s="21" t="s">
        <v>25</v>
      </c>
      <c r="G151" s="21" t="s">
        <v>2078</v>
      </c>
      <c r="H151" s="21" t="s">
        <v>2079</v>
      </c>
      <c r="I151" s="21" t="s">
        <v>24</v>
      </c>
      <c r="J151" s="13" t="str">
        <f t="shared" si="2"/>
        <v>insert into chb_datacheck_condition (CHECKCONDITIONID,CHECKRULEID,CHECKMETHOD,SRCPROPERTY,COMPARETO,OBJVALUE,REMARK,STATUS) values ('W13E4A49-6810-5A9E-E050-207F01006A60','W23E4A49-6811-5A9E-E152-007F01006A26','inArray','ASSET_TYPE','==','12','当资产/负债类别为资产管理产品时','E');</v>
      </c>
    </row>
    <row r="152" spans="1:10" x14ac:dyDescent="0.25">
      <c r="A152" s="17">
        <v>149</v>
      </c>
      <c r="B152" s="21" t="s">
        <v>2290</v>
      </c>
      <c r="C152" s="21" t="s">
        <v>1626</v>
      </c>
      <c r="D152" s="21" t="s">
        <v>1083</v>
      </c>
      <c r="E152" s="21" t="s">
        <v>910</v>
      </c>
      <c r="F152" s="21" t="s">
        <v>25</v>
      </c>
      <c r="G152" s="21" t="s">
        <v>2083</v>
      </c>
      <c r="H152" s="21" t="s">
        <v>2084</v>
      </c>
      <c r="I152" s="21" t="s">
        <v>24</v>
      </c>
      <c r="J152" s="13" t="str">
        <f t="shared" si="2"/>
        <v>insert into chb_datacheck_condition (CHECKCONDITIONID,CHECKRULEID,CHECKMETHOD,SRCPROPERTY,COMPARETO,OBJVALUE,REMARK,STATUS) values ('WY3E4A49-6810-5A9E-E050-007F01006A49','W33E4A49-6810-5A9E-E050-007F01006A68','inArray','ASSET_TYPE2','==','1401,1402,1403,1404,1405,1406,1499','当资产/负债类别为金融衍生品时','E');</v>
      </c>
    </row>
    <row r="153" spans="1:10" x14ac:dyDescent="0.25">
      <c r="A153" s="17">
        <v>150</v>
      </c>
      <c r="B153" s="21" t="s">
        <v>1643</v>
      </c>
      <c r="C153" s="21" t="s">
        <v>250</v>
      </c>
      <c r="D153" s="21" t="s">
        <v>1083</v>
      </c>
      <c r="E153" s="21" t="s">
        <v>910</v>
      </c>
      <c r="F153" s="21" t="s">
        <v>25</v>
      </c>
      <c r="G153" s="21" t="s">
        <v>2101</v>
      </c>
      <c r="H153" s="21" t="s">
        <v>2102</v>
      </c>
      <c r="I153" s="21" t="s">
        <v>24</v>
      </c>
      <c r="J153" s="13" t="str">
        <f t="shared" si="2"/>
        <v>insert into chb_datacheck_condition (CHECKCONDITIONID,CHECKRULEID,CHECKMETHOD,SRCPROPERTY,COMPARETO,OBJVALUE,REMARK,STATUS) values ('W33E4A49-6810-5A9E-E050-007F01006A79','W43E4A49-6810-5A9E-E050-007F01006A00','inArray','ASSET_TYPE2','==','2613','资产/负债类别为：2613 创业投资基金时','E');</v>
      </c>
    </row>
    <row r="154" spans="1:10" x14ac:dyDescent="0.25">
      <c r="A154" s="17">
        <v>151</v>
      </c>
      <c r="B154" s="21" t="s">
        <v>1644</v>
      </c>
      <c r="C154" s="21" t="s">
        <v>251</v>
      </c>
      <c r="D154" s="21" t="s">
        <v>1083</v>
      </c>
      <c r="E154" s="21" t="s">
        <v>910</v>
      </c>
      <c r="F154" s="21" t="s">
        <v>25</v>
      </c>
      <c r="G154" s="21" t="s">
        <v>2358</v>
      </c>
      <c r="H154" s="21" t="s">
        <v>2359</v>
      </c>
      <c r="I154" s="21" t="s">
        <v>24</v>
      </c>
      <c r="J154" s="13" t="str">
        <f t="shared" si="2"/>
        <v>insert into chb_datacheck_condition (CHECKCONDITIONID,CHECKRULEID,CHECKMETHOD,SRCPROPERTY,COMPARETO,OBJVALUE,REMARK,STATUS) values ('W33E4A49-6810-5A9E-E050-007F01006A80','W43E4A49-6810-5A9E-E050-007F01006A01','inArray','ASSET_TYPE2','==','2610,2611,2612,2613','当资产/负债类别为“并购基金[2610]”、“房地产基金[2611]”、“基础设施基金[2612]”和“创业投资基金[2613]”时','E');</v>
      </c>
    </row>
    <row r="155" spans="1:10" x14ac:dyDescent="0.25">
      <c r="A155" s="17">
        <v>152</v>
      </c>
      <c r="B155" s="21" t="s">
        <v>1645</v>
      </c>
      <c r="C155" s="21" t="s">
        <v>252</v>
      </c>
      <c r="D155" s="21" t="s">
        <v>1083</v>
      </c>
      <c r="E155" s="21" t="s">
        <v>1075</v>
      </c>
      <c r="F155" s="21" t="s">
        <v>25</v>
      </c>
      <c r="G155" s="21" t="s">
        <v>2072</v>
      </c>
      <c r="H155" s="21" t="s">
        <v>2073</v>
      </c>
      <c r="I155" s="21" t="s">
        <v>24</v>
      </c>
      <c r="J155" s="13" t="str">
        <f t="shared" si="2"/>
        <v>insert into chb_datacheck_condition (CHECKCONDITIONID,CHECKRULEID,CHECKMETHOD,SRCPROPERTY,COMPARETO,OBJVALUE,REMARK,STATUS) values ('W33E4A49-6810-5A9E-E050-007F01006A81','W43E4A49-6810-5A9E-E050-007F01006A02','inArray','ASSET_TYPE','==','15,19','当资产/负债类别为公募基金/私募基金时','E');</v>
      </c>
    </row>
    <row r="156" spans="1:10" x14ac:dyDescent="0.25">
      <c r="A156" s="17">
        <v>153</v>
      </c>
      <c r="B156" s="21" t="s">
        <v>1646</v>
      </c>
      <c r="C156" s="21" t="s">
        <v>253</v>
      </c>
      <c r="D156" s="21" t="s">
        <v>1083</v>
      </c>
      <c r="E156" s="21" t="s">
        <v>910</v>
      </c>
      <c r="F156" s="21" t="s">
        <v>25</v>
      </c>
      <c r="G156" s="21" t="s">
        <v>2358</v>
      </c>
      <c r="H156" s="21" t="s">
        <v>2359</v>
      </c>
      <c r="I156" s="21" t="s">
        <v>24</v>
      </c>
      <c r="J156" s="13" t="str">
        <f t="shared" si="2"/>
        <v>insert into chb_datacheck_condition (CHECKCONDITIONID,CHECKRULEID,CHECKMETHOD,SRCPROPERTY,COMPARETO,OBJVALUE,REMARK,STATUS) values ('W33E4A49-6810-5A9E-E050-007F01006A84','W43E4A49-6810-5A9E-E050-007F01006A05','inArray','ASSET_TYPE2','==','2610,2611,2612,2613','当资产/负债类别为“并购基金[2610]”、“房地产基金[2611]”、“基础设施基金[2612]”和“创业投资基金[2613]”时','E');</v>
      </c>
    </row>
    <row r="157" spans="1:10" x14ac:dyDescent="0.25">
      <c r="A157" s="17">
        <v>154</v>
      </c>
      <c r="B157" s="21" t="s">
        <v>1647</v>
      </c>
      <c r="C157" s="21" t="s">
        <v>254</v>
      </c>
      <c r="D157" s="21" t="s">
        <v>1083</v>
      </c>
      <c r="E157" s="21" t="s">
        <v>1075</v>
      </c>
      <c r="F157" s="21" t="s">
        <v>25</v>
      </c>
      <c r="G157" s="21" t="s">
        <v>2072</v>
      </c>
      <c r="H157" s="21" t="s">
        <v>2073</v>
      </c>
      <c r="I157" s="21" t="s">
        <v>24</v>
      </c>
      <c r="J157" s="13" t="str">
        <f t="shared" si="2"/>
        <v>insert into chb_datacheck_condition (CHECKCONDITIONID,CHECKRULEID,CHECKMETHOD,SRCPROPERTY,COMPARETO,OBJVALUE,REMARK,STATUS) values ('W33E4A49-6810-5A9E-E050-007F01006A85','W43E4A49-6810-5A9E-E050-007F01006A06','inArray','ASSET_TYPE','==','15,19','当资产/负债类别为公募基金/私募基金时','E');</v>
      </c>
    </row>
    <row r="158" spans="1:10" x14ac:dyDescent="0.25">
      <c r="A158" s="17">
        <v>155</v>
      </c>
      <c r="B158" s="21" t="s">
        <v>1648</v>
      </c>
      <c r="C158" s="21" t="s">
        <v>255</v>
      </c>
      <c r="D158" s="21" t="s">
        <v>1083</v>
      </c>
      <c r="E158" s="21" t="s">
        <v>910</v>
      </c>
      <c r="F158" s="21" t="s">
        <v>25</v>
      </c>
      <c r="G158" s="21" t="s">
        <v>2358</v>
      </c>
      <c r="H158" s="21" t="s">
        <v>2359</v>
      </c>
      <c r="I158" s="21" t="s">
        <v>24</v>
      </c>
      <c r="J158" s="13" t="str">
        <f t="shared" si="2"/>
        <v>insert into chb_datacheck_condition (CHECKCONDITIONID,CHECKRULEID,CHECKMETHOD,SRCPROPERTY,COMPARETO,OBJVALUE,REMARK,STATUS) values ('W33E4A49-6810-5A9E-E050-007F01006A91','W43E4A49-6810-5A9E-E050-007F01006A12','inArray','ASSET_TYPE2','==','2610,2611,2612,2613','当资产/负债类别为“并购基金[2610]”、“房地产基金[2611]”、“基础设施基金[2612]”和“创业投资基金[2613]”时','E');</v>
      </c>
    </row>
    <row r="159" spans="1:10" x14ac:dyDescent="0.25">
      <c r="A159" s="17">
        <v>156</v>
      </c>
      <c r="B159" s="21" t="s">
        <v>1649</v>
      </c>
      <c r="C159" s="21" t="s">
        <v>256</v>
      </c>
      <c r="D159" s="21" t="s">
        <v>40</v>
      </c>
      <c r="E159" s="21" t="s">
        <v>979</v>
      </c>
      <c r="F159" s="21" t="s">
        <v>25</v>
      </c>
      <c r="G159" s="21" t="s">
        <v>55</v>
      </c>
      <c r="H159" s="21" t="s">
        <v>2112</v>
      </c>
      <c r="I159" s="21" t="s">
        <v>24</v>
      </c>
      <c r="J159" s="13" t="str">
        <f t="shared" si="2"/>
        <v>insert into chb_datacheck_condition (CHECKCONDITIONID,CHECKRULEID,CHECKMETHOD,SRCPROPERTY,COMPARETO,OBJVALUE,REMARK,STATUS) values ('W33E4A49-6810-5A9E-E050-007F01006A92','W43E4A49-6810-5A9E-E050-007F01006A13','compareValue','REGIST_ORG1','==','99','[登记备案机构]选择[99 其他]的场合','E');</v>
      </c>
    </row>
    <row r="160" spans="1:10" x14ac:dyDescent="0.25">
      <c r="A160" s="17">
        <v>157</v>
      </c>
      <c r="B160" s="21" t="s">
        <v>1650</v>
      </c>
      <c r="C160" s="21" t="s">
        <v>256</v>
      </c>
      <c r="D160" s="21" t="s">
        <v>1083</v>
      </c>
      <c r="E160" s="21" t="s">
        <v>1075</v>
      </c>
      <c r="F160" s="21" t="s">
        <v>25</v>
      </c>
      <c r="G160" s="21" t="s">
        <v>2072</v>
      </c>
      <c r="H160" s="21" t="s">
        <v>2073</v>
      </c>
      <c r="I160" s="21" t="s">
        <v>24</v>
      </c>
      <c r="J160" s="13" t="str">
        <f t="shared" si="2"/>
        <v>insert into chb_datacheck_condition (CHECKCONDITIONID,CHECKRULEID,CHECKMETHOD,SRCPROPERTY,COMPARETO,OBJVALUE,REMARK,STATUS) values ('W33E4A49-6810-5A9E-E050-107F01006A92','W43E4A49-6810-5A9E-E050-007F01006A13','inArray','ASSET_TYPE','==','15,19','当资产/负债类别为公募基金/私募基金时','E');</v>
      </c>
    </row>
    <row r="161" spans="1:10" x14ac:dyDescent="0.25">
      <c r="A161" s="17">
        <v>158</v>
      </c>
      <c r="B161" s="21" t="s">
        <v>257</v>
      </c>
      <c r="C161" s="21" t="s">
        <v>257</v>
      </c>
      <c r="D161" s="21" t="s">
        <v>1083</v>
      </c>
      <c r="E161" s="21" t="s">
        <v>910</v>
      </c>
      <c r="F161" s="21" t="s">
        <v>25</v>
      </c>
      <c r="G161" s="21" t="s">
        <v>2106</v>
      </c>
      <c r="H161" s="21" t="s">
        <v>2107</v>
      </c>
      <c r="I161" s="21" t="s">
        <v>24</v>
      </c>
      <c r="J161" s="13" t="str">
        <f t="shared" si="2"/>
        <v>insert into chb_datacheck_condition (CHECKCONDITIONID,CHECKRULEID,CHECKMETHOD,SRCPROPERTY,COMPARETO,OBJVALUE,REMARK,STATUS) values ('W43E4A49-6810-5A9E-E050-007F01006A18','W43E4A49-6810-5A9E-E050-007F01006A18','inArray','ASSET_TYPE2','==','2601,2602,2604,2605,2606,2607,2610,2611,2612,2613,2614,2616,2617,2618,2619,2620,2699','当资产/负债类别为私募基金时','E');</v>
      </c>
    </row>
    <row r="162" spans="1:10" x14ac:dyDescent="0.25">
      <c r="A162" s="17">
        <v>159</v>
      </c>
      <c r="B162" s="21" t="s">
        <v>1651</v>
      </c>
      <c r="C162" s="21" t="s">
        <v>258</v>
      </c>
      <c r="D162" s="21" t="s">
        <v>1083</v>
      </c>
      <c r="E162" s="21" t="s">
        <v>910</v>
      </c>
      <c r="F162" s="21" t="s">
        <v>25</v>
      </c>
      <c r="G162" s="21" t="s">
        <v>2106</v>
      </c>
      <c r="H162" s="21" t="s">
        <v>2107</v>
      </c>
      <c r="I162" s="21" t="s">
        <v>24</v>
      </c>
      <c r="J162" s="13" t="str">
        <f t="shared" si="2"/>
        <v>insert into chb_datacheck_condition (CHECKCONDITIONID,CHECKRULEID,CHECKMETHOD,SRCPROPERTY,COMPARETO,OBJVALUE,REMARK,STATUS) values ('W56E4A49-1234-5A9E-E050-007F01006A69','W43E4A49-6810-5A9E-E050-007F01006A19','inArray','ASSET_TYPE2','==','2601,2602,2604,2605,2606,2607,2610,2611,2612,2613,2614,2616,2617,2618,2619,2620,2699','当资产/负债类别为私募基金时','E');</v>
      </c>
    </row>
    <row r="163" spans="1:10" x14ac:dyDescent="0.25">
      <c r="A163" s="17">
        <v>160</v>
      </c>
      <c r="B163" s="21" t="s">
        <v>1652</v>
      </c>
      <c r="C163" s="21" t="s">
        <v>259</v>
      </c>
      <c r="D163" s="21" t="s">
        <v>1083</v>
      </c>
      <c r="E163" s="21" t="s">
        <v>910</v>
      </c>
      <c r="F163" s="21" t="s">
        <v>25</v>
      </c>
      <c r="G163" s="21" t="s">
        <v>2065</v>
      </c>
      <c r="H163" s="21" t="s">
        <v>2066</v>
      </c>
      <c r="I163" s="21" t="s">
        <v>24</v>
      </c>
      <c r="J163" s="13" t="str">
        <f t="shared" si="2"/>
        <v>insert into chb_datacheck_condition (CHECKCONDITIONID,CHECKRULEID,CHECKMETHOD,SRCPROPERTY,COMPARETO,OBJVALUE,REMARK,STATUS) values ('W84807E5-DFBD-D121-E050-007F010277FD','W43E4A49-6810-5A9E-E050-007F01006A20','inArray','ASSET_TYPE2','==','1106,1303,2401,2402,2403,2499,2601,2602,2604,2605,2606,2607,2610,2611,2612,2613,2614,2616,2617,2618,2619,2620,2699','当资产/负债类别为公募/私募基金时','E');</v>
      </c>
    </row>
    <row r="164" spans="1:10" x14ac:dyDescent="0.25">
      <c r="A164" s="17">
        <v>161</v>
      </c>
      <c r="B164" s="21" t="s">
        <v>1653</v>
      </c>
      <c r="C164" s="21" t="s">
        <v>260</v>
      </c>
      <c r="D164" s="21" t="s">
        <v>1083</v>
      </c>
      <c r="E164" s="21" t="s">
        <v>910</v>
      </c>
      <c r="F164" s="21" t="s">
        <v>25</v>
      </c>
      <c r="G164" s="21" t="s">
        <v>2065</v>
      </c>
      <c r="H164" s="21" t="s">
        <v>2066</v>
      </c>
      <c r="I164" s="21" t="s">
        <v>24</v>
      </c>
      <c r="J164" s="13" t="str">
        <f t="shared" si="2"/>
        <v>insert into chb_datacheck_condition (CHECKCONDITIONID,CHECKRULEID,CHECKMETHOD,SRCPROPERTY,COMPARETO,OBJVALUE,REMARK,STATUS) values ('W56E4A49-0002-5A9E-E050-007F01006A69','W43E4A49-6810-5A9E-E050-007F01006A21','inArray','ASSET_TYPE2','==','1106,1303,2401,2402,2403,2499,2601,2602,2604,2605,2606,2607,2610,2611,2612,2613,2614,2616,2617,2618,2619,2620,2699','当资产/负债类别为公募/私募基金时','E');</v>
      </c>
    </row>
    <row r="165" spans="1:10" x14ac:dyDescent="0.25">
      <c r="A165" s="17">
        <v>162</v>
      </c>
      <c r="B165" s="21" t="s">
        <v>261</v>
      </c>
      <c r="C165" s="21" t="s">
        <v>261</v>
      </c>
      <c r="D165" s="21" t="s">
        <v>1083</v>
      </c>
      <c r="E165" s="21" t="s">
        <v>1075</v>
      </c>
      <c r="F165" s="21" t="s">
        <v>25</v>
      </c>
      <c r="G165" s="21" t="s">
        <v>2072</v>
      </c>
      <c r="H165" s="21" t="s">
        <v>2073</v>
      </c>
      <c r="I165" s="21" t="s">
        <v>24</v>
      </c>
      <c r="J165" s="13" t="str">
        <f t="shared" si="2"/>
        <v>insert into chb_datacheck_condition (CHECKCONDITIONID,CHECKRULEID,CHECKMETHOD,SRCPROPERTY,COMPARETO,OBJVALUE,REMARK,STATUS) values ('W43E4A49-6810-5A9E-E050-007F01006A22','W43E4A49-6810-5A9E-E050-007F01006A22','inArray','ASSET_TYPE','==','15,19','当资产/负债类别为公募基金/私募基金时','E');</v>
      </c>
    </row>
    <row r="166" spans="1:10" x14ac:dyDescent="0.25">
      <c r="A166" s="17">
        <v>163</v>
      </c>
      <c r="B166" s="21" t="s">
        <v>1654</v>
      </c>
      <c r="C166" s="21" t="s">
        <v>262</v>
      </c>
      <c r="D166" s="21" t="s">
        <v>1083</v>
      </c>
      <c r="E166" s="21" t="s">
        <v>910</v>
      </c>
      <c r="F166" s="21" t="s">
        <v>25</v>
      </c>
      <c r="G166" s="21" t="s">
        <v>2091</v>
      </c>
      <c r="H166" s="21" t="s">
        <v>2092</v>
      </c>
      <c r="I166" s="21" t="s">
        <v>24</v>
      </c>
      <c r="J166" s="13" t="str">
        <f t="shared" si="2"/>
        <v>insert into chb_datacheck_condition (CHECKCONDITIONID,CHECKRULEID,CHECKMETHOD,SRCPROPERTY,COMPARETO,OBJVALUE,REMARK,STATUS) values ('W84807E5-DFBD-D121-E111-007F010277FD','W43E4A49-6810-5A9E-E050-007F01006A24','inArray','ASSET_TYPE2','==','1106,1303,2401,2402,2403,2499','当资产/负债类别为公募基金时','E');</v>
      </c>
    </row>
    <row r="167" spans="1:10" x14ac:dyDescent="0.25">
      <c r="A167" s="17">
        <v>164</v>
      </c>
      <c r="B167" s="21" t="s">
        <v>1655</v>
      </c>
      <c r="C167" s="21" t="s">
        <v>263</v>
      </c>
      <c r="D167" s="21" t="s">
        <v>1083</v>
      </c>
      <c r="E167" s="21" t="s">
        <v>910</v>
      </c>
      <c r="F167" s="21" t="s">
        <v>25</v>
      </c>
      <c r="G167" s="21" t="s">
        <v>2091</v>
      </c>
      <c r="H167" s="21" t="s">
        <v>2092</v>
      </c>
      <c r="I167" s="21" t="s">
        <v>24</v>
      </c>
      <c r="J167" s="13" t="str">
        <f t="shared" si="2"/>
        <v>insert into chb_datacheck_condition (CHECKCONDITIONID,CHECKRULEID,CHECKMETHOD,SRCPROPERTY,COMPARETO,OBJVALUE,REMARK,STATUS) values ('W84807E5-DFBD-D121-E111-007F01022222','W43E4A49-6810-5A9E-E050-007F01006A25','inArray','ASSET_TYPE2','==','1106,1303,2401,2402,2403,2499','当资产/负债类别为公募基金时','E');</v>
      </c>
    </row>
    <row r="168" spans="1:10" x14ac:dyDescent="0.25">
      <c r="A168" s="17">
        <v>165</v>
      </c>
      <c r="B168" s="21" t="s">
        <v>1656</v>
      </c>
      <c r="C168" s="21" t="s">
        <v>264</v>
      </c>
      <c r="D168" s="21" t="s">
        <v>1083</v>
      </c>
      <c r="E168" s="21" t="s">
        <v>910</v>
      </c>
      <c r="F168" s="21" t="s">
        <v>25</v>
      </c>
      <c r="G168" s="21" t="s">
        <v>2065</v>
      </c>
      <c r="H168" s="21" t="s">
        <v>2066</v>
      </c>
      <c r="I168" s="21" t="s">
        <v>24</v>
      </c>
      <c r="J168" s="13" t="str">
        <f t="shared" si="2"/>
        <v>insert into chb_datacheck_condition (CHECKCONDITIONID,CHECKRULEID,CHECKMETHOD,SRCPROPERTY,COMPARETO,OBJVALUE,REMARK,STATUS) values ('W84807E5-DFBD-D121-E002-007F01022222','W43E4A49-6810-5A9E-E050-007F01006A26','inArray','ASSET_TYPE2','==','1106,1303,2401,2402,2403,2499,2601,2602,2604,2605,2606,2607,2610,2611,2612,2613,2614,2616,2617,2618,2619,2620,2699','当资产/负债类别为公募/私募基金时','E');</v>
      </c>
    </row>
    <row r="169" spans="1:10" x14ac:dyDescent="0.25">
      <c r="A169" s="17">
        <v>166</v>
      </c>
      <c r="B169" s="21" t="s">
        <v>1657</v>
      </c>
      <c r="C169" s="21" t="s">
        <v>265</v>
      </c>
      <c r="D169" s="21" t="s">
        <v>1083</v>
      </c>
      <c r="E169" s="21" t="s">
        <v>910</v>
      </c>
      <c r="F169" s="21" t="s">
        <v>25</v>
      </c>
      <c r="G169" s="21" t="s">
        <v>2113</v>
      </c>
      <c r="H169" s="21" t="s">
        <v>2114</v>
      </c>
      <c r="I169" s="21" t="s">
        <v>24</v>
      </c>
      <c r="J169" s="13" t="str">
        <f t="shared" si="2"/>
        <v>insert into chb_datacheck_condition (CHECKCONDITIONID,CHECKRULEID,CHECKMETHOD,SRCPROPERTY,COMPARETO,OBJVALUE,REMARK,STATUS) values ('W53E4A49-6810-5A9E-E050-007F01006A12','W43E4A49-6810-5A9E-E050-007F01006A27','inArray','ASSET_TYPE2','==','1299,1399,1599,2299','当资产/负债类别为各类资产的其他项时','E');</v>
      </c>
    </row>
    <row r="170" spans="1:10" x14ac:dyDescent="0.25">
      <c r="A170" s="17">
        <v>167</v>
      </c>
      <c r="B170" s="21" t="s">
        <v>1658</v>
      </c>
      <c r="C170" s="21" t="s">
        <v>266</v>
      </c>
      <c r="D170" s="21" t="s">
        <v>1083</v>
      </c>
      <c r="E170" s="21" t="s">
        <v>910</v>
      </c>
      <c r="F170" s="21" t="s">
        <v>25</v>
      </c>
      <c r="G170" s="21" t="s">
        <v>2113</v>
      </c>
      <c r="H170" s="21" t="s">
        <v>2114</v>
      </c>
      <c r="I170" s="21" t="s">
        <v>24</v>
      </c>
      <c r="J170" s="13" t="str">
        <f t="shared" si="2"/>
        <v>insert into chb_datacheck_condition (CHECKCONDITIONID,CHECKRULEID,CHECKMETHOD,SRCPROPERTY,COMPARETO,OBJVALUE,REMARK,STATUS) values ('W53E4A49-6810-5A9E-E050-007F01006A13','W43E4A49-6810-5A9E-E050-007F01006A28','inArray','ASSET_TYPE2','==','1299,1399,1599,2299','当资产/负债类别为各类资产的其他项时','E');</v>
      </c>
    </row>
    <row r="171" spans="1:10" x14ac:dyDescent="0.25">
      <c r="A171" s="17">
        <v>168</v>
      </c>
      <c r="B171" s="21" t="s">
        <v>1660</v>
      </c>
      <c r="C171" s="21" t="s">
        <v>267</v>
      </c>
      <c r="D171" s="21" t="s">
        <v>40</v>
      </c>
      <c r="E171" s="21" t="s">
        <v>1026</v>
      </c>
      <c r="F171" s="21" t="s">
        <v>25</v>
      </c>
      <c r="G171" s="21" t="s">
        <v>55</v>
      </c>
      <c r="H171" s="21" t="s">
        <v>2115</v>
      </c>
      <c r="I171" s="21" t="s">
        <v>24</v>
      </c>
      <c r="J171" s="13" t="str">
        <f t="shared" si="2"/>
        <v>insert into chb_datacheck_condition (CHECKCONDITIONID,CHECKRULEID,CHECKMETHOD,SRCPROPERTY,COMPARETO,OBJVALUE,REMARK,STATUS) values ('W53E4A49-6810-5A9E-E050-007F01006A45','W43E4A49-6810-5A9E-E050-007F01006A29','compareValue','IN_ASSET_TYPE','==','99','当行内资产类别为其他时','E');</v>
      </c>
    </row>
    <row r="172" spans="1:10" x14ac:dyDescent="0.25">
      <c r="A172" s="17">
        <v>169</v>
      </c>
      <c r="B172" s="21" t="s">
        <v>1659</v>
      </c>
      <c r="C172" s="21" t="s">
        <v>267</v>
      </c>
      <c r="D172" s="21" t="s">
        <v>1083</v>
      </c>
      <c r="E172" s="21" t="s">
        <v>910</v>
      </c>
      <c r="F172" s="21" t="s">
        <v>25</v>
      </c>
      <c r="G172" s="21" t="s">
        <v>2113</v>
      </c>
      <c r="H172" s="21" t="s">
        <v>2114</v>
      </c>
      <c r="I172" s="21" t="s">
        <v>24</v>
      </c>
      <c r="J172" s="13" t="str">
        <f t="shared" si="2"/>
        <v>insert into chb_datacheck_condition (CHECKCONDITIONID,CHECKRULEID,CHECKMETHOD,SRCPROPERTY,COMPARETO,OBJVALUE,REMARK,STATUS) values ('W53E4A49-6810-5A9E-E050-007F01006A14','W43E4A49-6810-5A9E-E050-007F01006A29','inArray','ASSET_TYPE2','==','1299,1399,1599,2299','当资产/负债类别为各类资产的其他项时','E');</v>
      </c>
    </row>
    <row r="173" spans="1:10" x14ac:dyDescent="0.25">
      <c r="A173" s="17">
        <v>170</v>
      </c>
      <c r="B173" s="21" t="s">
        <v>1661</v>
      </c>
      <c r="C173" s="21" t="s">
        <v>268</v>
      </c>
      <c r="D173" s="21" t="s">
        <v>1083</v>
      </c>
      <c r="E173" s="21" t="s">
        <v>910</v>
      </c>
      <c r="F173" s="21" t="s">
        <v>25</v>
      </c>
      <c r="G173" s="21" t="s">
        <v>2113</v>
      </c>
      <c r="H173" s="21" t="s">
        <v>2114</v>
      </c>
      <c r="I173" s="21" t="s">
        <v>24</v>
      </c>
      <c r="J173" s="13" t="str">
        <f t="shared" si="2"/>
        <v>insert into chb_datacheck_condition (CHECKCONDITIONID,CHECKRULEID,CHECKMETHOD,SRCPROPERTY,COMPARETO,OBJVALUE,REMARK,STATUS) values ('W53E4A49-6810-5A9E-E050-007F01006A15','W43E4A49-6810-5A9E-E050-007F01006A30','inArray','ASSET_TYPE2','==','1299,1399,1599,2299','当资产/负债类别为各类资产的其他项时','E');</v>
      </c>
    </row>
    <row r="174" spans="1:10" x14ac:dyDescent="0.25">
      <c r="A174" s="17">
        <v>171</v>
      </c>
      <c r="B174" s="21" t="s">
        <v>1662</v>
      </c>
      <c r="C174" s="21" t="s">
        <v>269</v>
      </c>
      <c r="D174" s="21" t="s">
        <v>1083</v>
      </c>
      <c r="E174" s="21" t="s">
        <v>910</v>
      </c>
      <c r="F174" s="21" t="s">
        <v>25</v>
      </c>
      <c r="G174" s="21" t="s">
        <v>2113</v>
      </c>
      <c r="H174" s="21" t="s">
        <v>2114</v>
      </c>
      <c r="I174" s="21" t="s">
        <v>24</v>
      </c>
      <c r="J174" s="13" t="str">
        <f t="shared" si="2"/>
        <v>insert into chb_datacheck_condition (CHECKCONDITIONID,CHECKRULEID,CHECKMETHOD,SRCPROPERTY,COMPARETO,OBJVALUE,REMARK,STATUS) values ('W53E4A49-6810-5A9E-E050-007F01006A16','W43E4A49-6810-5A9E-E050-007F01006A31','inArray','ASSET_TYPE2','==','1299,1399,1599,2299','当资产/负债类别为各类资产的其他项时','E');</v>
      </c>
    </row>
    <row r="175" spans="1:10" x14ac:dyDescent="0.25">
      <c r="A175" s="17">
        <v>172</v>
      </c>
      <c r="B175" s="21" t="s">
        <v>1663</v>
      </c>
      <c r="C175" s="21" t="s">
        <v>270</v>
      </c>
      <c r="D175" s="21" t="s">
        <v>1083</v>
      </c>
      <c r="E175" s="21" t="s">
        <v>910</v>
      </c>
      <c r="F175" s="21" t="s">
        <v>25</v>
      </c>
      <c r="G175" s="21" t="s">
        <v>2113</v>
      </c>
      <c r="H175" s="21" t="s">
        <v>2114</v>
      </c>
      <c r="I175" s="21" t="s">
        <v>24</v>
      </c>
      <c r="J175" s="13" t="str">
        <f t="shared" si="2"/>
        <v>insert into chb_datacheck_condition (CHECKCONDITIONID,CHECKRULEID,CHECKMETHOD,SRCPROPERTY,COMPARETO,OBJVALUE,REMARK,STATUS) values ('W53E4A49-6810-5A9E-E050-007F01006A17','W43E4A49-6810-5A9E-E050-007F01006A32','inArray','ASSET_TYPE2','==','1299,1399,1599,2299','当资产/负债类别为各类资产的其他项时','E');</v>
      </c>
    </row>
    <row r="176" spans="1:10" x14ac:dyDescent="0.25">
      <c r="A176" s="17">
        <v>173</v>
      </c>
      <c r="B176" s="21" t="s">
        <v>1664</v>
      </c>
      <c r="C176" s="21" t="s">
        <v>271</v>
      </c>
      <c r="D176" s="21" t="s">
        <v>1083</v>
      </c>
      <c r="E176" s="21" t="s">
        <v>910</v>
      </c>
      <c r="F176" s="21" t="s">
        <v>25</v>
      </c>
      <c r="G176" s="21" t="s">
        <v>2113</v>
      </c>
      <c r="H176" s="21" t="s">
        <v>2114</v>
      </c>
      <c r="I176" s="21" t="s">
        <v>24</v>
      </c>
      <c r="J176" s="13" t="str">
        <f t="shared" si="2"/>
        <v>insert into chb_datacheck_condition (CHECKCONDITIONID,CHECKRULEID,CHECKMETHOD,SRCPROPERTY,COMPARETO,OBJVALUE,REMARK,STATUS) values ('W53E4A49-6810-5A9E-E050-007F01006A18','W43E4A49-6810-5A9E-E050-007F01006A33','inArray','ASSET_TYPE2','==','1299,1399,1599,2299','当资产/负债类别为各类资产的其他项时','E');</v>
      </c>
    </row>
    <row r="177" spans="1:10" x14ac:dyDescent="0.25">
      <c r="A177" s="17">
        <v>174</v>
      </c>
      <c r="B177" s="21" t="s">
        <v>1665</v>
      </c>
      <c r="C177" s="21" t="s">
        <v>272</v>
      </c>
      <c r="D177" s="21" t="s">
        <v>1083</v>
      </c>
      <c r="E177" s="21" t="s">
        <v>910</v>
      </c>
      <c r="F177" s="21" t="s">
        <v>25</v>
      </c>
      <c r="G177" s="21" t="s">
        <v>2113</v>
      </c>
      <c r="H177" s="21" t="s">
        <v>2114</v>
      </c>
      <c r="I177" s="21" t="s">
        <v>24</v>
      </c>
      <c r="J177" s="13" t="str">
        <f t="shared" si="2"/>
        <v>insert into chb_datacheck_condition (CHECKCONDITIONID,CHECKRULEID,CHECKMETHOD,SRCPROPERTY,COMPARETO,OBJVALUE,REMARK,STATUS) values ('W53E4A49-6810-5A9E-E050-007F01006A19','W43E4A49-6810-5A9E-E050-007F01006A34','inArray','ASSET_TYPE2','==','1299,1399,1599,2299','当资产/负债类别为各类资产的其他项时','E');</v>
      </c>
    </row>
    <row r="178" spans="1:10" x14ac:dyDescent="0.25">
      <c r="A178" s="17">
        <v>175</v>
      </c>
      <c r="B178" s="21" t="s">
        <v>1666</v>
      </c>
      <c r="C178" s="21" t="s">
        <v>273</v>
      </c>
      <c r="D178" s="21" t="s">
        <v>1083</v>
      </c>
      <c r="E178" s="21" t="s">
        <v>910</v>
      </c>
      <c r="F178" s="21" t="s">
        <v>25</v>
      </c>
      <c r="G178" s="21" t="s">
        <v>2113</v>
      </c>
      <c r="H178" s="21" t="s">
        <v>2114</v>
      </c>
      <c r="I178" s="21" t="s">
        <v>24</v>
      </c>
      <c r="J178" s="13" t="str">
        <f t="shared" si="2"/>
        <v>insert into chb_datacheck_condition (CHECKCONDITIONID,CHECKRULEID,CHECKMETHOD,SRCPROPERTY,COMPARETO,OBJVALUE,REMARK,STATUS) values ('W53E4A49-6810-5A9E-E050-007F01006A20','W43E4A49-6810-5A9E-E050-007F01006A35','inArray','ASSET_TYPE2','==','1299,1399,1599,2299','当资产/负债类别为各类资产的其他项时','E');</v>
      </c>
    </row>
    <row r="179" spans="1:10" x14ac:dyDescent="0.25">
      <c r="A179" s="17">
        <v>176</v>
      </c>
      <c r="B179" s="21" t="s">
        <v>1667</v>
      </c>
      <c r="C179" s="21" t="s">
        <v>274</v>
      </c>
      <c r="D179" s="21" t="s">
        <v>1083</v>
      </c>
      <c r="E179" s="21" t="s">
        <v>910</v>
      </c>
      <c r="F179" s="21" t="s">
        <v>25</v>
      </c>
      <c r="G179" s="21" t="s">
        <v>2113</v>
      </c>
      <c r="H179" s="21" t="s">
        <v>2114</v>
      </c>
      <c r="I179" s="21" t="s">
        <v>24</v>
      </c>
      <c r="J179" s="13" t="str">
        <f t="shared" si="2"/>
        <v>insert into chb_datacheck_condition (CHECKCONDITIONID,CHECKRULEID,CHECKMETHOD,SRCPROPERTY,COMPARETO,OBJVALUE,REMARK,STATUS) values ('W53E4A49-6810-5A9E-E050-007F01006A21','W43E4A49-6810-5A9E-E050-007F01006A36','inArray','ASSET_TYPE2','==','1299,1399,1599,2299','当资产/负债类别为各类资产的其他项时','E');</v>
      </c>
    </row>
    <row r="180" spans="1:10" x14ac:dyDescent="0.25">
      <c r="A180" s="17">
        <v>177</v>
      </c>
      <c r="B180" s="21" t="s">
        <v>1669</v>
      </c>
      <c r="C180" s="21" t="s">
        <v>275</v>
      </c>
      <c r="D180" s="21" t="s">
        <v>1083</v>
      </c>
      <c r="E180" s="21" t="s">
        <v>910</v>
      </c>
      <c r="F180" s="21" t="s">
        <v>25</v>
      </c>
      <c r="G180" s="21" t="s">
        <v>2113</v>
      </c>
      <c r="H180" s="21" t="s">
        <v>2114</v>
      </c>
      <c r="I180" s="21" t="s">
        <v>24</v>
      </c>
      <c r="J180" s="13" t="str">
        <f t="shared" si="2"/>
        <v>insert into chb_datacheck_condition (CHECKCONDITIONID,CHECKRULEID,CHECKMETHOD,SRCPROPERTY,COMPARETO,OBJVALUE,REMARK,STATUS) values ('W53E4A49-6810-5A9E-E050-007F01006A22','W43E4A49-6810-5A9E-E050-007F01006A37','inArray','ASSET_TYPE2','==','1299,1399,1599,2299','当资产/负债类别为各类资产的其他项时','E');</v>
      </c>
    </row>
    <row r="181" spans="1:10" x14ac:dyDescent="0.25">
      <c r="A181" s="17">
        <v>178</v>
      </c>
      <c r="B181" s="21" t="s">
        <v>1668</v>
      </c>
      <c r="C181" s="21" t="s">
        <v>275</v>
      </c>
      <c r="D181" s="21" t="s">
        <v>40</v>
      </c>
      <c r="E181" s="21" t="s">
        <v>1032</v>
      </c>
      <c r="F181" s="21" t="s">
        <v>25</v>
      </c>
      <c r="G181" s="21" t="s">
        <v>53</v>
      </c>
      <c r="H181" s="21" t="s">
        <v>2116</v>
      </c>
      <c r="I181" s="21" t="s">
        <v>24</v>
      </c>
      <c r="J181" s="13" t="str">
        <f t="shared" si="2"/>
        <v>insert into chb_datacheck_condition (CHECKCONDITIONID,CHECKRULEID,CHECKMETHOD,SRCPROPERTY,COMPARETO,OBJVALUE,REMARK,STATUS) values ('W53E4A49-6810-5A9E-E050-007F01006A46','W43E4A49-6810-5A9E-E050-007F01006A37','compareValue','RATE_FLAG','==','01','当是否有预期收益率为是时','E');</v>
      </c>
    </row>
    <row r="182" spans="1:10" x14ac:dyDescent="0.25">
      <c r="A182" s="17">
        <v>179</v>
      </c>
      <c r="B182" s="21" t="s">
        <v>1671</v>
      </c>
      <c r="C182" s="21" t="s">
        <v>276</v>
      </c>
      <c r="D182" s="21" t="s">
        <v>40</v>
      </c>
      <c r="E182" s="21" t="s">
        <v>1032</v>
      </c>
      <c r="F182" s="21" t="s">
        <v>25</v>
      </c>
      <c r="G182" s="21" t="s">
        <v>54</v>
      </c>
      <c r="H182" s="21" t="s">
        <v>2117</v>
      </c>
      <c r="I182" s="21" t="s">
        <v>24</v>
      </c>
      <c r="J182" s="13" t="str">
        <f t="shared" si="2"/>
        <v>insert into chb_datacheck_condition (CHECKCONDITIONID,CHECKRULEID,CHECKMETHOD,SRCPROPERTY,COMPARETO,OBJVALUE,REMARK,STATUS) values ('W53E4A49-6810-5A9E-E050-007F01006A47','W43E4A49-6810-5A9E-E050-007F01006A38','compareValue','RATE_FLAG','==','02','当是否有预期收益率为否时','E');</v>
      </c>
    </row>
    <row r="183" spans="1:10" x14ac:dyDescent="0.25">
      <c r="A183" s="17">
        <v>180</v>
      </c>
      <c r="B183" s="21" t="s">
        <v>1670</v>
      </c>
      <c r="C183" s="21" t="s">
        <v>276</v>
      </c>
      <c r="D183" s="21" t="s">
        <v>1083</v>
      </c>
      <c r="E183" s="21" t="s">
        <v>910</v>
      </c>
      <c r="F183" s="21" t="s">
        <v>25</v>
      </c>
      <c r="G183" s="21" t="s">
        <v>2113</v>
      </c>
      <c r="H183" s="21" t="s">
        <v>2114</v>
      </c>
      <c r="I183" s="21" t="s">
        <v>24</v>
      </c>
      <c r="J183" s="13" t="str">
        <f t="shared" si="2"/>
        <v>insert into chb_datacheck_condition (CHECKCONDITIONID,CHECKRULEID,CHECKMETHOD,SRCPROPERTY,COMPARETO,OBJVALUE,REMARK,STATUS) values ('W53E4A49-6810-5A9E-E050-007F01006A23','W43E4A49-6810-5A9E-E050-007F01006A38','inArray','ASSET_TYPE2','==','1299,1399,1599,2299','当资产/负债类别为各类资产的其他项时','E');</v>
      </c>
    </row>
    <row r="184" spans="1:10" x14ac:dyDescent="0.25">
      <c r="A184" s="17">
        <v>181</v>
      </c>
      <c r="B184" s="21" t="s">
        <v>1672</v>
      </c>
      <c r="C184" s="21" t="s">
        <v>277</v>
      </c>
      <c r="D184" s="21" t="s">
        <v>1083</v>
      </c>
      <c r="E184" s="21" t="s">
        <v>910</v>
      </c>
      <c r="F184" s="21" t="s">
        <v>25</v>
      </c>
      <c r="G184" s="21" t="s">
        <v>2113</v>
      </c>
      <c r="H184" s="21" t="s">
        <v>2114</v>
      </c>
      <c r="I184" s="21" t="s">
        <v>24</v>
      </c>
      <c r="J184" s="13" t="str">
        <f t="shared" si="2"/>
        <v>insert into chb_datacheck_condition (CHECKCONDITIONID,CHECKRULEID,CHECKMETHOD,SRCPROPERTY,COMPARETO,OBJVALUE,REMARK,STATUS) values ('W53E4A49-6810-5A9E-E050-007F01006A24','W43E4A49-6810-5A9E-E050-007F01006A39','inArray','ASSET_TYPE2','==','1299,1399,1599,2299','当资产/负债类别为各类资产的其他项时','E');</v>
      </c>
    </row>
    <row r="185" spans="1:10" s="16" customFormat="1" x14ac:dyDescent="0.25">
      <c r="A185" s="17">
        <v>182</v>
      </c>
      <c r="B185" s="21" t="s">
        <v>1673</v>
      </c>
      <c r="C185" s="21" t="s">
        <v>278</v>
      </c>
      <c r="D185" s="21" t="s">
        <v>1083</v>
      </c>
      <c r="E185" s="21" t="s">
        <v>910</v>
      </c>
      <c r="F185" s="21" t="s">
        <v>25</v>
      </c>
      <c r="G185" s="21" t="s">
        <v>2113</v>
      </c>
      <c r="H185" s="21" t="s">
        <v>2114</v>
      </c>
      <c r="I185" s="21" t="s">
        <v>24</v>
      </c>
      <c r="J185" s="14" t="str">
        <f t="shared" si="2"/>
        <v>insert into chb_datacheck_condition (CHECKCONDITIONID,CHECKRULEID,CHECKMETHOD,SRCPROPERTY,COMPARETO,OBJVALUE,REMARK,STATUS) values ('W53E4A49-6810-5A9E-E050-007F01006A25','W43E4A49-6810-5A9E-E050-007F01006A40','inArray','ASSET_TYPE2','==','1299,1399,1599,2299','当资产/负债类别为各类资产的其他项时','E');</v>
      </c>
    </row>
    <row r="186" spans="1:10" s="16" customFormat="1" x14ac:dyDescent="0.25">
      <c r="A186" s="17">
        <v>183</v>
      </c>
      <c r="B186" s="21" t="s">
        <v>1674</v>
      </c>
      <c r="C186" s="21" t="s">
        <v>279</v>
      </c>
      <c r="D186" s="21" t="s">
        <v>1083</v>
      </c>
      <c r="E186" s="21" t="s">
        <v>910</v>
      </c>
      <c r="F186" s="21" t="s">
        <v>25</v>
      </c>
      <c r="G186" s="21" t="s">
        <v>2113</v>
      </c>
      <c r="H186" s="21" t="s">
        <v>2114</v>
      </c>
      <c r="I186" s="21" t="s">
        <v>24</v>
      </c>
      <c r="J186" s="14" t="str">
        <f t="shared" si="2"/>
        <v>insert into chb_datacheck_condition (CHECKCONDITIONID,CHECKRULEID,CHECKMETHOD,SRCPROPERTY,COMPARETO,OBJVALUE,REMARK,STATUS) values ('W53E4A49-6810-5A9E-E050-007F01006A26','W43E4A49-6810-5A9E-E050-007F01006A41','inArray','ASSET_TYPE2','==','1299,1399,1599,2299','当资产/负债类别为各类资产的其他项时','E');</v>
      </c>
    </row>
    <row r="187" spans="1:10" x14ac:dyDescent="0.25">
      <c r="A187" s="17">
        <v>184</v>
      </c>
      <c r="B187" s="21" t="s">
        <v>1675</v>
      </c>
      <c r="C187" s="21" t="s">
        <v>280</v>
      </c>
      <c r="D187" s="21" t="s">
        <v>1083</v>
      </c>
      <c r="E187" s="21" t="s">
        <v>910</v>
      </c>
      <c r="F187" s="21" t="s">
        <v>25</v>
      </c>
      <c r="G187" s="21" t="s">
        <v>2113</v>
      </c>
      <c r="H187" s="21" t="s">
        <v>2114</v>
      </c>
      <c r="I187" s="21" t="s">
        <v>24</v>
      </c>
      <c r="J187" s="13" t="str">
        <f t="shared" si="2"/>
        <v>insert into chb_datacheck_condition (CHECKCONDITIONID,CHECKRULEID,CHECKMETHOD,SRCPROPERTY,COMPARETO,OBJVALUE,REMARK,STATUS) values ('W53E4A49-6810-5A9E-E050-007F01006A27','W43E4A49-6810-5A9E-E050-007F01006A42','inArray','ASSET_TYPE2','==','1299,1399,1599,2299','当资产/负债类别为各类资产的其他项时','E');</v>
      </c>
    </row>
    <row r="188" spans="1:10" x14ac:dyDescent="0.25">
      <c r="A188" s="17">
        <v>185</v>
      </c>
      <c r="B188" s="21" t="s">
        <v>1676</v>
      </c>
      <c r="C188" s="21" t="s">
        <v>281</v>
      </c>
      <c r="D188" s="21" t="s">
        <v>1083</v>
      </c>
      <c r="E188" s="21" t="s">
        <v>910</v>
      </c>
      <c r="F188" s="21" t="s">
        <v>25</v>
      </c>
      <c r="G188" s="21" t="s">
        <v>2113</v>
      </c>
      <c r="H188" s="21" t="s">
        <v>2114</v>
      </c>
      <c r="I188" s="21" t="s">
        <v>24</v>
      </c>
      <c r="J188" s="13" t="str">
        <f t="shared" si="2"/>
        <v>insert into chb_datacheck_condition (CHECKCONDITIONID,CHECKRULEID,CHECKMETHOD,SRCPROPERTY,COMPARETO,OBJVALUE,REMARK,STATUS) values ('W53E4A49-6810-5A9E-E050-007F01006A28','W43E4A49-6810-5A9E-E050-007F01006A43','inArray','ASSET_TYPE2','==','1299,1399,1599,2299','当资产/负债类别为各类资产的其他项时','E');</v>
      </c>
    </row>
    <row r="189" spans="1:10" x14ac:dyDescent="0.25">
      <c r="A189" s="17">
        <v>186</v>
      </c>
      <c r="B189" s="21" t="s">
        <v>1677</v>
      </c>
      <c r="C189" s="21" t="s">
        <v>282</v>
      </c>
      <c r="D189" s="21" t="s">
        <v>1083</v>
      </c>
      <c r="E189" s="21" t="s">
        <v>910</v>
      </c>
      <c r="F189" s="21" t="s">
        <v>25</v>
      </c>
      <c r="G189" s="21" t="s">
        <v>2113</v>
      </c>
      <c r="H189" s="21" t="s">
        <v>2114</v>
      </c>
      <c r="I189" s="21" t="s">
        <v>24</v>
      </c>
      <c r="J189" s="13" t="str">
        <f t="shared" si="2"/>
        <v>insert into chb_datacheck_condition (CHECKCONDITIONID,CHECKRULEID,CHECKMETHOD,SRCPROPERTY,COMPARETO,OBJVALUE,REMARK,STATUS) values ('W53E4A49-6810-5A9E-E050-007F01006A29','W43E4A49-6810-5A9E-E050-007F01006A44','inArray','ASSET_TYPE2','==','1299,1399,1599,2299','当资产/负债类别为各类资产的其他项时','E');</v>
      </c>
    </row>
    <row r="190" spans="1:10" x14ac:dyDescent="0.25">
      <c r="A190" s="17">
        <v>187</v>
      </c>
      <c r="B190" s="21" t="s">
        <v>1678</v>
      </c>
      <c r="C190" s="21" t="s">
        <v>283</v>
      </c>
      <c r="D190" s="21" t="s">
        <v>1083</v>
      </c>
      <c r="E190" s="21" t="s">
        <v>910</v>
      </c>
      <c r="F190" s="21" t="s">
        <v>25</v>
      </c>
      <c r="G190" s="21" t="s">
        <v>2113</v>
      </c>
      <c r="H190" s="21" t="s">
        <v>2114</v>
      </c>
      <c r="I190" s="21" t="s">
        <v>24</v>
      </c>
      <c r="J190" s="13" t="str">
        <f t="shared" si="2"/>
        <v>insert into chb_datacheck_condition (CHECKCONDITIONID,CHECKRULEID,CHECKMETHOD,SRCPROPERTY,COMPARETO,OBJVALUE,REMARK,STATUS) values ('W53E4A49-6810-5A9E-E050-007F01006A30','W43E4A49-6810-5A9E-E050-007F01006A45','inArray','ASSET_TYPE2','==','1299,1399,1599,2299','当资产/负债类别为各类资产的其他项时','E');</v>
      </c>
    </row>
    <row r="191" spans="1:10" x14ac:dyDescent="0.25">
      <c r="A191" s="17">
        <v>188</v>
      </c>
      <c r="B191" s="21" t="s">
        <v>1679</v>
      </c>
      <c r="C191" s="21" t="s">
        <v>284</v>
      </c>
      <c r="D191" s="21" t="s">
        <v>1083</v>
      </c>
      <c r="E191" s="21" t="s">
        <v>910</v>
      </c>
      <c r="F191" s="21" t="s">
        <v>25</v>
      </c>
      <c r="G191" s="21" t="s">
        <v>2113</v>
      </c>
      <c r="H191" s="21" t="s">
        <v>2114</v>
      </c>
      <c r="I191" s="21" t="s">
        <v>24</v>
      </c>
      <c r="J191" s="13" t="str">
        <f t="shared" si="2"/>
        <v>insert into chb_datacheck_condition (CHECKCONDITIONID,CHECKRULEID,CHECKMETHOD,SRCPROPERTY,COMPARETO,OBJVALUE,REMARK,STATUS) values ('W53E4A49-6810-5A9E-E050-007F01006A31','W43E4A49-6810-5A9E-E050-007F01006A46','inArray','ASSET_TYPE2','==','1299,1399,1599,2299','当资产/负债类别为各类资产的其他项时','E');</v>
      </c>
    </row>
    <row r="192" spans="1:10" x14ac:dyDescent="0.25">
      <c r="A192" s="17">
        <v>189</v>
      </c>
      <c r="B192" s="21" t="s">
        <v>1680</v>
      </c>
      <c r="C192" s="21" t="s">
        <v>285</v>
      </c>
      <c r="D192" s="21" t="s">
        <v>1083</v>
      </c>
      <c r="E192" s="21" t="s">
        <v>910</v>
      </c>
      <c r="F192" s="21" t="s">
        <v>25</v>
      </c>
      <c r="G192" s="21" t="s">
        <v>2113</v>
      </c>
      <c r="H192" s="21" t="s">
        <v>2114</v>
      </c>
      <c r="I192" s="21" t="s">
        <v>24</v>
      </c>
      <c r="J192" s="13" t="str">
        <f t="shared" si="2"/>
        <v>insert into chb_datacheck_condition (CHECKCONDITIONID,CHECKRULEID,CHECKMETHOD,SRCPROPERTY,COMPARETO,OBJVALUE,REMARK,STATUS) values ('W53E4A49-6810-5A9E-E050-007F01006A32','W43E4A49-6810-5A9E-E050-007F01006A47','inArray','ASSET_TYPE2','==','1299,1399,1599,2299','当资产/负债类别为各类资产的其他项时','E');</v>
      </c>
    </row>
    <row r="193" spans="1:10" x14ac:dyDescent="0.25">
      <c r="A193" s="17">
        <v>190</v>
      </c>
      <c r="B193" s="21" t="s">
        <v>1681</v>
      </c>
      <c r="C193" s="21" t="s">
        <v>286</v>
      </c>
      <c r="D193" s="21" t="s">
        <v>1083</v>
      </c>
      <c r="E193" s="21" t="s">
        <v>910</v>
      </c>
      <c r="F193" s="21" t="s">
        <v>25</v>
      </c>
      <c r="G193" s="21" t="s">
        <v>2113</v>
      </c>
      <c r="H193" s="21" t="s">
        <v>2114</v>
      </c>
      <c r="I193" s="21" t="s">
        <v>24</v>
      </c>
      <c r="J193" s="13" t="str">
        <f t="shared" si="2"/>
        <v>insert into chb_datacheck_condition (CHECKCONDITIONID,CHECKRULEID,CHECKMETHOD,SRCPROPERTY,COMPARETO,OBJVALUE,REMARK,STATUS) values ('W53E4A49-6810-5A9E-E050-007F01006A33','W43E4A49-6810-5A9E-E050-007F01006A48','inArray','ASSET_TYPE2','==','1299,1399,1599,2299','当资产/负债类别为各类资产的其他项时','E');</v>
      </c>
    </row>
    <row r="194" spans="1:10" x14ac:dyDescent="0.25">
      <c r="A194" s="17">
        <v>191</v>
      </c>
      <c r="B194" s="21" t="s">
        <v>1682</v>
      </c>
      <c r="C194" s="21" t="s">
        <v>287</v>
      </c>
      <c r="D194" s="21" t="s">
        <v>1083</v>
      </c>
      <c r="E194" s="21" t="s">
        <v>910</v>
      </c>
      <c r="F194" s="21" t="s">
        <v>25</v>
      </c>
      <c r="G194" s="21" t="s">
        <v>2113</v>
      </c>
      <c r="H194" s="21" t="s">
        <v>2114</v>
      </c>
      <c r="I194" s="21" t="s">
        <v>24</v>
      </c>
      <c r="J194" s="13" t="str">
        <f t="shared" si="2"/>
        <v>insert into chb_datacheck_condition (CHECKCONDITIONID,CHECKRULEID,CHECKMETHOD,SRCPROPERTY,COMPARETO,OBJVALUE,REMARK,STATUS) values ('W53E4A49-6810-5A9E-E050-007F01006A34','W43E4A49-6810-5A9E-E050-007F01006A49','inArray','ASSET_TYPE2','==','1299,1399,1599,2299','当资产/负债类别为各类资产的其他项时','E');</v>
      </c>
    </row>
    <row r="195" spans="1:10" x14ac:dyDescent="0.25">
      <c r="A195" s="17">
        <v>192</v>
      </c>
      <c r="B195" s="21" t="s">
        <v>1683</v>
      </c>
      <c r="C195" s="21" t="s">
        <v>288</v>
      </c>
      <c r="D195" s="21" t="s">
        <v>1083</v>
      </c>
      <c r="E195" s="21" t="s">
        <v>910</v>
      </c>
      <c r="F195" s="21" t="s">
        <v>25</v>
      </c>
      <c r="G195" s="21" t="s">
        <v>2113</v>
      </c>
      <c r="H195" s="21" t="s">
        <v>2114</v>
      </c>
      <c r="I195" s="21" t="s">
        <v>24</v>
      </c>
      <c r="J195" s="13" t="str">
        <f t="shared" si="2"/>
        <v>insert into chb_datacheck_condition (CHECKCONDITIONID,CHECKRULEID,CHECKMETHOD,SRCPROPERTY,COMPARETO,OBJVALUE,REMARK,STATUS) values ('W53E4A49-6810-5A9E-E050-007F01006A35','W43E4A49-6810-5A9E-E050-007F01006A50','inArray','ASSET_TYPE2','==','1299,1399,1599,2299','当资产/负债类别为各类资产的其他项时','E');</v>
      </c>
    </row>
    <row r="196" spans="1:10" x14ac:dyDescent="0.25">
      <c r="A196" s="17">
        <v>193</v>
      </c>
      <c r="B196" s="21" t="s">
        <v>1684</v>
      </c>
      <c r="C196" s="21" t="s">
        <v>289</v>
      </c>
      <c r="D196" s="21" t="s">
        <v>40</v>
      </c>
      <c r="E196" s="21" t="s">
        <v>1052</v>
      </c>
      <c r="F196" s="21" t="s">
        <v>25</v>
      </c>
      <c r="G196" s="21" t="s">
        <v>53</v>
      </c>
      <c r="H196" s="21" t="s">
        <v>2118</v>
      </c>
      <c r="I196" s="21" t="s">
        <v>24</v>
      </c>
      <c r="J196" s="13" t="str">
        <f t="shared" si="2"/>
        <v>insert into chb_datacheck_condition (CHECKCONDITIONID,CHECKRULEID,CHECKMETHOD,SRCPROPERTY,COMPARETO,OBJVALUE,REMARK,STATUS) values ('W53E4A49-6810-5A9E-E050-007F01006A48','W43E4A49-6810-5A9E-E050-007F01006A51','compareValue','INDUSTRY_FLAG','==','01','当项目是否属于重点监控行业和领域为是时','E');</v>
      </c>
    </row>
    <row r="197" spans="1:10" x14ac:dyDescent="0.25">
      <c r="A197" s="17">
        <v>194</v>
      </c>
      <c r="B197" s="21" t="s">
        <v>1685</v>
      </c>
      <c r="C197" s="21" t="s">
        <v>289</v>
      </c>
      <c r="D197" s="21" t="s">
        <v>1083</v>
      </c>
      <c r="E197" s="21" t="s">
        <v>910</v>
      </c>
      <c r="F197" s="21" t="s">
        <v>25</v>
      </c>
      <c r="G197" s="21" t="s">
        <v>2113</v>
      </c>
      <c r="H197" s="21" t="s">
        <v>2114</v>
      </c>
      <c r="I197" s="21" t="s">
        <v>24</v>
      </c>
      <c r="J197" s="13" t="str">
        <f t="shared" ref="J197:J260" si="3">CONCATENATE("insert into chb_datacheck_condition (CHECKCONDITIONID,CHECKRULEID,CHECKMETHOD,SRCPROPERTY,COMPARETO,OBJVALUE,REMARK,STATUS) values ('",B197,"','",C197,"','",D197,"','",E197,"','",F197,"','",G197,"','",H197,"','",I197,"');")</f>
        <v>insert into chb_datacheck_condition (CHECKCONDITIONID,CHECKRULEID,CHECKMETHOD,SRCPROPERTY,COMPARETO,OBJVALUE,REMARK,STATUS) values ('W53E4A49-6810-5A9E-E050-007F01006A36','W43E4A49-6810-5A9E-E050-007F01006A51','inArray','ASSET_TYPE2','==','1299,1399,1599,2299','当资产/负债类别为各类资产的其他项时','E');</v>
      </c>
    </row>
    <row r="198" spans="1:10" x14ac:dyDescent="0.25">
      <c r="A198" s="17">
        <v>195</v>
      </c>
      <c r="B198" s="21" t="s">
        <v>1687</v>
      </c>
      <c r="C198" s="21" t="s">
        <v>290</v>
      </c>
      <c r="D198" s="21" t="s">
        <v>40</v>
      </c>
      <c r="E198" s="21" t="s">
        <v>1052</v>
      </c>
      <c r="F198" s="21" t="s">
        <v>25</v>
      </c>
      <c r="G198" s="21" t="s">
        <v>54</v>
      </c>
      <c r="H198" s="21" t="s">
        <v>2119</v>
      </c>
      <c r="I198" s="21" t="s">
        <v>24</v>
      </c>
      <c r="J198" s="13" t="str">
        <f t="shared" si="3"/>
        <v>insert into chb_datacheck_condition (CHECKCONDITIONID,CHECKRULEID,CHECKMETHOD,SRCPROPERTY,COMPARETO,OBJVALUE,REMARK,STATUS) values ('W53E4A49-6810-5A9E-E050-007F01006A49','W43E4A49-6810-5A9E-E050-007F01006A52','compareValue','INDUSTRY_FLAG','==','02','当项目是否属于重点监控行业和领域为否时','E');</v>
      </c>
    </row>
    <row r="199" spans="1:10" x14ac:dyDescent="0.25">
      <c r="A199" s="17">
        <v>196</v>
      </c>
      <c r="B199" s="21" t="s">
        <v>1686</v>
      </c>
      <c r="C199" s="21" t="s">
        <v>290</v>
      </c>
      <c r="D199" s="21" t="s">
        <v>1083</v>
      </c>
      <c r="E199" s="21" t="s">
        <v>910</v>
      </c>
      <c r="F199" s="21" t="s">
        <v>25</v>
      </c>
      <c r="G199" s="21" t="s">
        <v>2113</v>
      </c>
      <c r="H199" s="21" t="s">
        <v>2114</v>
      </c>
      <c r="I199" s="21" t="s">
        <v>24</v>
      </c>
      <c r="J199" s="13" t="str">
        <f t="shared" si="3"/>
        <v>insert into chb_datacheck_condition (CHECKCONDITIONID,CHECKRULEID,CHECKMETHOD,SRCPROPERTY,COMPARETO,OBJVALUE,REMARK,STATUS) values ('W53E4A49-6810-5A9E-E050-007F01006A37','W43E4A49-6810-5A9E-E050-007F01006A52','inArray','ASSET_TYPE2','==','1299,1399,1599,2299','当资产/负债类别为各类资产的其他项时','E');</v>
      </c>
    </row>
    <row r="200" spans="1:10" x14ac:dyDescent="0.25">
      <c r="A200" s="17">
        <v>197</v>
      </c>
      <c r="B200" s="21" t="s">
        <v>1688</v>
      </c>
      <c r="C200" s="21" t="s">
        <v>291</v>
      </c>
      <c r="D200" s="21" t="s">
        <v>1083</v>
      </c>
      <c r="E200" s="21" t="s">
        <v>910</v>
      </c>
      <c r="F200" s="21" t="s">
        <v>25</v>
      </c>
      <c r="G200" s="21" t="s">
        <v>2113</v>
      </c>
      <c r="H200" s="21" t="s">
        <v>2114</v>
      </c>
      <c r="I200" s="21" t="s">
        <v>24</v>
      </c>
      <c r="J200" s="13" t="str">
        <f t="shared" si="3"/>
        <v>insert into chb_datacheck_condition (CHECKCONDITIONID,CHECKRULEID,CHECKMETHOD,SRCPROPERTY,COMPARETO,OBJVALUE,REMARK,STATUS) values ('W53E4A49-6810-5A9E-E050-007F01006A38','W43E4A49-6810-5A9E-E050-007F01006A53','inArray','ASSET_TYPE2','==','1299,1399,1599,2299','当资产/负债类别为各类资产的其他项时','E');</v>
      </c>
    </row>
    <row r="201" spans="1:10" x14ac:dyDescent="0.25">
      <c r="A201" s="17">
        <v>198</v>
      </c>
      <c r="B201" s="21" t="s">
        <v>1689</v>
      </c>
      <c r="C201" s="21" t="s">
        <v>291</v>
      </c>
      <c r="D201" s="21" t="s">
        <v>40</v>
      </c>
      <c r="E201" s="21" t="s">
        <v>1054</v>
      </c>
      <c r="F201" s="21" t="s">
        <v>25</v>
      </c>
      <c r="G201" s="21" t="s">
        <v>55</v>
      </c>
      <c r="H201" s="21" t="s">
        <v>2120</v>
      </c>
      <c r="I201" s="21" t="s">
        <v>24</v>
      </c>
      <c r="J201" s="13" t="str">
        <f t="shared" si="3"/>
        <v>insert into chb_datacheck_condition (CHECKCONDITIONID,CHECKRULEID,CHECKMETHOD,SRCPROPERTY,COMPARETO,OBJVALUE,REMARK,STATUS) values ('W53E4A49-6810-5A9E-E050-007F01006A50','W43E4A49-6810-5A9E-E050-007F01006A53','compareValue','MONIT_TYPE','==','99','当重点监控行业和领域类别为其他时','E');</v>
      </c>
    </row>
    <row r="202" spans="1:10" x14ac:dyDescent="0.25">
      <c r="A202" s="17">
        <v>199</v>
      </c>
      <c r="B202" s="21" t="s">
        <v>1690</v>
      </c>
      <c r="C202" s="21" t="s">
        <v>292</v>
      </c>
      <c r="D202" s="21" t="s">
        <v>1083</v>
      </c>
      <c r="E202" s="21" t="s">
        <v>910</v>
      </c>
      <c r="F202" s="21" t="s">
        <v>25</v>
      </c>
      <c r="G202" s="21" t="s">
        <v>2113</v>
      </c>
      <c r="H202" s="21" t="s">
        <v>2114</v>
      </c>
      <c r="I202" s="21" t="s">
        <v>24</v>
      </c>
      <c r="J202" s="13" t="str">
        <f t="shared" si="3"/>
        <v>insert into chb_datacheck_condition (CHECKCONDITIONID,CHECKRULEID,CHECKMETHOD,SRCPROPERTY,COMPARETO,OBJVALUE,REMARK,STATUS) values ('W53E4A49-6810-5A9E-E050-007F01006A40','W43E4A49-6810-5A9E-E050-007F01006A55','inArray','ASSET_TYPE2','==','1299,1399,1599,2299','当资产/负债类别为各类资产的其他项时','E');</v>
      </c>
    </row>
    <row r="203" spans="1:10" x14ac:dyDescent="0.25">
      <c r="A203" s="17">
        <v>200</v>
      </c>
      <c r="B203" s="21" t="s">
        <v>2291</v>
      </c>
      <c r="C203" s="21" t="s">
        <v>2292</v>
      </c>
      <c r="D203" s="21" t="s">
        <v>1083</v>
      </c>
      <c r="E203" s="21" t="s">
        <v>910</v>
      </c>
      <c r="F203" s="21" t="s">
        <v>25</v>
      </c>
      <c r="G203" s="21" t="s">
        <v>2053</v>
      </c>
      <c r="H203" s="21" t="s">
        <v>2054</v>
      </c>
      <c r="I203" s="21" t="s">
        <v>24</v>
      </c>
      <c r="J203" s="13" t="str">
        <f t="shared" si="3"/>
        <v>insert into chb_datacheck_condition (CHECKCONDITIONID,CHECKRULEID,CHECKMETHOD,SRCPROPERTY,COMPARETO,OBJVALUE,REMARK,STATUS) values ('WZ3E4A49-6810-5A9E-E050-007F01006A49','W43E4A49-6810-5A9E-E050-007F01006A68','inArray','ASSET_TYPE2','==','1502,1505,1507,1508,1509','当资产/负债类别为QDII股票/基金类时','E');</v>
      </c>
    </row>
    <row r="204" spans="1:10" x14ac:dyDescent="0.25">
      <c r="A204" s="17">
        <v>201</v>
      </c>
      <c r="B204" s="21" t="s">
        <v>1691</v>
      </c>
      <c r="C204" s="21" t="s">
        <v>294</v>
      </c>
      <c r="D204" s="21" t="s">
        <v>1083</v>
      </c>
      <c r="E204" s="21" t="s">
        <v>1075</v>
      </c>
      <c r="F204" s="21" t="s">
        <v>25</v>
      </c>
      <c r="G204" s="21" t="s">
        <v>2072</v>
      </c>
      <c r="H204" s="21" t="s">
        <v>2073</v>
      </c>
      <c r="I204" s="21" t="s">
        <v>24</v>
      </c>
      <c r="J204" s="13" t="str">
        <f t="shared" si="3"/>
        <v>insert into chb_datacheck_condition (CHECKCONDITIONID,CHECKRULEID,CHECKMETHOD,SRCPROPERTY,COMPARETO,OBJVALUE,REMARK,STATUS) values ('W33E4A49-6810-5A9E-E050-107F01006A91','W43E4A49-6810-5A9E-E050-107F01006A12','inArray','ASSET_TYPE','==','15,19','当资产/负债类别为公募基金/私募基金时','E');</v>
      </c>
    </row>
    <row r="205" spans="1:10" x14ac:dyDescent="0.25">
      <c r="A205" s="17">
        <v>202</v>
      </c>
      <c r="B205" s="21" t="s">
        <v>295</v>
      </c>
      <c r="C205" s="21" t="s">
        <v>295</v>
      </c>
      <c r="D205" s="21" t="s">
        <v>1083</v>
      </c>
      <c r="E205" s="21" t="s">
        <v>910</v>
      </c>
      <c r="F205" s="21" t="s">
        <v>25</v>
      </c>
      <c r="G205" s="21" t="s">
        <v>2106</v>
      </c>
      <c r="H205" s="21" t="s">
        <v>2107</v>
      </c>
      <c r="I205" s="21" t="s">
        <v>24</v>
      </c>
      <c r="J205" s="13" t="str">
        <f t="shared" si="3"/>
        <v>insert into chb_datacheck_condition (CHECKCONDITIONID,CHECKRULEID,CHECKMETHOD,SRCPROPERTY,COMPARETO,OBJVALUE,REMARK,STATUS) values ('W43E4A49-6810-5A9E-E050-107F01006A18','W43E4A49-6810-5A9E-E050-107F01006A18','inArray','ASSET_TYPE2','==','2601,2602,2604,2605,2606,2607,2610,2611,2612,2613,2614,2616,2617,2618,2619,2620,2699','当资产/负债类别为私募基金时','E');</v>
      </c>
    </row>
    <row r="206" spans="1:10" x14ac:dyDescent="0.25">
      <c r="A206" s="17">
        <v>203</v>
      </c>
      <c r="B206" s="21" t="s">
        <v>1692</v>
      </c>
      <c r="C206" s="21" t="s">
        <v>296</v>
      </c>
      <c r="D206" s="21" t="s">
        <v>1083</v>
      </c>
      <c r="E206" s="21" t="s">
        <v>910</v>
      </c>
      <c r="F206" s="21" t="s">
        <v>25</v>
      </c>
      <c r="G206" s="21" t="s">
        <v>2113</v>
      </c>
      <c r="H206" s="21" t="s">
        <v>2114</v>
      </c>
      <c r="I206" s="21" t="s">
        <v>24</v>
      </c>
      <c r="J206" s="13" t="str">
        <f t="shared" si="3"/>
        <v>insert into chb_datacheck_condition (CHECKCONDITIONID,CHECKRULEID,CHECKMETHOD,SRCPROPERTY,COMPARETO,OBJVALUE,REMARK,STATUS) values ('W53E4A49-6810-5A9E-E050-107F01006A12','W43E4A49-6810-5A9E-E050-107F01006A27','inArray','ASSET_TYPE2','==','1299,1399,1599,2299','当资产/负债类别为各类资产的其他项时','E');</v>
      </c>
    </row>
    <row r="207" spans="1:10" x14ac:dyDescent="0.25">
      <c r="A207" s="17">
        <v>204</v>
      </c>
      <c r="B207" s="21" t="s">
        <v>1693</v>
      </c>
      <c r="C207" s="21" t="s">
        <v>297</v>
      </c>
      <c r="D207" s="21" t="s">
        <v>1083</v>
      </c>
      <c r="E207" s="21" t="s">
        <v>910</v>
      </c>
      <c r="F207" s="21" t="s">
        <v>25</v>
      </c>
      <c r="G207" s="21" t="s">
        <v>2113</v>
      </c>
      <c r="H207" s="21" t="s">
        <v>2114</v>
      </c>
      <c r="I207" s="21" t="s">
        <v>24</v>
      </c>
      <c r="J207" s="13" t="str">
        <f t="shared" si="3"/>
        <v>insert into chb_datacheck_condition (CHECKCONDITIONID,CHECKRULEID,CHECKMETHOD,SRCPROPERTY,COMPARETO,OBJVALUE,REMARK,STATUS) values ('W53E4A49-6810-5A9E-E050-107F01006A13','W43E4A49-6810-5A9E-E050-107F01006A28','inArray','ASSET_TYPE2','==','1299,1399,1599,2299','当资产/负债类别为各类资产的其他项时','E');</v>
      </c>
    </row>
    <row r="208" spans="1:10" x14ac:dyDescent="0.25">
      <c r="A208" s="17">
        <v>205</v>
      </c>
      <c r="B208" s="21" t="s">
        <v>1694</v>
      </c>
      <c r="C208" s="21" t="s">
        <v>298</v>
      </c>
      <c r="D208" s="21" t="s">
        <v>1083</v>
      </c>
      <c r="E208" s="21" t="s">
        <v>910</v>
      </c>
      <c r="F208" s="21" t="s">
        <v>25</v>
      </c>
      <c r="G208" s="21" t="s">
        <v>2076</v>
      </c>
      <c r="H208" s="21" t="s">
        <v>2077</v>
      </c>
      <c r="I208" s="21" t="s">
        <v>24</v>
      </c>
      <c r="J208" s="13" t="str">
        <f t="shared" si="3"/>
        <v>insert into chb_datacheck_condition (CHECKCONDITIONID,CHECKRULEID,CHECKMETHOD,SRCPROPERTY,COMPARETO,OBJVALUE,REMARK,STATUS) values ('W53E4A49-6810-5A9E-E050-107F01006A27','W43E4A49-6810-5A9E-E050-107F01006A42','inArray','ASSET_TYPE2','==','1202,1203,1204,1205,1206,1207,1208,1209,2201,2202','当资产/负债类别为非标准化债权类资产/新增可投资资产时','E');</v>
      </c>
    </row>
    <row r="209" spans="1:10" x14ac:dyDescent="0.25">
      <c r="A209" s="17">
        <v>206</v>
      </c>
      <c r="B209" s="21" t="s">
        <v>1695</v>
      </c>
      <c r="C209" s="21" t="s">
        <v>299</v>
      </c>
      <c r="D209" s="21" t="s">
        <v>1083</v>
      </c>
      <c r="E209" s="21" t="s">
        <v>1075</v>
      </c>
      <c r="F209" s="21" t="s">
        <v>25</v>
      </c>
      <c r="G209" s="21" t="s">
        <v>2121</v>
      </c>
      <c r="H209" s="21" t="s">
        <v>2077</v>
      </c>
      <c r="I209" s="21" t="s">
        <v>24</v>
      </c>
      <c r="J209" s="13" t="str">
        <f t="shared" si="3"/>
        <v>insert into chb_datacheck_condition (CHECKCONDITIONID,CHECKRULEID,CHECKMETHOD,SRCPROPERTY,COMPARETO,OBJVALUE,REMARK,STATUS) values ('W53E4A49-6810-5A9E-E050-107F01006A28','W43E4A49-6810-5A9E-E050-107F01006A43','inArray','ASSET_TYPE','==','04','当资产/负债类别为非标准化债权类资产/新增可投资资产时','E');</v>
      </c>
    </row>
    <row r="210" spans="1:10" x14ac:dyDescent="0.25">
      <c r="A210" s="17">
        <v>207</v>
      </c>
      <c r="B210" s="21" t="s">
        <v>1696</v>
      </c>
      <c r="C210" s="21" t="s">
        <v>300</v>
      </c>
      <c r="D210" s="21" t="s">
        <v>1083</v>
      </c>
      <c r="E210" s="21" t="s">
        <v>910</v>
      </c>
      <c r="F210" s="21" t="s">
        <v>25</v>
      </c>
      <c r="G210" s="21" t="s">
        <v>2113</v>
      </c>
      <c r="H210" s="21" t="s">
        <v>2114</v>
      </c>
      <c r="I210" s="21" t="s">
        <v>24</v>
      </c>
      <c r="J210" s="13" t="str">
        <f t="shared" si="3"/>
        <v>insert into chb_datacheck_condition (CHECKCONDITIONID,CHECKRULEID,CHECKMETHOD,SRCPROPERTY,COMPARETO,OBJVALUE,REMARK,STATUS) values ('W53E4A49-6810-5A9E-E050-107F01006A33','W43E4A49-6810-5A9E-E050-107F01006A48','inArray','ASSET_TYPE2','==','1299,1399,1599,2299','当资产/负债类别为各类资产的其他项时','E');</v>
      </c>
    </row>
    <row r="211" spans="1:10" x14ac:dyDescent="0.25">
      <c r="A211" s="17">
        <v>208</v>
      </c>
      <c r="B211" s="21" t="s">
        <v>1697</v>
      </c>
      <c r="C211" s="21" t="s">
        <v>301</v>
      </c>
      <c r="D211" s="21" t="s">
        <v>1083</v>
      </c>
      <c r="E211" s="21" t="s">
        <v>910</v>
      </c>
      <c r="F211" s="21" t="s">
        <v>25</v>
      </c>
      <c r="G211" s="21" t="s">
        <v>2113</v>
      </c>
      <c r="H211" s="21" t="s">
        <v>2114</v>
      </c>
      <c r="I211" s="21" t="s">
        <v>24</v>
      </c>
      <c r="J211" s="13" t="str">
        <f t="shared" si="3"/>
        <v>insert into chb_datacheck_condition (CHECKCONDITIONID,CHECKRULEID,CHECKMETHOD,SRCPROPERTY,COMPARETO,OBJVALUE,REMARK,STATUS) values ('W53E4A49-6810-5A9E-E050-107F01006A34','W43E4A49-6810-5A9E-E050-107F01006A49','inArray','ASSET_TYPE2','==','1299,1399,1599,2299','当资产/负债类别为各类资产的其他项时','E');</v>
      </c>
    </row>
    <row r="212" spans="1:10" x14ac:dyDescent="0.25">
      <c r="A212" s="17">
        <v>209</v>
      </c>
      <c r="B212" s="21" t="s">
        <v>1698</v>
      </c>
      <c r="C212" s="21" t="s">
        <v>304</v>
      </c>
      <c r="D212" s="21" t="s">
        <v>1083</v>
      </c>
      <c r="E212" s="21" t="s">
        <v>1075</v>
      </c>
      <c r="F212" s="21" t="s">
        <v>25</v>
      </c>
      <c r="G212" s="21" t="s">
        <v>2074</v>
      </c>
      <c r="H212" s="21" t="s">
        <v>2075</v>
      </c>
      <c r="I212" s="21" t="s">
        <v>24</v>
      </c>
      <c r="J212" s="13" t="str">
        <f t="shared" si="3"/>
        <v>insert into chb_datacheck_condition (CHECKCONDITIONID,CHECKRULEID,CHECKMETHOD,SRCPROPERTY,COMPARETO,OBJVALUE,REMARK,STATUS) values ('W67807E5-DF9A-D920-E050-117F010077FD','W43E4A49-6810-5A9E-E050-117F01006A13','inArray','ASSET_TYPE','==','16','当资产/负债类别为委外投资时','E');</v>
      </c>
    </row>
    <row r="213" spans="1:10" x14ac:dyDescent="0.25">
      <c r="A213" s="17">
        <v>210</v>
      </c>
      <c r="B213" s="21" t="s">
        <v>1699</v>
      </c>
      <c r="C213" s="21" t="s">
        <v>304</v>
      </c>
      <c r="D213" s="21" t="s">
        <v>34</v>
      </c>
      <c r="E213" s="21" t="s">
        <v>1231</v>
      </c>
      <c r="F213" s="21" t="s">
        <v>37</v>
      </c>
      <c r="G213" s="21" t="s">
        <v>26</v>
      </c>
      <c r="H213" s="21" t="s">
        <v>2122</v>
      </c>
      <c r="I213" s="21" t="s">
        <v>24</v>
      </c>
      <c r="J213" s="13" t="str">
        <f t="shared" si="3"/>
        <v>insert into chb_datacheck_condition (CHECKCONDITIONID,CHECKRULEID,CHECKMETHOD,SRCPROPERTY,COMPARETO,OBJVALUE,REMARK,STATUS) values ('W84807E5-DF9A-D920-E050-117F010077FD','W43E4A49-6810-5A9E-E050-117F01006A13','compareValueAsNumber','TRADE_FEE_RATE','&gt;','0','当交易相关合计费率不为0时','E');</v>
      </c>
    </row>
    <row r="214" spans="1:10" x14ac:dyDescent="0.25">
      <c r="A214" s="17">
        <v>211</v>
      </c>
      <c r="B214" s="21" t="s">
        <v>1700</v>
      </c>
      <c r="C214" s="21" t="s">
        <v>305</v>
      </c>
      <c r="D214" s="21" t="s">
        <v>1083</v>
      </c>
      <c r="E214" s="21" t="s">
        <v>910</v>
      </c>
      <c r="F214" s="21" t="s">
        <v>25</v>
      </c>
      <c r="G214" s="21" t="s">
        <v>2113</v>
      </c>
      <c r="H214" s="21" t="s">
        <v>2114</v>
      </c>
      <c r="I214" s="21" t="s">
        <v>24</v>
      </c>
      <c r="J214" s="13" t="str">
        <f t="shared" si="3"/>
        <v>insert into chb_datacheck_condition (CHECKCONDITIONID,CHECKRULEID,CHECKMETHOD,SRCPROPERTY,COMPARETO,OBJVALUE,REMARK,STATUS) values ('W53E4A49-6810-5A9E-E050-107F01006A38','W43E4A49-6810-5A9E-E050-207F01006A53','inArray','ASSET_TYPE2','==','1299,1399,1599,2299','当资产/负债类别为各类资产的其他项时','E');</v>
      </c>
    </row>
    <row r="215" spans="1:10" x14ac:dyDescent="0.25">
      <c r="A215" s="17">
        <v>212</v>
      </c>
      <c r="B215" s="21" t="s">
        <v>1701</v>
      </c>
      <c r="C215" s="21" t="s">
        <v>305</v>
      </c>
      <c r="D215" s="21" t="s">
        <v>40</v>
      </c>
      <c r="E215" s="21" t="s">
        <v>1052</v>
      </c>
      <c r="F215" s="21" t="s">
        <v>25</v>
      </c>
      <c r="G215" s="21" t="s">
        <v>54</v>
      </c>
      <c r="H215" s="21" t="s">
        <v>2123</v>
      </c>
      <c r="I215" s="21" t="s">
        <v>24</v>
      </c>
      <c r="J215" s="13" t="str">
        <f t="shared" si="3"/>
        <v>insert into chb_datacheck_condition (CHECKCONDITIONID,CHECKRULEID,CHECKMETHOD,SRCPROPERTY,COMPARETO,OBJVALUE,REMARK,STATUS) values ('W53E4A49-6810-5A9E-E050-107F01006A50','W43E4A49-6810-5A9E-E050-207F01006A53','compareValue','INDUSTRY_FLAG','==','02','项目是否属于重点监控行业和领域为否','E');</v>
      </c>
    </row>
    <row r="216" spans="1:10" x14ac:dyDescent="0.25">
      <c r="A216" s="17">
        <v>213</v>
      </c>
      <c r="B216" s="21" t="s">
        <v>1702</v>
      </c>
      <c r="C216" s="21" t="s">
        <v>307</v>
      </c>
      <c r="D216" s="21" t="s">
        <v>1083</v>
      </c>
      <c r="E216" s="21" t="s">
        <v>910</v>
      </c>
      <c r="F216" s="21" t="s">
        <v>25</v>
      </c>
      <c r="G216" s="21" t="s">
        <v>2103</v>
      </c>
      <c r="H216" s="21" t="s">
        <v>2075</v>
      </c>
      <c r="I216" s="21" t="s">
        <v>24</v>
      </c>
      <c r="J216" s="13" t="str">
        <f t="shared" si="3"/>
        <v>insert into chb_datacheck_condition (CHECKCONDITIONID,CHECKRULEID,CHECKMETHOD,SRCPROPERTY,COMPARETO,OBJVALUE,REMARK,STATUS) values ('W53E4A49-6811-5A9E-E050-007F01006A21','W43E4A59-6810-5A9E-E050-007F01006A36','inArray','ASSET_TYPE2','==','2801,2802,2803,2804,2805,2806,2899','当资产/负债类别为委外投资时','E');</v>
      </c>
    </row>
    <row r="217" spans="1:10" x14ac:dyDescent="0.25">
      <c r="A217" s="17">
        <v>214</v>
      </c>
      <c r="B217" s="21" t="s">
        <v>2293</v>
      </c>
      <c r="C217" s="21" t="s">
        <v>2294</v>
      </c>
      <c r="D217" s="21" t="s">
        <v>1083</v>
      </c>
      <c r="E217" s="21" t="s">
        <v>910</v>
      </c>
      <c r="F217" s="21" t="s">
        <v>25</v>
      </c>
      <c r="G217" s="21" t="s">
        <v>2065</v>
      </c>
      <c r="H217" s="21" t="s">
        <v>2066</v>
      </c>
      <c r="I217" s="21" t="s">
        <v>24</v>
      </c>
      <c r="J217" s="13" t="str">
        <f t="shared" si="3"/>
        <v>insert into chb_datacheck_condition (CHECKCONDITIONID,CHECKRULEID,CHECKMETHOD,SRCPROPERTY,COMPARETO,OBJVALUE,REMARK,STATUS) values ('WG3E4A49-6810-5A9E-E050-007F01006A49','W53E4A49-6810-5A9E-E050-007F01006A68','inArray','ASSET_TYPE2','==','1106,1303,2401,2402,2403,2499,2601,2602,2604,2605,2606,2607,2610,2611,2612,2613,2614,2616,2617,2618,2619,2620,2699','当资产/负债类别为公募/私募基金时','E');</v>
      </c>
    </row>
    <row r="218" spans="1:10" x14ac:dyDescent="0.25">
      <c r="A218" s="17">
        <v>215</v>
      </c>
      <c r="B218" s="21" t="s">
        <v>1703</v>
      </c>
      <c r="C218" s="21" t="s">
        <v>308</v>
      </c>
      <c r="D218" s="21" t="s">
        <v>1083</v>
      </c>
      <c r="E218" s="21" t="s">
        <v>910</v>
      </c>
      <c r="F218" s="21" t="s">
        <v>25</v>
      </c>
      <c r="G218" s="21" t="s">
        <v>2076</v>
      </c>
      <c r="H218" s="21" t="s">
        <v>2077</v>
      </c>
      <c r="I218" s="21" t="s">
        <v>24</v>
      </c>
      <c r="J218" s="13" t="str">
        <f t="shared" si="3"/>
        <v>insert into chb_datacheck_condition (CHECKCONDITIONID,CHECKRULEID,CHECKMETHOD,SRCPROPERTY,COMPARETO,OBJVALUE,REMARK,STATUS) values ('W84827E5-DF35-D920-E050-007F010077KL','W84804E5-DF7F-D920-E050-007F010077FD','inArray','ASSET_TYPE2','==','1202,1203,1204,1205,1206,1207,1208,1209,2201,2202','当资产/负债类别为非标准化债权类资产/新增可投资资产时','E');</v>
      </c>
    </row>
    <row r="219" spans="1:10" x14ac:dyDescent="0.25">
      <c r="A219" s="17">
        <v>216</v>
      </c>
      <c r="B219" s="21" t="s">
        <v>1704</v>
      </c>
      <c r="C219" s="21" t="s">
        <v>309</v>
      </c>
      <c r="D219" s="21" t="s">
        <v>1083</v>
      </c>
      <c r="E219" s="21" t="s">
        <v>910</v>
      </c>
      <c r="F219" s="21" t="s">
        <v>25</v>
      </c>
      <c r="G219" s="21" t="s">
        <v>2076</v>
      </c>
      <c r="H219" s="21" t="s">
        <v>2077</v>
      </c>
      <c r="I219" s="21" t="s">
        <v>24</v>
      </c>
      <c r="J219" s="13" t="str">
        <f t="shared" si="3"/>
        <v>insert into chb_datacheck_condition (CHECKCONDITIONID,CHECKRULEID,CHECKMETHOD,SRCPROPERTY,COMPARETO,OBJVALUE,REMARK,STATUS) values ('W84827E5-DF35-D920-E050-107F010077KL','W84804E5-DF7F-D920-E050-107F010077FD','inArray','ASSET_TYPE2','==','1202,1203,1204,1205,1206,1207,1208,1209,2201,2202','当资产/负债类别为非标准化债权类资产/新增可投资资产时','E');</v>
      </c>
    </row>
    <row r="220" spans="1:10" x14ac:dyDescent="0.25">
      <c r="A220" s="17">
        <v>217</v>
      </c>
      <c r="B220" s="21" t="s">
        <v>1705</v>
      </c>
      <c r="C220" s="21" t="s">
        <v>314</v>
      </c>
      <c r="D220" s="21" t="s">
        <v>40</v>
      </c>
      <c r="E220" s="21" t="s">
        <v>1075</v>
      </c>
      <c r="F220" s="21" t="s">
        <v>25</v>
      </c>
      <c r="G220" s="21" t="s">
        <v>2124</v>
      </c>
      <c r="H220" s="21" t="s">
        <v>2084</v>
      </c>
      <c r="I220" s="21" t="s">
        <v>24</v>
      </c>
      <c r="J220" s="13" t="str">
        <f t="shared" si="3"/>
        <v>insert into chb_datacheck_condition (CHECKCONDITIONID,CHECKRULEID,CHECKMETHOD,SRCPROPERTY,COMPARETO,OBJVALUE,REMARK,STATUS) values ('W84807E5-DF1F-D920-E050-007F030079FD','W84807E5-DF1E-D920-E050-007F010077FD','compareValue','ASSET_TYPE','==','07','当资产/负债类别为金融衍生品时','E');</v>
      </c>
    </row>
    <row r="221" spans="1:10" x14ac:dyDescent="0.25">
      <c r="A221" s="17">
        <v>218</v>
      </c>
      <c r="B221" s="21" t="s">
        <v>1706</v>
      </c>
      <c r="C221" s="21" t="s">
        <v>314</v>
      </c>
      <c r="D221" s="21" t="s">
        <v>40</v>
      </c>
      <c r="E221" s="21" t="s">
        <v>964</v>
      </c>
      <c r="F221" s="21" t="s">
        <v>25</v>
      </c>
      <c r="G221" s="21" t="s">
        <v>55</v>
      </c>
      <c r="H221" s="21" t="s">
        <v>2125</v>
      </c>
      <c r="I221" s="21" t="s">
        <v>24</v>
      </c>
      <c r="J221" s="13" t="str">
        <f t="shared" si="3"/>
        <v>insert into chb_datacheck_condition (CHECKCONDITIONID,CHECKRULEID,CHECKMETHOD,SRCPROPERTY,COMPARETO,OBJVALUE,REMARK,STATUS) values ('W84807E5-DF1F-D920-E050-007F020078FD','W84807E5-DF1E-D920-E050-007F010077FD','compareValue','TARGET_TYPE3','==','99','[标的类别]选择“99 其他”时','E');</v>
      </c>
    </row>
    <row r="222" spans="1:10" x14ac:dyDescent="0.25">
      <c r="A222" s="17">
        <v>219</v>
      </c>
      <c r="B222" s="21" t="s">
        <v>318</v>
      </c>
      <c r="C222" s="21" t="s">
        <v>315</v>
      </c>
      <c r="D222" s="21" t="s">
        <v>40</v>
      </c>
      <c r="E222" s="21" t="s">
        <v>831</v>
      </c>
      <c r="F222" s="21" t="s">
        <v>25</v>
      </c>
      <c r="G222" s="21" t="s">
        <v>55</v>
      </c>
      <c r="H222" s="21" t="s">
        <v>2126</v>
      </c>
      <c r="I222" s="21" t="s">
        <v>24</v>
      </c>
      <c r="J222" s="13" t="str">
        <f t="shared" si="3"/>
        <v>insert into chb_datacheck_condition (CHECKCONDITIONID,CHECKRULEID,CHECKMETHOD,SRCPROPERTY,COMPARETO,OBJVALUE,REMARK,STATUS) values ('W84807E5-DF1F-D920-E050-007F010077FD','W84807E5-DF1E-D920-E050-107F010077FD','compareValue','TRADE_MARKET','==','99','当交易流通场所为其他交易流通场所时','E');</v>
      </c>
    </row>
    <row r="223" spans="1:10" x14ac:dyDescent="0.25">
      <c r="A223" s="17">
        <v>220</v>
      </c>
      <c r="B223" s="21" t="s">
        <v>1708</v>
      </c>
      <c r="C223" s="21" t="s">
        <v>316</v>
      </c>
      <c r="D223" s="21" t="s">
        <v>34</v>
      </c>
      <c r="E223" s="21" t="s">
        <v>42</v>
      </c>
      <c r="F223" s="21" t="s">
        <v>37</v>
      </c>
      <c r="G223" s="21" t="s">
        <v>26</v>
      </c>
      <c r="H223" s="21" t="s">
        <v>2127</v>
      </c>
      <c r="I223" s="21" t="s">
        <v>24</v>
      </c>
      <c r="J223" s="13" t="str">
        <f t="shared" si="3"/>
        <v>insert into chb_datacheck_condition (CHECKCONDITIONID,CHECKRULEID,CHECKMETHOD,SRCPROPERTY,COMPARETO,OBJVALUE,REMARK,STATUS) values ('W84807E5-DF99-D920-E050-117F010077FD','W84807E5-DF1E-D920-E050-117F010077FD','compareValueAsNumber','TRU_FEE_RATE','&gt;','0','当托管费率不为0时','E');</v>
      </c>
    </row>
    <row r="224" spans="1:10" x14ac:dyDescent="0.25">
      <c r="A224" s="17">
        <v>221</v>
      </c>
      <c r="B224" s="21" t="s">
        <v>1707</v>
      </c>
      <c r="C224" s="21" t="s">
        <v>316</v>
      </c>
      <c r="D224" s="21" t="s">
        <v>1083</v>
      </c>
      <c r="E224" s="21" t="s">
        <v>1075</v>
      </c>
      <c r="F224" s="21" t="s">
        <v>25</v>
      </c>
      <c r="G224" s="21" t="s">
        <v>2074</v>
      </c>
      <c r="H224" s="21" t="s">
        <v>2075</v>
      </c>
      <c r="I224" s="21" t="s">
        <v>24</v>
      </c>
      <c r="J224" s="13" t="str">
        <f t="shared" si="3"/>
        <v>insert into chb_datacheck_condition (CHECKCONDITIONID,CHECKRULEID,CHECKMETHOD,SRCPROPERTY,COMPARETO,OBJVALUE,REMARK,STATUS) values ('W75807E5-DF99-D920-E050-117F010077FD','W84807E5-DF1E-D920-E050-117F010077FD','inArray','ASSET_TYPE','==','16','当资产/负债类别为委外投资时','E');</v>
      </c>
    </row>
    <row r="225" spans="1:10" x14ac:dyDescent="0.25">
      <c r="A225" s="17">
        <v>222</v>
      </c>
      <c r="B225" s="21" t="s">
        <v>1709</v>
      </c>
      <c r="C225" s="21" t="s">
        <v>317</v>
      </c>
      <c r="D225" s="21" t="s">
        <v>40</v>
      </c>
      <c r="E225" s="21" t="s">
        <v>1289</v>
      </c>
      <c r="F225" s="21" t="s">
        <v>25</v>
      </c>
      <c r="G225" s="21" t="s">
        <v>55</v>
      </c>
      <c r="H225" s="21" t="s">
        <v>2128</v>
      </c>
      <c r="I225" s="21" t="s">
        <v>24</v>
      </c>
      <c r="J225" s="13" t="str">
        <f t="shared" si="3"/>
        <v>insert into chb_datacheck_condition (CHECKCONDITIONID,CHECKRULEID,CHECKMETHOD,SRCPROPERTY,COMPARETO,OBJVALUE,REMARK,STATUS) values ('W84807E5-DF1F-D920-E050-107F030079FD','W84807E5-DF1E-D920-E050-207F010077FD','compareValue','RELATION_FINAN','==','99','担保人与融资人关系为其他时','E');</v>
      </c>
    </row>
    <row r="226" spans="1:10" x14ac:dyDescent="0.25">
      <c r="A226" s="17">
        <v>223</v>
      </c>
      <c r="B226" s="21" t="s">
        <v>320</v>
      </c>
      <c r="C226" s="21" t="s">
        <v>318</v>
      </c>
      <c r="D226" s="21" t="s">
        <v>1083</v>
      </c>
      <c r="E226" s="21" t="s">
        <v>910</v>
      </c>
      <c r="F226" s="21" t="s">
        <v>25</v>
      </c>
      <c r="G226" s="21" t="s">
        <v>2063</v>
      </c>
      <c r="H226" s="21" t="s">
        <v>2064</v>
      </c>
      <c r="I226" s="21" t="s">
        <v>24</v>
      </c>
      <c r="J226" s="13" t="str">
        <f t="shared" si="3"/>
        <v>insert into chb_datacheck_condition (CHECKCONDITIONID,CHECKRULEID,CHECKMETHOD,SRCPROPERTY,COMPARETO,OBJVALUE,REMARK,STATUS) values ('W84807E5-DF21-D920-E050-007F010077FD','W84807E5-DF1F-D920-E050-007F010077FD','inArray','ASSET_TYPE2','==','1101,1110,1109,1102,1111,1112,1113,1114,1115,1116,1117,2101,2501,2502','当资产/负债类别为债券类资产/理财直接融资工具/同业存单时','E');</v>
      </c>
    </row>
    <row r="227" spans="1:10" x14ac:dyDescent="0.25">
      <c r="A227" s="17">
        <v>224</v>
      </c>
      <c r="B227" s="21" t="s">
        <v>321</v>
      </c>
      <c r="C227" s="21" t="s">
        <v>319</v>
      </c>
      <c r="D227" s="21" t="s">
        <v>1083</v>
      </c>
      <c r="E227" s="21" t="s">
        <v>910</v>
      </c>
      <c r="F227" s="21" t="s">
        <v>25</v>
      </c>
      <c r="G227" s="21" t="s">
        <v>2063</v>
      </c>
      <c r="H227" s="21" t="s">
        <v>2064</v>
      </c>
      <c r="I227" s="21" t="s">
        <v>24</v>
      </c>
      <c r="J227" s="13" t="str">
        <f t="shared" si="3"/>
        <v>insert into chb_datacheck_condition (CHECKCONDITIONID,CHECKRULEID,CHECKMETHOD,SRCPROPERTY,COMPARETO,OBJVALUE,REMARK,STATUS) values ('W84807E5-DF22-D920-E050-007F010077FD','W84807E5-DF20-D920-E050-007F010077FD','inArray','ASSET_TYPE2','==','1101,1110,1109,1102,1111,1112,1113,1114,1115,1116,1117,2101,2501,2502','当资产/负债类别为债券类资产/理财直接融资工具/同业存单时','E');</v>
      </c>
    </row>
    <row r="228" spans="1:10" x14ac:dyDescent="0.25">
      <c r="A228" s="17">
        <v>225</v>
      </c>
      <c r="B228" s="21" t="s">
        <v>322</v>
      </c>
      <c r="C228" s="21" t="s">
        <v>320</v>
      </c>
      <c r="D228" s="21" t="s">
        <v>1083</v>
      </c>
      <c r="E228" s="21" t="s">
        <v>910</v>
      </c>
      <c r="F228" s="21" t="s">
        <v>25</v>
      </c>
      <c r="G228" s="21" t="s">
        <v>2129</v>
      </c>
      <c r="H228" s="21" t="s">
        <v>2130</v>
      </c>
      <c r="I228" s="21" t="s">
        <v>24</v>
      </c>
      <c r="J228" s="13" t="str">
        <f t="shared" si="3"/>
        <v>insert into chb_datacheck_condition (CHECKCONDITIONID,CHECKRULEID,CHECKMETHOD,SRCPROPERTY,COMPARETO,OBJVALUE,REMARK,STATUS) values ('W84807E5-DF23-D920-E050-007F010077FD','W84807E5-DF21-D920-E050-007F010077FD','inArray','ASSET_TYPE2','==','1112','当资产/负债类别为[商业性金融债]时','E');</v>
      </c>
    </row>
    <row r="229" spans="1:10" x14ac:dyDescent="0.25">
      <c r="A229" s="17">
        <v>226</v>
      </c>
      <c r="B229" s="21" t="s">
        <v>323</v>
      </c>
      <c r="C229" s="21" t="s">
        <v>321</v>
      </c>
      <c r="D229" s="21" t="s">
        <v>1083</v>
      </c>
      <c r="E229" s="21" t="s">
        <v>910</v>
      </c>
      <c r="F229" s="21" t="s">
        <v>25</v>
      </c>
      <c r="G229" s="21" t="s">
        <v>2131</v>
      </c>
      <c r="H229" s="21" t="s">
        <v>2132</v>
      </c>
      <c r="I229" s="21" t="s">
        <v>24</v>
      </c>
      <c r="J229" s="13" t="str">
        <f t="shared" si="3"/>
        <v>insert into chb_datacheck_condition (CHECKCONDITIONID,CHECKRULEID,CHECKMETHOD,SRCPROPERTY,COMPARETO,OBJVALUE,REMARK,STATUS) values ('W84807E5-DF24-D920-E050-007F010077FD','W84807E5-DF22-D920-E050-007F010077FD','inArray','ASSET_TYPE2','==','1113','当资产/负债类别为[企业债券]时','E');</v>
      </c>
    </row>
    <row r="230" spans="1:10" x14ac:dyDescent="0.25">
      <c r="A230" s="17">
        <v>227</v>
      </c>
      <c r="B230" s="21" t="s">
        <v>324</v>
      </c>
      <c r="C230" s="21" t="s">
        <v>322</v>
      </c>
      <c r="D230" s="21" t="s">
        <v>1083</v>
      </c>
      <c r="E230" s="21" t="s">
        <v>910</v>
      </c>
      <c r="F230" s="21" t="s">
        <v>25</v>
      </c>
      <c r="G230" s="21" t="s">
        <v>2133</v>
      </c>
      <c r="H230" s="21" t="s">
        <v>2134</v>
      </c>
      <c r="I230" s="21" t="s">
        <v>24</v>
      </c>
      <c r="J230" s="13" t="str">
        <f t="shared" si="3"/>
        <v>insert into chb_datacheck_condition (CHECKCONDITIONID,CHECKRULEID,CHECKMETHOD,SRCPROPERTY,COMPARETO,OBJVALUE,REMARK,STATUS) values ('W84807E5-DF25-D920-E050-007F010077FD','W84807E5-DF23-D920-E050-007F010077FD','inArray','ASSET_TYPE2','==','1114','当资产/负债类别为[公司债券]时','E');</v>
      </c>
    </row>
    <row r="231" spans="1:10" x14ac:dyDescent="0.25">
      <c r="A231" s="17">
        <v>228</v>
      </c>
      <c r="B231" s="21" t="s">
        <v>325</v>
      </c>
      <c r="C231" s="21" t="s">
        <v>323</v>
      </c>
      <c r="D231" s="21" t="s">
        <v>1083</v>
      </c>
      <c r="E231" s="21" t="s">
        <v>910</v>
      </c>
      <c r="F231" s="21" t="s">
        <v>25</v>
      </c>
      <c r="G231" s="21" t="s">
        <v>2135</v>
      </c>
      <c r="H231" s="21" t="s">
        <v>2136</v>
      </c>
      <c r="I231" s="21" t="s">
        <v>24</v>
      </c>
      <c r="J231" s="13" t="str">
        <f t="shared" si="3"/>
        <v>insert into chb_datacheck_condition (CHECKCONDITIONID,CHECKRULEID,CHECKMETHOD,SRCPROPERTY,COMPARETO,OBJVALUE,REMARK,STATUS) values ('W84807E5-DF26-D920-E050-007F010077FD','W84807E5-DF24-D920-E050-007F010077FD','inArray','ASSET_TYPE2','==','1115','当资产/负债类别为[企业融资工具]时','E');</v>
      </c>
    </row>
    <row r="232" spans="1:10" x14ac:dyDescent="0.25">
      <c r="A232" s="17">
        <v>229</v>
      </c>
      <c r="B232" s="21" t="s">
        <v>326</v>
      </c>
      <c r="C232" s="21" t="s">
        <v>324</v>
      </c>
      <c r="D232" s="21" t="s">
        <v>1083</v>
      </c>
      <c r="E232" s="21" t="s">
        <v>910</v>
      </c>
      <c r="F232" s="21" t="s">
        <v>25</v>
      </c>
      <c r="G232" s="21" t="s">
        <v>2137</v>
      </c>
      <c r="H232" s="21" t="s">
        <v>2138</v>
      </c>
      <c r="I232" s="21" t="s">
        <v>24</v>
      </c>
      <c r="J232" s="13" t="str">
        <f t="shared" si="3"/>
        <v>insert into chb_datacheck_condition (CHECKCONDITIONID,CHECKRULEID,CHECKMETHOD,SRCPROPERTY,COMPARETO,OBJVALUE,REMARK,STATUS) values ('W84807E5-DF27-D920-E050-007F010077FD','W84807E5-DF25-D920-E050-007F010077FD','inArray','ASSET_TYPE2','==','1116','当资产/负债类别为[资产支持证券]时','E');</v>
      </c>
    </row>
    <row r="233" spans="1:10" x14ac:dyDescent="0.25">
      <c r="A233" s="17">
        <v>230</v>
      </c>
      <c r="B233" s="21" t="s">
        <v>327</v>
      </c>
      <c r="C233" s="21" t="s">
        <v>325</v>
      </c>
      <c r="D233" s="21" t="s">
        <v>1083</v>
      </c>
      <c r="E233" s="21" t="s">
        <v>910</v>
      </c>
      <c r="F233" s="21" t="s">
        <v>25</v>
      </c>
      <c r="G233" s="21" t="s">
        <v>2139</v>
      </c>
      <c r="H233" s="21" t="s">
        <v>2140</v>
      </c>
      <c r="I233" s="21" t="s">
        <v>24</v>
      </c>
      <c r="J233" s="13" t="str">
        <f t="shared" si="3"/>
        <v>insert into chb_datacheck_condition (CHECKCONDITIONID,CHECKRULEID,CHECKMETHOD,SRCPROPERTY,COMPARETO,OBJVALUE,REMARK,STATUS) values ('W84807E5-DF28-D920-E050-007F010077FD','W84807E5-DF26-D920-E050-007F010077FD','inArray','ASSET_TYPE2','==','1117','当资产/负债类别为[外国债券]时','E');</v>
      </c>
    </row>
    <row r="234" spans="1:10" x14ac:dyDescent="0.25">
      <c r="A234" s="17">
        <v>231</v>
      </c>
      <c r="B234" s="21" t="s">
        <v>330</v>
      </c>
      <c r="C234" s="21" t="s">
        <v>326</v>
      </c>
      <c r="D234" s="21" t="s">
        <v>1083</v>
      </c>
      <c r="E234" s="21" t="s">
        <v>910</v>
      </c>
      <c r="F234" s="21" t="s">
        <v>25</v>
      </c>
      <c r="G234" s="21" t="s">
        <v>2063</v>
      </c>
      <c r="H234" s="21" t="s">
        <v>2064</v>
      </c>
      <c r="I234" s="21" t="s">
        <v>24</v>
      </c>
      <c r="J234" s="13" t="str">
        <f t="shared" si="3"/>
        <v>insert into chb_datacheck_condition (CHECKCONDITIONID,CHECKRULEID,CHECKMETHOD,SRCPROPERTY,COMPARETO,OBJVALUE,REMARK,STATUS) values ('W84807E5-DF2A-D920-E050-007F010077FD','W84807E5-DF27-D920-E050-007F010077FD','inArray','ASSET_TYPE2','==','1101,1110,1109,1102,1111,1112,1113,1114,1115,1116,1117,2101,2501,2502','当资产/负债类别为债券类资产/理财直接融资工具/同业存单时','E');</v>
      </c>
    </row>
    <row r="235" spans="1:10" x14ac:dyDescent="0.25">
      <c r="A235" s="17">
        <v>232</v>
      </c>
      <c r="B235" s="21" t="s">
        <v>331</v>
      </c>
      <c r="C235" s="21" t="s">
        <v>327</v>
      </c>
      <c r="D235" s="21" t="s">
        <v>1083</v>
      </c>
      <c r="E235" s="21" t="s">
        <v>910</v>
      </c>
      <c r="F235" s="21" t="s">
        <v>25</v>
      </c>
      <c r="G235" s="21" t="s">
        <v>2063</v>
      </c>
      <c r="H235" s="21" t="s">
        <v>2064</v>
      </c>
      <c r="I235" s="21" t="s">
        <v>24</v>
      </c>
      <c r="J235" s="13" t="str">
        <f t="shared" si="3"/>
        <v>insert into chb_datacheck_condition (CHECKCONDITIONID,CHECKRULEID,CHECKMETHOD,SRCPROPERTY,COMPARETO,OBJVALUE,REMARK,STATUS) values ('W84807E5-DF2B-D920-E050-007F010077FD','W84807E5-DF28-D920-E050-007F010077FD','inArray','ASSET_TYPE2','==','1101,1110,1109,1102,1111,1112,1113,1114,1115,1116,1117,2101,2501,2502','当资产/负债类别为债券类资产/理财直接融资工具/同业存单时','E');</v>
      </c>
    </row>
    <row r="236" spans="1:10" x14ac:dyDescent="0.25">
      <c r="A236" s="17">
        <v>233</v>
      </c>
      <c r="B236" s="21" t="s">
        <v>1642</v>
      </c>
      <c r="C236" s="21" t="s">
        <v>248</v>
      </c>
      <c r="D236" s="21" t="s">
        <v>1083</v>
      </c>
      <c r="E236" s="21" t="s">
        <v>2108</v>
      </c>
      <c r="F236" s="21" t="s">
        <v>25</v>
      </c>
      <c r="G236" s="21" t="s">
        <v>2109</v>
      </c>
      <c r="H236" s="21" t="s">
        <v>2110</v>
      </c>
      <c r="I236" s="21" t="s">
        <v>24</v>
      </c>
      <c r="J236" s="13" t="str">
        <f t="shared" si="3"/>
        <v>insert into chb_datacheck_condition (CHECKCONDITIONID,CHECKRULEID,CHECKMETHOD,SRCPROPERTY,COMPARETO,OBJVALUE,REMARK,STATUS) values ('W21E4A49-6810-5A9E-E050-117F01006A31','W84807E5-DF28-D920-E050-007F010100FD','inArray','ORG_ASSET_TYPE3','==','07,09,10,11,14','当资产为债券资产时','E');</v>
      </c>
    </row>
    <row r="237" spans="1:10" x14ac:dyDescent="0.25">
      <c r="A237" s="17">
        <v>234</v>
      </c>
      <c r="B237" s="21" t="s">
        <v>1710</v>
      </c>
      <c r="C237" s="21" t="s">
        <v>328</v>
      </c>
      <c r="D237" s="21" t="s">
        <v>1083</v>
      </c>
      <c r="E237" s="21" t="s">
        <v>1477</v>
      </c>
      <c r="F237" s="21" t="s">
        <v>25</v>
      </c>
      <c r="G237" s="21" t="s">
        <v>55</v>
      </c>
      <c r="H237" s="21" t="s">
        <v>2141</v>
      </c>
      <c r="I237" s="21" t="s">
        <v>24</v>
      </c>
      <c r="J237" s="13" t="str">
        <f t="shared" si="3"/>
        <v>insert into chb_datacheck_condition (CHECKCONDITIONID,CHECKRULEID,CHECKMETHOD,SRCPROPERTY,COMPARETO,OBJVALUE,REMARK,STATUS) values ('W84807E5-DF28-D920-E050-007F01027924','W84807E5-DF28-D981-E051-007F01007914','inArray','RIVAL_PARTY_TYPE','==','99','当交易对手方类型为其他时','E');</v>
      </c>
    </row>
    <row r="238" spans="1:10" x14ac:dyDescent="0.25">
      <c r="A238" s="17">
        <v>235</v>
      </c>
      <c r="B238" s="21" t="s">
        <v>1711</v>
      </c>
      <c r="C238" s="21" t="s">
        <v>328</v>
      </c>
      <c r="D238" s="21" t="s">
        <v>1083</v>
      </c>
      <c r="E238" s="21" t="s">
        <v>910</v>
      </c>
      <c r="F238" s="21" t="s">
        <v>25</v>
      </c>
      <c r="G238" s="21" t="s">
        <v>2045</v>
      </c>
      <c r="H238" s="21" t="s">
        <v>2046</v>
      </c>
      <c r="I238" s="21" t="s">
        <v>24</v>
      </c>
      <c r="J238" s="13" t="str">
        <f t="shared" si="3"/>
        <v>insert into chb_datacheck_condition (CHECKCONDITIONID,CHECKRULEID,CHECKMETHOD,SRCPROPERTY,COMPARETO,OBJVALUE,REMARK,STATUS) values ('W13E4A89-6810-5A9E-E050-007F91306A46','W84807E5-DF28-D981-E051-007F01007914','inArray','ASSET_TYPE2','==','1901,1902,1107,1108','当资产/负债类别为拆放同业及买入返售/同业拆入及卖出回购时','E');</v>
      </c>
    </row>
    <row r="239" spans="1:10" x14ac:dyDescent="0.25">
      <c r="A239" s="17">
        <v>236</v>
      </c>
      <c r="B239" s="21" t="s">
        <v>332</v>
      </c>
      <c r="C239" s="21" t="s">
        <v>329</v>
      </c>
      <c r="D239" s="21" t="s">
        <v>1083</v>
      </c>
      <c r="E239" s="21" t="s">
        <v>910</v>
      </c>
      <c r="F239" s="21" t="s">
        <v>25</v>
      </c>
      <c r="G239" s="21" t="s">
        <v>2063</v>
      </c>
      <c r="H239" s="21" t="s">
        <v>2064</v>
      </c>
      <c r="I239" s="21" t="s">
        <v>24</v>
      </c>
      <c r="J239" s="13" t="str">
        <f t="shared" si="3"/>
        <v>insert into chb_datacheck_condition (CHECKCONDITIONID,CHECKRULEID,CHECKMETHOD,SRCPROPERTY,COMPARETO,OBJVALUE,REMARK,STATUS) values ('W84807E5-DF2C-D920-E050-007F010077FD','W84807E5-DF29-D920-E050-007F010077FD','inArray','ASSET_TYPE2','==','1101,1110,1109,1102,1111,1112,1113,1114,1115,1116,1117,2101,2501,2502','当资产/负债类别为债券类资产/理财直接融资工具/同业存单时','E');</v>
      </c>
    </row>
    <row r="240" spans="1:10" x14ac:dyDescent="0.25">
      <c r="A240" s="17">
        <v>237</v>
      </c>
      <c r="B240" s="21" t="s">
        <v>334</v>
      </c>
      <c r="C240" s="21" t="s">
        <v>330</v>
      </c>
      <c r="D240" s="21" t="s">
        <v>1083</v>
      </c>
      <c r="E240" s="21" t="s">
        <v>910</v>
      </c>
      <c r="F240" s="21" t="s">
        <v>25</v>
      </c>
      <c r="G240" s="21" t="s">
        <v>2063</v>
      </c>
      <c r="H240" s="21" t="s">
        <v>2064</v>
      </c>
      <c r="I240" s="21" t="s">
        <v>24</v>
      </c>
      <c r="J240" s="13" t="str">
        <f t="shared" si="3"/>
        <v>insert into chb_datacheck_condition (CHECKCONDITIONID,CHECKRULEID,CHECKMETHOD,SRCPROPERTY,COMPARETO,OBJVALUE,REMARK,STATUS) values ('W84807E5-DF2E-D920-E050-007F010077FD','W84807E5-DF2A-D920-E050-007F010077FD','inArray','ASSET_TYPE2','==','1101,1110,1109,1102,1111,1112,1113,1114,1115,1116,1117,2101,2501,2502','当资产/负债类别为债券类资产/理财直接融资工具/同业存单时','E');</v>
      </c>
    </row>
    <row r="241" spans="1:10" x14ac:dyDescent="0.25">
      <c r="A241" s="17">
        <v>238</v>
      </c>
      <c r="B241" s="21" t="s">
        <v>335</v>
      </c>
      <c r="C241" s="21" t="s">
        <v>331</v>
      </c>
      <c r="D241" s="21" t="s">
        <v>1083</v>
      </c>
      <c r="E241" s="21" t="s">
        <v>910</v>
      </c>
      <c r="F241" s="21" t="s">
        <v>25</v>
      </c>
      <c r="G241" s="21" t="s">
        <v>2063</v>
      </c>
      <c r="H241" s="21" t="s">
        <v>2064</v>
      </c>
      <c r="I241" s="21" t="s">
        <v>24</v>
      </c>
      <c r="J241" s="13" t="str">
        <f t="shared" si="3"/>
        <v>insert into chb_datacheck_condition (CHECKCONDITIONID,CHECKRULEID,CHECKMETHOD,SRCPROPERTY,COMPARETO,OBJVALUE,REMARK,STATUS) values ('W84807E5-DF2F-D920-E050-007F010077FD','W84807E5-DF2B-D920-E050-007F010077FD','inArray','ASSET_TYPE2','==','1101,1110,1109,1102,1111,1112,1113,1114,1115,1116,1117,2101,2501,2502','当资产/负债类别为债券类资产/理财直接融资工具/同业存单时','E');</v>
      </c>
    </row>
    <row r="242" spans="1:10" x14ac:dyDescent="0.25">
      <c r="A242" s="17">
        <v>239</v>
      </c>
      <c r="B242" s="21" t="s">
        <v>1712</v>
      </c>
      <c r="C242" s="21" t="s">
        <v>332</v>
      </c>
      <c r="D242" s="21" t="s">
        <v>1083</v>
      </c>
      <c r="E242" s="21" t="s">
        <v>910</v>
      </c>
      <c r="F242" s="21" t="s">
        <v>25</v>
      </c>
      <c r="G242" s="21" t="s">
        <v>2063</v>
      </c>
      <c r="H242" s="21" t="s">
        <v>2064</v>
      </c>
      <c r="I242" s="21" t="s">
        <v>24</v>
      </c>
      <c r="J242" s="13" t="str">
        <f t="shared" si="3"/>
        <v>insert into chb_datacheck_condition (CHECKCONDITIONID,CHECKRULEID,CHECKMETHOD,SRCPROPERTY,COMPARETO,OBJVALUE,REMARK,STATUS) values ('W84807E5-DF30-D920-E050-007F010077FD','W84807E5-DF2C-D920-E050-007F010077FD','inArray','ASSET_TYPE2','==','1101,1110,1109,1102,1111,1112,1113,1114,1115,1116,1117,2101,2501,2502','当资产/负债类别为债券类资产/理财直接融资工具/同业存单时','E');</v>
      </c>
    </row>
    <row r="243" spans="1:10" x14ac:dyDescent="0.25">
      <c r="A243" s="17">
        <v>240</v>
      </c>
      <c r="B243" s="21" t="s">
        <v>1713</v>
      </c>
      <c r="C243" s="21" t="s">
        <v>333</v>
      </c>
      <c r="D243" s="21" t="s">
        <v>1083</v>
      </c>
      <c r="E243" s="21" t="s">
        <v>910</v>
      </c>
      <c r="F243" s="21" t="s">
        <v>25</v>
      </c>
      <c r="G243" s="21" t="s">
        <v>2063</v>
      </c>
      <c r="H243" s="21" t="s">
        <v>2064</v>
      </c>
      <c r="I243" s="21" t="s">
        <v>24</v>
      </c>
      <c r="J243" s="13" t="str">
        <f t="shared" si="3"/>
        <v>insert into chb_datacheck_condition (CHECKCONDITIONID,CHECKRULEID,CHECKMETHOD,SRCPROPERTY,COMPARETO,OBJVALUE,REMARK,STATUS) values ('W84807E5-DF2A-D931-E050-007F010077FD','W84807E5-DF2D-D920-E050-007F010077FD','inArray','ASSET_TYPE2','==','1101,1110,1109,1102,1111,1112,1113,1114,1115,1116,1117,2101,2501,2502','当资产/负债类别为债券类资产/理财直接融资工具/同业存单时','E');</v>
      </c>
    </row>
    <row r="244" spans="1:10" x14ac:dyDescent="0.25">
      <c r="A244" s="17">
        <v>241</v>
      </c>
      <c r="B244" s="21" t="s">
        <v>1714</v>
      </c>
      <c r="C244" s="21" t="s">
        <v>334</v>
      </c>
      <c r="D244" s="21" t="s">
        <v>40</v>
      </c>
      <c r="E244" s="21" t="s">
        <v>1108</v>
      </c>
      <c r="F244" s="21" t="s">
        <v>25</v>
      </c>
      <c r="G244" s="21" t="s">
        <v>55</v>
      </c>
      <c r="H244" s="21" t="s">
        <v>2142</v>
      </c>
      <c r="I244" s="21" t="s">
        <v>24</v>
      </c>
      <c r="J244" s="13" t="str">
        <f t="shared" si="3"/>
        <v>insert into chb_datacheck_condition (CHECKCONDITIONID,CHECKRULEID,CHECKMETHOD,SRCPROPERTY,COMPARETO,OBJVALUE,REMARK,STATUS) values ('W84807E5-DF31-D920-E050-007F010077FD','W84807E5-DF2E-D920-E050-007F010077FD','compareValue','REGIST_ORG','==','99','当登记托管机构为其他时','E');</v>
      </c>
    </row>
    <row r="245" spans="1:10" x14ac:dyDescent="0.25">
      <c r="A245" s="17">
        <v>242</v>
      </c>
      <c r="B245" s="21" t="s">
        <v>1715</v>
      </c>
      <c r="C245" s="21" t="s">
        <v>335</v>
      </c>
      <c r="D245" s="21" t="s">
        <v>40</v>
      </c>
      <c r="E245" s="21" t="s">
        <v>1108</v>
      </c>
      <c r="F245" s="21" t="s">
        <v>41</v>
      </c>
      <c r="G245" s="21" t="s">
        <v>55</v>
      </c>
      <c r="H245" s="21" t="s">
        <v>2143</v>
      </c>
      <c r="I245" s="21" t="s">
        <v>24</v>
      </c>
      <c r="J245" s="13" t="str">
        <f t="shared" si="3"/>
        <v>insert into chb_datacheck_condition (CHECKCONDITIONID,CHECKRULEID,CHECKMETHOD,SRCPROPERTY,COMPARETO,OBJVALUE,REMARK,STATUS) values ('W84807E5-DF32-D920-E050-007F010077FD','W84807E5-DF2F-D920-E050-007F010077FD','compareValue','REGIST_ORG','!=','99','当登记托管机构为非其他时','E');</v>
      </c>
    </row>
    <row r="246" spans="1:10" x14ac:dyDescent="0.25">
      <c r="A246" s="17">
        <v>243</v>
      </c>
      <c r="B246" s="21" t="s">
        <v>342</v>
      </c>
      <c r="C246" s="21" t="s">
        <v>336</v>
      </c>
      <c r="D246" s="21" t="s">
        <v>1083</v>
      </c>
      <c r="E246" s="21" t="s">
        <v>910</v>
      </c>
      <c r="F246" s="21" t="s">
        <v>25</v>
      </c>
      <c r="G246" s="21" t="s">
        <v>2076</v>
      </c>
      <c r="H246" s="21" t="s">
        <v>2077</v>
      </c>
      <c r="I246" s="21" t="s">
        <v>24</v>
      </c>
      <c r="J246" s="13" t="str">
        <f t="shared" si="3"/>
        <v>insert into chb_datacheck_condition (CHECKCONDITIONID,CHECKRULEID,CHECKMETHOD,SRCPROPERTY,COMPARETO,OBJVALUE,REMARK,STATUS) values ('W84807E5-DF37-D920-E050-007F010077FD','W84807E5-DF34-D920-E050-007F010077FD','inArray','ASSET_TYPE2','==','1202,1203,1204,1205,1206,1207,1208,1209,2201,2202','当资产/负债类别为非标准化债权类资产/新增可投资资产时','E');</v>
      </c>
    </row>
    <row r="247" spans="1:10" x14ac:dyDescent="0.25">
      <c r="A247" s="17">
        <v>244</v>
      </c>
      <c r="B247" s="21" t="s">
        <v>1716</v>
      </c>
      <c r="C247" s="21" t="s">
        <v>337</v>
      </c>
      <c r="D247" s="21" t="s">
        <v>1083</v>
      </c>
      <c r="E247" s="21" t="s">
        <v>910</v>
      </c>
      <c r="F247" s="21" t="s">
        <v>25</v>
      </c>
      <c r="G247" s="21" t="s">
        <v>2076</v>
      </c>
      <c r="H247" s="21" t="s">
        <v>2077</v>
      </c>
      <c r="I247" s="21" t="s">
        <v>24</v>
      </c>
      <c r="J247" s="13" t="str">
        <f t="shared" si="3"/>
        <v>insert into chb_datacheck_condition (CHECKCONDITIONID,CHECKRULEID,CHECKMETHOD,SRCPROPERTY,COMPARETO,OBJVALUE,REMARK,STATUS) values ('W84807E5-DF37-D920-E050-107F010077FD','W84807E5-DF34-D920-E050-107F010077FD','inArray','ASSET_TYPE2','==','1202,1203,1204,1205,1206,1207,1208,1209,2201,2202','当资产/负债类别为非标准化债权类资产/新增可投资资产时','E');</v>
      </c>
    </row>
    <row r="248" spans="1:10" x14ac:dyDescent="0.25">
      <c r="A248" s="17">
        <v>245</v>
      </c>
      <c r="B248" s="21" t="s">
        <v>338</v>
      </c>
      <c r="C248" s="21" t="s">
        <v>338</v>
      </c>
      <c r="D248" s="21" t="s">
        <v>1083</v>
      </c>
      <c r="E248" s="21" t="s">
        <v>910</v>
      </c>
      <c r="F248" s="21" t="s">
        <v>25</v>
      </c>
      <c r="G248" s="21" t="s">
        <v>2144</v>
      </c>
      <c r="H248" s="21" t="s">
        <v>2079</v>
      </c>
      <c r="I248" s="21" t="s">
        <v>24</v>
      </c>
      <c r="J248" s="13" t="str">
        <f t="shared" si="3"/>
        <v>insert into chb_datacheck_condition (CHECKCONDITIONID,CHECKRULEID,CHECKMETHOD,SRCPROPERTY,COMPARETO,OBJVALUE,REMARK,STATUS) values ('W84807E5-DF35-D920-E050-007F010077FD','W84807E5-DF35-D920-E050-007F010077FD','inArray','ASSET_TYPE2','==','1701,1702,1703,1704,1705,1706','当资产/负债类别为资产管理产品时','E');</v>
      </c>
    </row>
    <row r="249" spans="1:10" x14ac:dyDescent="0.25">
      <c r="A249" s="17">
        <v>246</v>
      </c>
      <c r="B249" s="21" t="s">
        <v>1717</v>
      </c>
      <c r="C249" s="21" t="s">
        <v>339</v>
      </c>
      <c r="D249" s="21" t="s">
        <v>40</v>
      </c>
      <c r="E249" s="21" t="s">
        <v>792</v>
      </c>
      <c r="F249" s="21" t="s">
        <v>25</v>
      </c>
      <c r="G249" s="21" t="s">
        <v>55</v>
      </c>
      <c r="H249" s="21" t="s">
        <v>2145</v>
      </c>
      <c r="I249" s="21" t="s">
        <v>24</v>
      </c>
      <c r="J249" s="13" t="str">
        <f t="shared" si="3"/>
        <v>insert into chb_datacheck_condition (CHECKCONDITIONID,CHECKRULEID,CHECKMETHOD,SRCPROPERTY,COMPARETO,OBJVALUE,REMARK,STATUS) values ('W13E4A49-6810-5A9E-E050-007F01236A45','W84807E5-DF35-D981-E051-007F01007914','compareValue','TARGET_TYPE1','==','99','[回购标的类别] 选择“99 其他”时','E');</v>
      </c>
    </row>
    <row r="250" spans="1:10" s="16" customFormat="1" x14ac:dyDescent="0.25">
      <c r="A250" s="17">
        <v>247</v>
      </c>
      <c r="B250" s="21" t="s">
        <v>1718</v>
      </c>
      <c r="C250" s="21" t="s">
        <v>339</v>
      </c>
      <c r="D250" s="21" t="s">
        <v>1083</v>
      </c>
      <c r="E250" s="21" t="s">
        <v>910</v>
      </c>
      <c r="F250" s="21" t="s">
        <v>25</v>
      </c>
      <c r="G250" s="21" t="s">
        <v>2045</v>
      </c>
      <c r="H250" s="21" t="s">
        <v>2046</v>
      </c>
      <c r="I250" s="21" t="s">
        <v>24</v>
      </c>
      <c r="J250" s="14" t="str">
        <f t="shared" si="3"/>
        <v>insert into chb_datacheck_condition (CHECKCONDITIONID,CHECKRULEID,CHECKMETHOD,SRCPROPERTY,COMPARETO,OBJVALUE,REMARK,STATUS) values ('W13E4A89-6810-5A9E-E050-007F91246A46','W84807E5-DF35-D981-E051-007F01007914','inArray','ASSET_TYPE2','==','1901,1902,1107,1108','当资产/负债类别为拆放同业及买入返售/同业拆入及卖出回购时','E');</v>
      </c>
    </row>
    <row r="251" spans="1:10" x14ac:dyDescent="0.25">
      <c r="A251" s="17">
        <v>248</v>
      </c>
      <c r="B251" s="21" t="s">
        <v>1719</v>
      </c>
      <c r="C251" s="21" t="s">
        <v>340</v>
      </c>
      <c r="D251" s="21" t="s">
        <v>34</v>
      </c>
      <c r="E251" s="21" t="s">
        <v>1225</v>
      </c>
      <c r="F251" s="21" t="s">
        <v>37</v>
      </c>
      <c r="G251" s="21" t="s">
        <v>26</v>
      </c>
      <c r="H251" s="21" t="s">
        <v>2146</v>
      </c>
      <c r="I251" s="21" t="s">
        <v>24</v>
      </c>
      <c r="J251" s="13" t="str">
        <f t="shared" si="3"/>
        <v>insert into chb_datacheck_condition (CHECKCONDITIONID,CHECKRULEID,CHECKMETHOD,SRCPROPERTY,COMPARETO,OBJVALUE,REMARK,STATUS) values ('W84807E5-DF98-D920-E050-117F010077FD','W84807E5-DF35-D981-E051-117F01007914','compareValueAsNumber','MGR_FEE_RATE','&gt;','0','管理费率不为0','E');</v>
      </c>
    </row>
    <row r="252" spans="1:10" x14ac:dyDescent="0.25">
      <c r="A252" s="17">
        <v>249</v>
      </c>
      <c r="B252" s="21" t="s">
        <v>1720</v>
      </c>
      <c r="C252" s="21" t="s">
        <v>340</v>
      </c>
      <c r="D252" s="21" t="s">
        <v>1083</v>
      </c>
      <c r="E252" s="21" t="s">
        <v>1075</v>
      </c>
      <c r="F252" s="21" t="s">
        <v>25</v>
      </c>
      <c r="G252" s="21" t="s">
        <v>2074</v>
      </c>
      <c r="H252" s="21" t="s">
        <v>2075</v>
      </c>
      <c r="I252" s="21" t="s">
        <v>24</v>
      </c>
      <c r="J252" s="13" t="str">
        <f t="shared" si="3"/>
        <v>insert into chb_datacheck_condition (CHECKCONDITIONID,CHECKRULEID,CHECKMETHOD,SRCPROPERTY,COMPARETO,OBJVALUE,REMARK,STATUS) values ('W75807E5-DF98-D920-E050-117F010077FD','W84807E5-DF35-D981-E051-117F01007914','inArray','ASSET_TYPE','==','16','当资产/负债类别为委外投资时','E');</v>
      </c>
    </row>
    <row r="253" spans="1:10" x14ac:dyDescent="0.25">
      <c r="A253" s="17">
        <v>250</v>
      </c>
      <c r="B253" s="21" t="s">
        <v>341</v>
      </c>
      <c r="C253" s="21" t="s">
        <v>341</v>
      </c>
      <c r="D253" s="21" t="s">
        <v>1083</v>
      </c>
      <c r="E253" s="21" t="s">
        <v>910</v>
      </c>
      <c r="F253" s="21" t="s">
        <v>25</v>
      </c>
      <c r="G253" s="21" t="s">
        <v>2113</v>
      </c>
      <c r="H253" s="21" t="s">
        <v>2114</v>
      </c>
      <c r="I253" s="21" t="s">
        <v>24</v>
      </c>
      <c r="J253" s="13" t="str">
        <f t="shared" si="3"/>
        <v>insert into chb_datacheck_condition (CHECKCONDITIONID,CHECKRULEID,CHECKMETHOD,SRCPROPERTY,COMPARETO,OBJVALUE,REMARK,STATUS) values ('W84807E5-DF36-D920-E050-007F010077FD','W84807E5-DF36-D920-E050-007F010077FD','inArray','ASSET_TYPE2','==','1299,1399,1599,2299','当资产/负债类别为各类资产的其他项时','E');</v>
      </c>
    </row>
    <row r="254" spans="1:10" x14ac:dyDescent="0.25">
      <c r="A254" s="17">
        <v>251</v>
      </c>
      <c r="B254" s="21" t="s">
        <v>344</v>
      </c>
      <c r="C254" s="21" t="s">
        <v>342</v>
      </c>
      <c r="D254" s="21" t="s">
        <v>1083</v>
      </c>
      <c r="E254" s="21" t="s">
        <v>910</v>
      </c>
      <c r="F254" s="21" t="s">
        <v>25</v>
      </c>
      <c r="G254" s="21" t="s">
        <v>2147</v>
      </c>
      <c r="H254" s="21" t="s">
        <v>2148</v>
      </c>
      <c r="I254" s="21" t="s">
        <v>24</v>
      </c>
      <c r="J254" s="13" t="str">
        <f t="shared" si="3"/>
        <v>insert into chb_datacheck_condition (CHECKCONDITIONID,CHECKRULEID,CHECKMETHOD,SRCPROPERTY,COMPARETO,OBJVALUE,REMARK,STATUS) values ('W84807E5-DF39-D920-E050-007F010077FD','W84807E5-DF37-D920-E050-007F010077FD','inArray','ASSET_TYPE2','==','1205','[资产/负债类别]为“1205 收/受益权”时','E');</v>
      </c>
    </row>
    <row r="255" spans="1:10" x14ac:dyDescent="0.25">
      <c r="A255" s="17">
        <v>252</v>
      </c>
      <c r="B255" s="21" t="s">
        <v>345</v>
      </c>
      <c r="C255" s="21" t="s">
        <v>343</v>
      </c>
      <c r="D255" s="21" t="s">
        <v>1083</v>
      </c>
      <c r="E255" s="21" t="s">
        <v>910</v>
      </c>
      <c r="F255" s="21" t="s">
        <v>41</v>
      </c>
      <c r="G255" s="21" t="s">
        <v>2147</v>
      </c>
      <c r="H255" s="21" t="s">
        <v>2149</v>
      </c>
      <c r="I255" s="21" t="s">
        <v>24</v>
      </c>
      <c r="J255" s="13" t="str">
        <f t="shared" si="3"/>
        <v>insert into chb_datacheck_condition (CHECKCONDITIONID,CHECKRULEID,CHECKMETHOD,SRCPROPERTY,COMPARETO,OBJVALUE,REMARK,STATUS) values ('W84807E5-DF3A-D920-E050-007F010077FD','W84807E5-DF38-D920-E050-007F010077FD','inArray','ASSET_TYPE2','!=','1205','当资产/负债类别!=1205收/受益权时','E');</v>
      </c>
    </row>
    <row r="256" spans="1:10" x14ac:dyDescent="0.25">
      <c r="A256" s="17">
        <v>253</v>
      </c>
      <c r="B256" s="21" t="s">
        <v>346</v>
      </c>
      <c r="C256" s="21" t="s">
        <v>344</v>
      </c>
      <c r="D256" s="21" t="s">
        <v>1083</v>
      </c>
      <c r="E256" s="21" t="s">
        <v>910</v>
      </c>
      <c r="F256" s="21" t="s">
        <v>25</v>
      </c>
      <c r="G256" s="21" t="s">
        <v>2076</v>
      </c>
      <c r="H256" s="21" t="s">
        <v>2077</v>
      </c>
      <c r="I256" s="21" t="s">
        <v>24</v>
      </c>
      <c r="J256" s="13" t="str">
        <f t="shared" si="3"/>
        <v>insert into chb_datacheck_condition (CHECKCONDITIONID,CHECKRULEID,CHECKMETHOD,SRCPROPERTY,COMPARETO,OBJVALUE,REMARK,STATUS) values ('W84807E5-DF3B-D920-E050-007F010077FD','W84807E5-DF39-D920-E050-007F010077FD','inArray','ASSET_TYPE2','==','1202,1203,1204,1205,1206,1207,1208,1209,2201,2202','当资产/负债类别为非标准化债权类资产/新增可投资资产时','E');</v>
      </c>
    </row>
    <row r="257" spans="1:10" x14ac:dyDescent="0.25">
      <c r="A257" s="17">
        <v>254</v>
      </c>
      <c r="B257" s="21" t="s">
        <v>347</v>
      </c>
      <c r="C257" s="21" t="s">
        <v>345</v>
      </c>
      <c r="D257" s="21" t="s">
        <v>1083</v>
      </c>
      <c r="E257" s="21" t="s">
        <v>910</v>
      </c>
      <c r="F257" s="21" t="s">
        <v>25</v>
      </c>
      <c r="G257" s="21" t="s">
        <v>2076</v>
      </c>
      <c r="H257" s="21" t="s">
        <v>2077</v>
      </c>
      <c r="I257" s="21" t="s">
        <v>24</v>
      </c>
      <c r="J257" s="13" t="str">
        <f t="shared" si="3"/>
        <v>insert into chb_datacheck_condition (CHECKCONDITIONID,CHECKRULEID,CHECKMETHOD,SRCPROPERTY,COMPARETO,OBJVALUE,REMARK,STATUS) values ('W84807E5-DF3C-D920-E050-007F010077FD','W84807E5-DF3A-D920-E050-007F010077FD','inArray','ASSET_TYPE2','==','1202,1203,1204,1205,1206,1207,1208,1209,2201,2202','当资产/负债类别为非标准化债权类资产/新增可投资资产时','E');</v>
      </c>
    </row>
    <row r="258" spans="1:10" x14ac:dyDescent="0.25">
      <c r="A258" s="17">
        <v>255</v>
      </c>
      <c r="B258" s="21" t="s">
        <v>1721</v>
      </c>
      <c r="C258" s="21" t="s">
        <v>346</v>
      </c>
      <c r="D258" s="21" t="s">
        <v>1083</v>
      </c>
      <c r="E258" s="21" t="s">
        <v>910</v>
      </c>
      <c r="F258" s="21" t="s">
        <v>25</v>
      </c>
      <c r="G258" s="21" t="s">
        <v>2076</v>
      </c>
      <c r="H258" s="21" t="s">
        <v>2077</v>
      </c>
      <c r="I258" s="21" t="s">
        <v>24</v>
      </c>
      <c r="J258" s="13" t="str">
        <f t="shared" si="3"/>
        <v>insert into chb_datacheck_condition (CHECKCONDITIONID,CHECKRULEID,CHECKMETHOD,SRCPROPERTY,COMPARETO,OBJVALUE,REMARK,STATUS) values ('W84807E5-DF3D-D920-E050-007F010077FD','W84807E5-DF3B-D920-E050-007F010077FD','inArray','ASSET_TYPE2','==','1202,1203,1204,1205,1206,1207,1208,1209,2201,2202','当资产/负债类别为非标准化债权类资产/新增可投资资产时','E');</v>
      </c>
    </row>
    <row r="259" spans="1:10" x14ac:dyDescent="0.25">
      <c r="A259" s="17">
        <v>256</v>
      </c>
      <c r="B259" s="21" t="s">
        <v>348</v>
      </c>
      <c r="C259" s="21" t="s">
        <v>347</v>
      </c>
      <c r="D259" s="21" t="s">
        <v>1083</v>
      </c>
      <c r="E259" s="21" t="s">
        <v>910</v>
      </c>
      <c r="F259" s="21" t="s">
        <v>25</v>
      </c>
      <c r="G259" s="21" t="s">
        <v>2076</v>
      </c>
      <c r="H259" s="21" t="s">
        <v>2077</v>
      </c>
      <c r="I259" s="21" t="s">
        <v>24</v>
      </c>
      <c r="J259" s="13" t="str">
        <f t="shared" si="3"/>
        <v>insert into chb_datacheck_condition (CHECKCONDITIONID,CHECKRULEID,CHECKMETHOD,SRCPROPERTY,COMPARETO,OBJVALUE,REMARK,STATUS) values ('W84807E5-DF3E-D920-E050-007F010077FD','W84807E5-DF3C-D920-E050-007F010077FD','inArray','ASSET_TYPE2','==','1202,1203,1204,1205,1206,1207,1208,1209,2201,2202','当资产/负债类别为非标准化债权类资产/新增可投资资产时','E');</v>
      </c>
    </row>
    <row r="260" spans="1:10" x14ac:dyDescent="0.25">
      <c r="A260" s="17">
        <v>257</v>
      </c>
      <c r="B260" s="21" t="s">
        <v>349</v>
      </c>
      <c r="C260" s="21" t="s">
        <v>348</v>
      </c>
      <c r="D260" s="21" t="s">
        <v>1083</v>
      </c>
      <c r="E260" s="21" t="s">
        <v>910</v>
      </c>
      <c r="F260" s="21" t="s">
        <v>25</v>
      </c>
      <c r="G260" s="21" t="s">
        <v>2076</v>
      </c>
      <c r="H260" s="21" t="s">
        <v>2077</v>
      </c>
      <c r="I260" s="21" t="s">
        <v>24</v>
      </c>
      <c r="J260" s="13" t="str">
        <f t="shared" si="3"/>
        <v>insert into chb_datacheck_condition (CHECKCONDITIONID,CHECKRULEID,CHECKMETHOD,SRCPROPERTY,COMPARETO,OBJVALUE,REMARK,STATUS) values ('W84807E5-DF3F-D920-E050-007F010077FD','W84807E5-DF3E-D920-E050-007F010077FD','inArray','ASSET_TYPE2','==','1202,1203,1204,1205,1206,1207,1208,1209,2201,2202','当资产/负债类别为非标准化债权类资产/新增可投资资产时','E');</v>
      </c>
    </row>
    <row r="261" spans="1:10" x14ac:dyDescent="0.25">
      <c r="A261" s="17">
        <v>258</v>
      </c>
      <c r="B261" s="21" t="s">
        <v>1722</v>
      </c>
      <c r="C261" s="21" t="s">
        <v>349</v>
      </c>
      <c r="D261" s="21" t="s">
        <v>1083</v>
      </c>
      <c r="E261" s="21" t="s">
        <v>910</v>
      </c>
      <c r="F261" s="21" t="s">
        <v>25</v>
      </c>
      <c r="G261" s="21" t="s">
        <v>2076</v>
      </c>
      <c r="H261" s="21" t="s">
        <v>2077</v>
      </c>
      <c r="I261" s="21" t="s">
        <v>24</v>
      </c>
      <c r="J261" s="13" t="str">
        <f t="shared" ref="J261:J324" si="4">CONCATENATE("insert into chb_datacheck_condition (CHECKCONDITIONID,CHECKRULEID,CHECKMETHOD,SRCPROPERTY,COMPARETO,OBJVALUE,REMARK,STATUS) values ('",B261,"','",C261,"','",D261,"','",E261,"','",F261,"','",G261,"','",H261,"','",I261,"');")</f>
        <v>insert into chb_datacheck_condition (CHECKCONDITIONID,CHECKRULEID,CHECKMETHOD,SRCPROPERTY,COMPARETO,OBJVALUE,REMARK,STATUS) values ('W1344A49-6810-5A9E-E050-007F01006A22','W84807E5-DF3F-D920-E050-007F010077FD','inArray','ASSET_TYPE2','==','1202,1203,1204,1205,1206,1207,1208,1209,2201,2202','当资产/负债类别为非标准化债权类资产/新增可投资资产时','E');</v>
      </c>
    </row>
    <row r="262" spans="1:10" x14ac:dyDescent="0.25">
      <c r="A262" s="17">
        <v>259</v>
      </c>
      <c r="B262" s="21" t="s">
        <v>350</v>
      </c>
      <c r="C262" s="21" t="s">
        <v>349</v>
      </c>
      <c r="D262" s="21" t="s">
        <v>40</v>
      </c>
      <c r="E262" s="21" t="s">
        <v>1032</v>
      </c>
      <c r="F262" s="21" t="s">
        <v>25</v>
      </c>
      <c r="G262" s="21" t="s">
        <v>53</v>
      </c>
      <c r="H262" s="21" t="s">
        <v>2150</v>
      </c>
      <c r="I262" s="21" t="s">
        <v>24</v>
      </c>
      <c r="J262" s="13" t="str">
        <f t="shared" si="4"/>
        <v>insert into chb_datacheck_condition (CHECKCONDITIONID,CHECKRULEID,CHECKMETHOD,SRCPROPERTY,COMPARETO,OBJVALUE,REMARK,STATUS) values ('W84807E5-DF40-D920-E050-007F010077FD','W84807E5-DF3F-D920-E050-007F010077FD','compareValue','RATE_FLAG','==','01','“是否有预期收益率”选择“01 是”','E');</v>
      </c>
    </row>
    <row r="263" spans="1:10" x14ac:dyDescent="0.25">
      <c r="A263" s="17">
        <v>260</v>
      </c>
      <c r="B263" s="21" t="s">
        <v>1723</v>
      </c>
      <c r="C263" s="21" t="s">
        <v>350</v>
      </c>
      <c r="D263" s="21" t="s">
        <v>1083</v>
      </c>
      <c r="E263" s="21" t="s">
        <v>910</v>
      </c>
      <c r="F263" s="21" t="s">
        <v>25</v>
      </c>
      <c r="G263" s="21" t="s">
        <v>2076</v>
      </c>
      <c r="H263" s="21" t="s">
        <v>2077</v>
      </c>
      <c r="I263" s="21" t="s">
        <v>24</v>
      </c>
      <c r="J263" s="13" t="str">
        <f t="shared" si="4"/>
        <v>insert into chb_datacheck_condition (CHECKCONDITIONID,CHECKRULEID,CHECKMETHOD,SRCPROPERTY,COMPARETO,OBJVALUE,REMARK,STATUS) values ('W1344A49-6810-5AEE-E050-007F01006A22','W84807E5-DF40-D920-E050-007F010077FD','inArray','ASSET_TYPE2','==','1202,1203,1204,1205,1206,1207,1208,1209,2201,2202','当资产/负债类别为非标准化债权类资产/新增可投资资产时','E');</v>
      </c>
    </row>
    <row r="264" spans="1:10" x14ac:dyDescent="0.25">
      <c r="A264" s="17">
        <v>261</v>
      </c>
      <c r="B264" s="21" t="s">
        <v>351</v>
      </c>
      <c r="C264" s="21" t="s">
        <v>350</v>
      </c>
      <c r="D264" s="21" t="s">
        <v>40</v>
      </c>
      <c r="E264" s="21" t="s">
        <v>1032</v>
      </c>
      <c r="F264" s="21" t="s">
        <v>25</v>
      </c>
      <c r="G264" s="21" t="s">
        <v>54</v>
      </c>
      <c r="H264" s="21" t="s">
        <v>2151</v>
      </c>
      <c r="I264" s="21" t="s">
        <v>24</v>
      </c>
      <c r="J264" s="13" t="str">
        <f t="shared" si="4"/>
        <v>insert into chb_datacheck_condition (CHECKCONDITIONID,CHECKRULEID,CHECKMETHOD,SRCPROPERTY,COMPARETO,OBJVALUE,REMARK,STATUS) values ('W84807E5-DF41-D920-E050-007F010077FD','W84807E5-DF40-D920-E050-007F010077FD','compareValue','RATE_FLAG','==','02','“是否有预期收益率”选择“02 否”','E');</v>
      </c>
    </row>
    <row r="265" spans="1:10" x14ac:dyDescent="0.25">
      <c r="A265" s="17">
        <v>262</v>
      </c>
      <c r="B265" s="21" t="s">
        <v>249</v>
      </c>
      <c r="C265" s="21" t="s">
        <v>351</v>
      </c>
      <c r="D265" s="21" t="s">
        <v>1083</v>
      </c>
      <c r="E265" s="21" t="s">
        <v>910</v>
      </c>
      <c r="F265" s="21" t="s">
        <v>25</v>
      </c>
      <c r="G265" s="21" t="s">
        <v>2076</v>
      </c>
      <c r="H265" s="21" t="s">
        <v>2077</v>
      </c>
      <c r="I265" s="21" t="s">
        <v>24</v>
      </c>
      <c r="J265" s="13" t="str">
        <f t="shared" si="4"/>
        <v>insert into chb_datacheck_condition (CHECKCONDITIONID,CHECKRULEID,CHECKMETHOD,SRCPROPERTY,COMPARETO,OBJVALUE,REMARK,STATUS) values ('W84807E5-DF43-D920-E050-007F010077FD','W84807E5-DF41-D920-E050-007F010077FD','inArray','ASSET_TYPE2','==','1202,1203,1204,1205,1206,1207,1208,1209,2201,2202','当资产/负债类别为非标准化债权类资产/新增可投资资产时','E');</v>
      </c>
    </row>
    <row r="266" spans="1:10" x14ac:dyDescent="0.25">
      <c r="A266" s="17">
        <v>263</v>
      </c>
      <c r="B266" s="21" t="s">
        <v>353</v>
      </c>
      <c r="C266" s="21" t="s">
        <v>352</v>
      </c>
      <c r="D266" s="21" t="s">
        <v>1083</v>
      </c>
      <c r="E266" s="21" t="s">
        <v>910</v>
      </c>
      <c r="F266" s="21" t="s">
        <v>25</v>
      </c>
      <c r="G266" s="21" t="s">
        <v>2076</v>
      </c>
      <c r="H266" s="21" t="s">
        <v>2077</v>
      </c>
      <c r="I266" s="21" t="s">
        <v>24</v>
      </c>
      <c r="J266" s="13" t="str">
        <f t="shared" si="4"/>
        <v>insert into chb_datacheck_condition (CHECKCONDITIONID,CHECKRULEID,CHECKMETHOD,SRCPROPERTY,COMPARETO,OBJVALUE,REMARK,STATUS) values ('W84807E5-DF44-D920-E050-007F010077FD','W84807E5-DF42-D920-E050-007F010077FD','inArray','ASSET_TYPE2','==','1202,1203,1204,1205,1206,1207,1208,1209,2201,2202','当资产/负债类别为非标准化债权类资产/新增可投资资产时','E');</v>
      </c>
    </row>
    <row r="267" spans="1:10" x14ac:dyDescent="0.25">
      <c r="A267" s="17">
        <v>264</v>
      </c>
      <c r="B267" s="21" t="s">
        <v>354</v>
      </c>
      <c r="C267" s="21" t="s">
        <v>249</v>
      </c>
      <c r="D267" s="21" t="s">
        <v>1083</v>
      </c>
      <c r="E267" s="21" t="s">
        <v>910</v>
      </c>
      <c r="F267" s="21" t="s">
        <v>41</v>
      </c>
      <c r="G267" s="21" t="s">
        <v>2076</v>
      </c>
      <c r="H267" s="21" t="s">
        <v>2111</v>
      </c>
      <c r="I267" s="21" t="s">
        <v>24</v>
      </c>
      <c r="J267" s="13" t="str">
        <f t="shared" si="4"/>
        <v>insert into chb_datacheck_condition (CHECKCONDITIONID,CHECKRULEID,CHECKMETHOD,SRCPROPERTY,COMPARETO,OBJVALUE,REMARK,STATUS) values ('W84807E5-DF45-D920-E050-007F010077FD','W84807E5-DF43-D920-E050-007F010077FD','inArray','ASSET_TYPE2','!=','1202,1203,1204,1205,1206,1207,1208,1209,2201,2202','当资产/负债类别不为非标准化债权类资产/新增可投资资产时','E');</v>
      </c>
    </row>
    <row r="268" spans="1:10" x14ac:dyDescent="0.25">
      <c r="A268" s="17">
        <v>265</v>
      </c>
      <c r="B268" s="21" t="s">
        <v>355</v>
      </c>
      <c r="C268" s="21" t="s">
        <v>353</v>
      </c>
      <c r="D268" s="21" t="s">
        <v>1083</v>
      </c>
      <c r="E268" s="21" t="s">
        <v>910</v>
      </c>
      <c r="F268" s="21" t="s">
        <v>25</v>
      </c>
      <c r="G268" s="21" t="s">
        <v>2076</v>
      </c>
      <c r="H268" s="21" t="s">
        <v>2077</v>
      </c>
      <c r="I268" s="21" t="s">
        <v>24</v>
      </c>
      <c r="J268" s="13" t="str">
        <f t="shared" si="4"/>
        <v>insert into chb_datacheck_condition (CHECKCONDITIONID,CHECKRULEID,CHECKMETHOD,SRCPROPERTY,COMPARETO,OBJVALUE,REMARK,STATUS) values ('W84807E5-DF46-D920-E050-007F010077FD','W84807E5-DF44-D920-E050-007F010077FD','inArray','ASSET_TYPE2','==','1202,1203,1204,1205,1206,1207,1208,1209,2201,2202','当资产/负债类别为非标准化债权类资产/新增可投资资产时','E');</v>
      </c>
    </row>
    <row r="269" spans="1:10" x14ac:dyDescent="0.25">
      <c r="A269" s="17">
        <v>266</v>
      </c>
      <c r="B269" s="21" t="s">
        <v>356</v>
      </c>
      <c r="C269" s="21" t="s">
        <v>357</v>
      </c>
      <c r="D269" s="21" t="s">
        <v>1083</v>
      </c>
      <c r="E269" s="21" t="s">
        <v>910</v>
      </c>
      <c r="F269" s="21" t="s">
        <v>25</v>
      </c>
      <c r="G269" s="21" t="s">
        <v>2076</v>
      </c>
      <c r="H269" s="21" t="s">
        <v>2077</v>
      </c>
      <c r="I269" s="21" t="s">
        <v>24</v>
      </c>
      <c r="J269" s="13" t="str">
        <f t="shared" si="4"/>
        <v>insert into chb_datacheck_condition (CHECKCONDITIONID,CHECKRULEID,CHECKMETHOD,SRCPROPERTY,COMPARETO,OBJVALUE,REMARK,STATUS) values ('W84807E5-DF47-D920-E050-007F010077FD','W84807E5-DF48-D920-E050-007F010077FD','inArray','ASSET_TYPE2','==','1202,1203,1204,1205,1206,1207,1208,1209,2201,2202','当资产/负债类别为非标准化债权类资产/新增可投资资产时','E');</v>
      </c>
    </row>
    <row r="270" spans="1:10" x14ac:dyDescent="0.25">
      <c r="A270" s="17">
        <v>267</v>
      </c>
      <c r="B270" s="21" t="s">
        <v>357</v>
      </c>
      <c r="C270" s="21" t="s">
        <v>358</v>
      </c>
      <c r="D270" s="21" t="s">
        <v>1083</v>
      </c>
      <c r="E270" s="21" t="s">
        <v>910</v>
      </c>
      <c r="F270" s="21" t="s">
        <v>25</v>
      </c>
      <c r="G270" s="21" t="s">
        <v>2076</v>
      </c>
      <c r="H270" s="21" t="s">
        <v>2077</v>
      </c>
      <c r="I270" s="21" t="s">
        <v>24</v>
      </c>
      <c r="J270" s="13" t="str">
        <f t="shared" si="4"/>
        <v>insert into chb_datacheck_condition (CHECKCONDITIONID,CHECKRULEID,CHECKMETHOD,SRCPROPERTY,COMPARETO,OBJVALUE,REMARK,STATUS) values ('W84807E5-DF48-D920-E050-007F010077FD','W84807E5-DF49-D920-E050-007F010077FD','inArray','ASSET_TYPE2','==','1202,1203,1204,1205,1206,1207,1208,1209,2201,2202','当资产/负债类别为非标准化债权类资产/新增可投资资产时','E');</v>
      </c>
    </row>
    <row r="271" spans="1:10" x14ac:dyDescent="0.25">
      <c r="A271" s="17">
        <v>268</v>
      </c>
      <c r="B271" s="21" t="s">
        <v>358</v>
      </c>
      <c r="C271" s="21" t="s">
        <v>359</v>
      </c>
      <c r="D271" s="21" t="s">
        <v>1083</v>
      </c>
      <c r="E271" s="21" t="s">
        <v>910</v>
      </c>
      <c r="F271" s="21" t="s">
        <v>25</v>
      </c>
      <c r="G271" s="21" t="s">
        <v>2076</v>
      </c>
      <c r="H271" s="21" t="s">
        <v>2077</v>
      </c>
      <c r="I271" s="21" t="s">
        <v>24</v>
      </c>
      <c r="J271" s="13" t="str">
        <f t="shared" si="4"/>
        <v>insert into chb_datacheck_condition (CHECKCONDITIONID,CHECKRULEID,CHECKMETHOD,SRCPROPERTY,COMPARETO,OBJVALUE,REMARK,STATUS) values ('W84807E5-DF49-D920-E050-007F010077FD','W84807E5-DF4B-D920-E050-007F010077FD','inArray','ASSET_TYPE2','==','1202,1203,1204,1205,1206,1207,1208,1209,2201,2202','当资产/负债类别为非标准化债权类资产/新增可投资资产时','E');</v>
      </c>
    </row>
    <row r="272" spans="1:10" x14ac:dyDescent="0.25">
      <c r="A272" s="17">
        <v>269</v>
      </c>
      <c r="B272" s="21" t="s">
        <v>1724</v>
      </c>
      <c r="C272" s="21" t="s">
        <v>360</v>
      </c>
      <c r="D272" s="21" t="s">
        <v>1083</v>
      </c>
      <c r="E272" s="21" t="s">
        <v>910</v>
      </c>
      <c r="F272" s="21" t="s">
        <v>25</v>
      </c>
      <c r="G272" s="21" t="s">
        <v>2076</v>
      </c>
      <c r="H272" s="21" t="s">
        <v>2077</v>
      </c>
      <c r="I272" s="21" t="s">
        <v>24</v>
      </c>
      <c r="J272" s="13" t="str">
        <f t="shared" si="4"/>
        <v>insert into chb_datacheck_condition (CHECKCONDITIONID,CHECKRULEID,CHECKMETHOD,SRCPROPERTY,COMPARETO,OBJVALUE,REMARK,STATUS) values ('W84807E5-DF4A-D920-E050-007F010077FD','W84807E5-DF4C-D920-E050-007F010077FD','inArray','ASSET_TYPE2','==','1202,1203,1204,1205,1206,1207,1208,1209,2201,2202','当资产/负债类别为非标准化债权类资产/新增可投资资产时','E');</v>
      </c>
    </row>
    <row r="273" spans="1:10" x14ac:dyDescent="0.25">
      <c r="A273" s="17">
        <v>270</v>
      </c>
      <c r="B273" s="21" t="s">
        <v>359</v>
      </c>
      <c r="C273" s="21" t="s">
        <v>361</v>
      </c>
      <c r="D273" s="21" t="s">
        <v>1083</v>
      </c>
      <c r="E273" s="21" t="s">
        <v>910</v>
      </c>
      <c r="F273" s="21" t="s">
        <v>25</v>
      </c>
      <c r="G273" s="21" t="s">
        <v>2076</v>
      </c>
      <c r="H273" s="21" t="s">
        <v>2077</v>
      </c>
      <c r="I273" s="21" t="s">
        <v>24</v>
      </c>
      <c r="J273" s="13" t="str">
        <f t="shared" si="4"/>
        <v>insert into chb_datacheck_condition (CHECKCONDITIONID,CHECKRULEID,CHECKMETHOD,SRCPROPERTY,COMPARETO,OBJVALUE,REMARK,STATUS) values ('W84807E5-DF4B-D920-E050-007F010077FD','W84807E5-DF4D-D920-E050-007F010077FD','inArray','ASSET_TYPE2','==','1202,1203,1204,1205,1206,1207,1208,1209,2201,2202','当资产/负债类别为非标准化债权类资产/新增可投资资产时','E');</v>
      </c>
    </row>
    <row r="274" spans="1:10" x14ac:dyDescent="0.25">
      <c r="A274" s="17">
        <v>271</v>
      </c>
      <c r="B274" s="21" t="s">
        <v>360</v>
      </c>
      <c r="C274" s="21" t="s">
        <v>362</v>
      </c>
      <c r="D274" s="21" t="s">
        <v>1083</v>
      </c>
      <c r="E274" s="21" t="s">
        <v>910</v>
      </c>
      <c r="F274" s="21" t="s">
        <v>25</v>
      </c>
      <c r="G274" s="21" t="s">
        <v>2076</v>
      </c>
      <c r="H274" s="21" t="s">
        <v>2077</v>
      </c>
      <c r="I274" s="21" t="s">
        <v>24</v>
      </c>
      <c r="J274" s="13" t="str">
        <f t="shared" si="4"/>
        <v>insert into chb_datacheck_condition (CHECKCONDITIONID,CHECKRULEID,CHECKMETHOD,SRCPROPERTY,COMPARETO,OBJVALUE,REMARK,STATUS) values ('W84807E5-DF4C-D920-E050-007F010077FD','W84807E5-DF4E-D920-E050-007F010077FD','inArray','ASSET_TYPE2','==','1202,1203,1204,1205,1206,1207,1208,1209,2201,2202','当资产/负债类别为非标准化债权类资产/新增可投资资产时','E');</v>
      </c>
    </row>
    <row r="275" spans="1:10" x14ac:dyDescent="0.25">
      <c r="A275" s="17">
        <v>272</v>
      </c>
      <c r="B275" s="21" t="s">
        <v>361</v>
      </c>
      <c r="C275" s="21" t="s">
        <v>363</v>
      </c>
      <c r="D275" s="21" t="s">
        <v>1083</v>
      </c>
      <c r="E275" s="21" t="s">
        <v>910</v>
      </c>
      <c r="F275" s="21" t="s">
        <v>25</v>
      </c>
      <c r="G275" s="21" t="s">
        <v>2076</v>
      </c>
      <c r="H275" s="21" t="s">
        <v>2077</v>
      </c>
      <c r="I275" s="21" t="s">
        <v>24</v>
      </c>
      <c r="J275" s="13" t="str">
        <f t="shared" si="4"/>
        <v>insert into chb_datacheck_condition (CHECKCONDITIONID,CHECKRULEID,CHECKMETHOD,SRCPROPERTY,COMPARETO,OBJVALUE,REMARK,STATUS) values ('W84807E5-DF4D-D920-E050-007F010077FD','W84807E5-DF4F-D920-E050-007F010077FD','inArray','ASSET_TYPE2','==','1202,1203,1204,1205,1206,1207,1208,1209,2201,2202','当资产/负债类别为非标准化债权类资产/新增可投资资产时','E');</v>
      </c>
    </row>
    <row r="276" spans="1:10" x14ac:dyDescent="0.25">
      <c r="A276" s="17">
        <v>273</v>
      </c>
      <c r="B276" s="21" t="s">
        <v>1725</v>
      </c>
      <c r="C276" s="21" t="s">
        <v>364</v>
      </c>
      <c r="D276" s="21" t="s">
        <v>1083</v>
      </c>
      <c r="E276" s="21" t="s">
        <v>910</v>
      </c>
      <c r="F276" s="21" t="s">
        <v>25</v>
      </c>
      <c r="G276" s="21" t="s">
        <v>2076</v>
      </c>
      <c r="H276" s="21" t="s">
        <v>2077</v>
      </c>
      <c r="I276" s="21" t="s">
        <v>24</v>
      </c>
      <c r="J276" s="13" t="str">
        <f t="shared" si="4"/>
        <v>insert into chb_datacheck_condition (CHECKCONDITIONID,CHECKRULEID,CHECKMETHOD,SRCPROPERTY,COMPARETO,OBJVALUE,REMARK,STATUS) values ('W84807E5-DF4D-D920-E050-107F010077FD','W84807E5-DF4F-D920-E050-107F010077FD','inArray','ASSET_TYPE2','==','1202,1203,1204,1205,1206,1207,1208,1209,2201,2202','当资产/负债类别为非标准化债权类资产/新增可投资资产时','E');</v>
      </c>
    </row>
    <row r="277" spans="1:10" x14ac:dyDescent="0.25">
      <c r="A277" s="17">
        <v>274</v>
      </c>
      <c r="B277" s="21" t="s">
        <v>362</v>
      </c>
      <c r="C277" s="21" t="s">
        <v>365</v>
      </c>
      <c r="D277" s="21" t="s">
        <v>1083</v>
      </c>
      <c r="E277" s="21" t="s">
        <v>910</v>
      </c>
      <c r="F277" s="21" t="s">
        <v>25</v>
      </c>
      <c r="G277" s="21" t="s">
        <v>2076</v>
      </c>
      <c r="H277" s="21" t="s">
        <v>2077</v>
      </c>
      <c r="I277" s="21" t="s">
        <v>24</v>
      </c>
      <c r="J277" s="13" t="str">
        <f t="shared" si="4"/>
        <v>insert into chb_datacheck_condition (CHECKCONDITIONID,CHECKRULEID,CHECKMETHOD,SRCPROPERTY,COMPARETO,OBJVALUE,REMARK,STATUS) values ('W84807E5-DF4E-D920-E050-007F010077FD','W84807E5-DF50-D920-E050-007F010077FD','inArray','ASSET_TYPE2','==','1202,1203,1204,1205,1206,1207,1208,1209,2201,2202','当资产/负债类别为非标准化债权类资产/新增可投资资产时','E');</v>
      </c>
    </row>
    <row r="278" spans="1:10" x14ac:dyDescent="0.25">
      <c r="A278" s="17">
        <v>275</v>
      </c>
      <c r="B278" s="21" t="s">
        <v>1726</v>
      </c>
      <c r="C278" s="21" t="s">
        <v>366</v>
      </c>
      <c r="D278" s="21" t="s">
        <v>1083</v>
      </c>
      <c r="E278" s="21" t="s">
        <v>910</v>
      </c>
      <c r="F278" s="21" t="s">
        <v>25</v>
      </c>
      <c r="G278" s="21" t="s">
        <v>2076</v>
      </c>
      <c r="H278" s="21" t="s">
        <v>2077</v>
      </c>
      <c r="I278" s="21" t="s">
        <v>24</v>
      </c>
      <c r="J278" s="13" t="str">
        <f t="shared" si="4"/>
        <v>insert into chb_datacheck_condition (CHECKCONDITIONID,CHECKRULEID,CHECKMETHOD,SRCPROPERTY,COMPARETO,OBJVALUE,REMARK,STATUS) values ('W84807E5-DF4E-D920-E050-107F010077FD','W84807E5-DF50-D920-E050-107F010077FD','inArray','ASSET_TYPE2','==','1202,1203,1204,1205,1206,1207,1208,1209,2201,2202','当资产/负债类别为非标准化债权类资产/新增可投资资产时','E');</v>
      </c>
    </row>
    <row r="279" spans="1:10" x14ac:dyDescent="0.25">
      <c r="A279" s="17">
        <v>276</v>
      </c>
      <c r="B279" s="21" t="s">
        <v>363</v>
      </c>
      <c r="C279" s="21" t="s">
        <v>367</v>
      </c>
      <c r="D279" s="21" t="s">
        <v>1083</v>
      </c>
      <c r="E279" s="21" t="s">
        <v>910</v>
      </c>
      <c r="F279" s="21" t="s">
        <v>25</v>
      </c>
      <c r="G279" s="21" t="s">
        <v>2076</v>
      </c>
      <c r="H279" s="21" t="s">
        <v>2077</v>
      </c>
      <c r="I279" s="21" t="s">
        <v>24</v>
      </c>
      <c r="J279" s="13" t="str">
        <f t="shared" si="4"/>
        <v>insert into chb_datacheck_condition (CHECKCONDITIONID,CHECKRULEID,CHECKMETHOD,SRCPROPERTY,COMPARETO,OBJVALUE,REMARK,STATUS) values ('W84807E5-DF4F-D920-E050-007F010077FD','W84807E5-DF51-D920-E050-007F010077FD','inArray','ASSET_TYPE2','==','1202,1203,1204,1205,1206,1207,1208,1209,2201,2202','当资产/负债类别为非标准化债权类资产/新增可投资资产时','E');</v>
      </c>
    </row>
    <row r="280" spans="1:10" x14ac:dyDescent="0.25">
      <c r="A280" s="17">
        <v>277</v>
      </c>
      <c r="B280" s="21" t="s">
        <v>365</v>
      </c>
      <c r="C280" s="21" t="s">
        <v>368</v>
      </c>
      <c r="D280" s="21" t="s">
        <v>40</v>
      </c>
      <c r="E280" s="21" t="s">
        <v>1052</v>
      </c>
      <c r="F280" s="21" t="s">
        <v>25</v>
      </c>
      <c r="G280" s="21" t="s">
        <v>53</v>
      </c>
      <c r="H280" s="21" t="s">
        <v>2152</v>
      </c>
      <c r="I280" s="21" t="s">
        <v>24</v>
      </c>
      <c r="J280" s="13" t="str">
        <f t="shared" si="4"/>
        <v>insert into chb_datacheck_condition (CHECKCONDITIONID,CHECKRULEID,CHECKMETHOD,SRCPROPERTY,COMPARETO,OBJVALUE,REMARK,STATUS) values ('W84807E5-DF50-D920-E050-007F010077FD','W84807E5-DF52-D920-E050-007F010077FD','compareValue','INDUSTRY_FLAG','==','01','项目是否属于重点监控行业和领域等于01是','E');</v>
      </c>
    </row>
    <row r="281" spans="1:10" x14ac:dyDescent="0.25">
      <c r="A281" s="17">
        <v>278</v>
      </c>
      <c r="B281" s="21" t="s">
        <v>1727</v>
      </c>
      <c r="C281" s="21" t="s">
        <v>368</v>
      </c>
      <c r="D281" s="21" t="s">
        <v>1083</v>
      </c>
      <c r="E281" s="21" t="s">
        <v>1075</v>
      </c>
      <c r="F281" s="21" t="s">
        <v>25</v>
      </c>
      <c r="G281" s="21" t="s">
        <v>2121</v>
      </c>
      <c r="H281" s="21" t="s">
        <v>2153</v>
      </c>
      <c r="I281" s="21" t="s">
        <v>24</v>
      </c>
      <c r="J281" s="13" t="str">
        <f t="shared" si="4"/>
        <v>insert into chb_datacheck_condition (CHECKCONDITIONID,CHECKRULEID,CHECKMETHOD,SRCPROPERTY,COMPARETO,OBJVALUE,REMARK,STATUS) values ('W53E4A49-6810-5A9E-E050-107F01006A37','W84807E5-DF52-D920-E050-007F010077FD','inArray','ASSET_TYPE','==','04','资产/负债类别为非标准化债权类资产/新增可投资资产','E');</v>
      </c>
    </row>
    <row r="282" spans="1:10" x14ac:dyDescent="0.25">
      <c r="A282" s="17">
        <v>279</v>
      </c>
      <c r="B282" s="21" t="s">
        <v>1728</v>
      </c>
      <c r="C282" s="21" t="s">
        <v>369</v>
      </c>
      <c r="D282" s="21" t="s">
        <v>1083</v>
      </c>
      <c r="E282" s="21" t="s">
        <v>1075</v>
      </c>
      <c r="F282" s="21" t="s">
        <v>25</v>
      </c>
      <c r="G282" s="21" t="s">
        <v>2121</v>
      </c>
      <c r="H282" s="21" t="s">
        <v>2153</v>
      </c>
      <c r="I282" s="21" t="s">
        <v>24</v>
      </c>
      <c r="J282" s="13" t="str">
        <f t="shared" si="4"/>
        <v>insert into chb_datacheck_condition (CHECKCONDITIONID,CHECKRULEID,CHECKMETHOD,SRCPROPERTY,COMPARETO,OBJVALUE,REMARK,STATUS) values ('W53E4A49-6810-5A9E-E050-207F01006A37','W84807E5-DF53-D920-E050-007F010077FD','inArray','ASSET_TYPE','==','04','资产/负债类别为非标准化债权类资产/新增可投资资产','E');</v>
      </c>
    </row>
    <row r="283" spans="1:10" x14ac:dyDescent="0.25">
      <c r="A283" s="17">
        <v>280</v>
      </c>
      <c r="B283" s="21" t="s">
        <v>367</v>
      </c>
      <c r="C283" s="21" t="s">
        <v>369</v>
      </c>
      <c r="D283" s="21" t="s">
        <v>40</v>
      </c>
      <c r="E283" s="21" t="s">
        <v>1052</v>
      </c>
      <c r="F283" s="21" t="s">
        <v>25</v>
      </c>
      <c r="G283" s="21" t="s">
        <v>54</v>
      </c>
      <c r="H283" s="21" t="s">
        <v>2154</v>
      </c>
      <c r="I283" s="21" t="s">
        <v>24</v>
      </c>
      <c r="J283" s="13" t="str">
        <f t="shared" si="4"/>
        <v>insert into chb_datacheck_condition (CHECKCONDITIONID,CHECKRULEID,CHECKMETHOD,SRCPROPERTY,COMPARETO,OBJVALUE,REMARK,STATUS) values ('W84807E5-DF51-D920-E050-007F010077FD','W84807E5-DF53-D920-E050-007F010077FD','compareValue','INDUSTRY_FLAG','==','02','项目是否属于重点监控行业和领域等于02否','E');</v>
      </c>
    </row>
    <row r="284" spans="1:10" x14ac:dyDescent="0.25">
      <c r="A284" s="17">
        <v>281</v>
      </c>
      <c r="B284" s="21" t="s">
        <v>368</v>
      </c>
      <c r="C284" s="21" t="s">
        <v>370</v>
      </c>
      <c r="D284" s="21" t="s">
        <v>40</v>
      </c>
      <c r="E284" s="21" t="s">
        <v>1054</v>
      </c>
      <c r="F284" s="21" t="s">
        <v>25</v>
      </c>
      <c r="G284" s="21" t="s">
        <v>55</v>
      </c>
      <c r="H284" s="21" t="s">
        <v>2155</v>
      </c>
      <c r="I284" s="21" t="s">
        <v>24</v>
      </c>
      <c r="J284" s="13" t="str">
        <f t="shared" si="4"/>
        <v>insert into chb_datacheck_condition (CHECKCONDITIONID,CHECKRULEID,CHECKMETHOD,SRCPROPERTY,COMPARETO,OBJVALUE,REMARK,STATUS) values ('W84807E5-DF52-D920-E050-007F010077FD','W84807E5-DF54-D920-E050-007F010077FD','compareValue','MONIT_TYPE','==','99','重点监控行业和领域类别等于99其他','E');</v>
      </c>
    </row>
    <row r="285" spans="1:10" x14ac:dyDescent="0.25">
      <c r="A285" s="17">
        <v>282</v>
      </c>
      <c r="B285" s="21" t="s">
        <v>1729</v>
      </c>
      <c r="C285" s="21" t="s">
        <v>370</v>
      </c>
      <c r="D285" s="21" t="s">
        <v>40</v>
      </c>
      <c r="E285" s="21" t="s">
        <v>1075</v>
      </c>
      <c r="F285" s="21" t="s">
        <v>25</v>
      </c>
      <c r="G285" s="21" t="s">
        <v>2121</v>
      </c>
      <c r="H285" s="21" t="s">
        <v>2153</v>
      </c>
      <c r="I285" s="21" t="s">
        <v>24</v>
      </c>
      <c r="J285" s="13" t="str">
        <f t="shared" si="4"/>
        <v>insert into chb_datacheck_condition (CHECKCONDITIONID,CHECKRULEID,CHECKMETHOD,SRCPROPERTY,COMPARETO,OBJVALUE,REMARK,STATUS) values ('W84807E5-DF52-D920-E050-107F010077FD','W84807E5-DF54-D920-E050-007F010077FD','compareValue','ASSET_TYPE','==','04','资产/负债类别为非标准化债权类资产/新增可投资资产','E');</v>
      </c>
    </row>
    <row r="286" spans="1:10" x14ac:dyDescent="0.25">
      <c r="A286" s="17">
        <v>283</v>
      </c>
      <c r="B286" s="21" t="s">
        <v>1731</v>
      </c>
      <c r="C286" s="21" t="s">
        <v>371</v>
      </c>
      <c r="D286" s="21" t="s">
        <v>40</v>
      </c>
      <c r="E286" s="21" t="s">
        <v>1075</v>
      </c>
      <c r="F286" s="21" t="s">
        <v>25</v>
      </c>
      <c r="G286" s="21" t="s">
        <v>2121</v>
      </c>
      <c r="H286" s="21" t="s">
        <v>2153</v>
      </c>
      <c r="I286" s="21" t="s">
        <v>24</v>
      </c>
      <c r="J286" s="13" t="str">
        <f t="shared" si="4"/>
        <v>insert into chb_datacheck_condition (CHECKCONDITIONID,CHECKRULEID,CHECKMETHOD,SRCPROPERTY,COMPARETO,OBJVALUE,REMARK,STATUS) values ('W84807E5-DF52-D920-E050-217F010077FD','W84807E5-DF54-D920-E050-207F010077FD','compareValue','ASSET_TYPE','==','04','资产/负债类别为非标准化债权类资产/新增可投资资产','E');</v>
      </c>
    </row>
    <row r="287" spans="1:10" x14ac:dyDescent="0.25">
      <c r="A287" s="17">
        <v>284</v>
      </c>
      <c r="B287" s="21" t="s">
        <v>1730</v>
      </c>
      <c r="C287" s="21" t="s">
        <v>371</v>
      </c>
      <c r="D287" s="21" t="s">
        <v>40</v>
      </c>
      <c r="E287" s="21" t="s">
        <v>1052</v>
      </c>
      <c r="F287" s="21" t="s">
        <v>25</v>
      </c>
      <c r="G287" s="21" t="s">
        <v>54</v>
      </c>
      <c r="H287" s="21" t="s">
        <v>2123</v>
      </c>
      <c r="I287" s="21" t="s">
        <v>24</v>
      </c>
      <c r="J287" s="13" t="str">
        <f t="shared" si="4"/>
        <v>insert into chb_datacheck_condition (CHECKCONDITIONID,CHECKRULEID,CHECKMETHOD,SRCPROPERTY,COMPARETO,OBJVALUE,REMARK,STATUS) values ('W84807E5-DF52-D920-E050-207F010077FD','W84807E5-DF54-D920-E050-207F010077FD','compareValue','INDUSTRY_FLAG','==','02','项目是否属于重点监控行业和领域为否','E');</v>
      </c>
    </row>
    <row r="288" spans="1:10" x14ac:dyDescent="0.25">
      <c r="A288" s="17">
        <v>285</v>
      </c>
      <c r="B288" s="21" t="s">
        <v>1732</v>
      </c>
      <c r="C288" s="21" t="s">
        <v>373</v>
      </c>
      <c r="D288" s="21" t="s">
        <v>1083</v>
      </c>
      <c r="E288" s="21" t="s">
        <v>910</v>
      </c>
      <c r="F288" s="21" t="s">
        <v>41</v>
      </c>
      <c r="G288" s="21" t="s">
        <v>2156</v>
      </c>
      <c r="H288" s="21" t="s">
        <v>2157</v>
      </c>
      <c r="I288" s="21" t="s">
        <v>24</v>
      </c>
      <c r="J288" s="13" t="str">
        <f t="shared" si="4"/>
        <v>insert into chb_datacheck_condition (CHECKCONDITIONID,CHECKRULEID,CHECKMETHOD,SRCPROPERTY,COMPARETO,OBJVALUE,REMARK,STATUS) values ('W13E4A49-6810-5A9E-E050-207F01006A58','W84807E5-DF56-D920-E050-107F010077FD','inArray','ASSET_TYPE2','!=','1299','当资产/负债类别不为1299其他非标准化债权类投资时','E');</v>
      </c>
    </row>
    <row r="289" spans="1:10" x14ac:dyDescent="0.25">
      <c r="A289" s="17">
        <v>286</v>
      </c>
      <c r="B289" s="21" t="s">
        <v>1733</v>
      </c>
      <c r="C289" s="21" t="s">
        <v>373</v>
      </c>
      <c r="D289" s="21" t="s">
        <v>1083</v>
      </c>
      <c r="E289" s="21" t="s">
        <v>1075</v>
      </c>
      <c r="F289" s="21" t="s">
        <v>25</v>
      </c>
      <c r="G289" s="21" t="s">
        <v>2158</v>
      </c>
      <c r="H289" s="21" t="s">
        <v>2114</v>
      </c>
      <c r="I289" s="21" t="s">
        <v>24</v>
      </c>
      <c r="J289" s="13" t="str">
        <f t="shared" si="4"/>
        <v>insert into chb_datacheck_condition (CHECKCONDITIONID,CHECKRULEID,CHECKMETHOD,SRCPROPERTY,COMPARETO,OBJVALUE,REMARK,STATUS) values ('W13E4A49-6810-5A9E-E050-107F01006A58','W84807E5-DF56-D920-E050-107F010077FD','inArray','ASSET_TYPE','==','14','当资产/负债类别为各类资产的其他项时','E');</v>
      </c>
    </row>
    <row r="290" spans="1:10" x14ac:dyDescent="0.25">
      <c r="A290" s="17">
        <v>287</v>
      </c>
      <c r="B290" s="21" t="s">
        <v>1735</v>
      </c>
      <c r="C290" s="21" t="s">
        <v>374</v>
      </c>
      <c r="D290" s="21" t="s">
        <v>1083</v>
      </c>
      <c r="E290" s="21" t="s">
        <v>910</v>
      </c>
      <c r="F290" s="21" t="s">
        <v>25</v>
      </c>
      <c r="G290" s="21" t="s">
        <v>2156</v>
      </c>
      <c r="H290" s="21" t="s">
        <v>2160</v>
      </c>
      <c r="I290" s="21" t="s">
        <v>24</v>
      </c>
      <c r="J290" s="13" t="str">
        <f t="shared" si="4"/>
        <v>insert into chb_datacheck_condition (CHECKCONDITIONID,CHECKRULEID,CHECKMETHOD,SRCPROPERTY,COMPARETO,OBJVALUE,REMARK,STATUS) values ('WADFD6FB33084CF1E1536D5C010AD0CE    ','W84807E5-DF57-D920-E050-007F010077FD','inArray','ASSET_TYPE2','==','1299','当资产/负债类别为1299其他非标准化债权类投资时','E');</v>
      </c>
    </row>
    <row r="291" spans="1:10" x14ac:dyDescent="0.25">
      <c r="A291" s="17">
        <v>288</v>
      </c>
      <c r="B291" s="21" t="s">
        <v>1734</v>
      </c>
      <c r="C291" s="21" t="s">
        <v>374</v>
      </c>
      <c r="D291" s="21" t="s">
        <v>22</v>
      </c>
      <c r="E291" s="21" t="s">
        <v>1132</v>
      </c>
      <c r="F291" s="21"/>
      <c r="G291" s="21" t="s">
        <v>26</v>
      </c>
      <c r="H291" s="21" t="s">
        <v>2159</v>
      </c>
      <c r="I291" s="21" t="s">
        <v>24</v>
      </c>
      <c r="J291" s="13" t="str">
        <f t="shared" si="4"/>
        <v>insert into chb_datacheck_condition (CHECKCONDITIONID,CHECKRULEID,CHECKMETHOD,SRCPROPERTY,COMPARETO,OBJVALUE,REMARK,STATUS) values ('WADFD6FB33084CF1E0536D5C010AD0CE    ','W84807E5-DF57-D920-E050-007F010077FD','isNotEmpty','GUA_TYPE','','0','“担保方式”不为空时','E');</v>
      </c>
    </row>
    <row r="292" spans="1:10" x14ac:dyDescent="0.25">
      <c r="A292" s="17">
        <v>289</v>
      </c>
      <c r="B292" s="21" t="s">
        <v>1736</v>
      </c>
      <c r="C292" s="21" t="s">
        <v>375</v>
      </c>
      <c r="D292" s="21" t="s">
        <v>1083</v>
      </c>
      <c r="E292" s="21" t="s">
        <v>910</v>
      </c>
      <c r="F292" s="21" t="s">
        <v>25</v>
      </c>
      <c r="G292" s="21" t="s">
        <v>2068</v>
      </c>
      <c r="H292" s="21" t="s">
        <v>2069</v>
      </c>
      <c r="I292" s="21" t="s">
        <v>24</v>
      </c>
      <c r="J292" s="13" t="str">
        <f t="shared" si="4"/>
        <v>insert into chb_datacheck_condition (CHECKCONDITIONID,CHECKRULEID,CHECKMETHOD,SRCPROPERTY,COMPARETO,OBJVALUE,REMARK,STATUS) values ('W13E4A49-6810-5A9E-E050-407F01006A79','W84807E5-DF57-D920-E050-107F010077FD','inArray','ASSET_TYPE2','==','1501','当资产/负债类别为QDII债券资产时','E');</v>
      </c>
    </row>
    <row r="293" spans="1:10" x14ac:dyDescent="0.25">
      <c r="A293" s="17">
        <v>290</v>
      </c>
      <c r="B293" s="21" t="s">
        <v>1738</v>
      </c>
      <c r="C293" s="21" t="s">
        <v>376</v>
      </c>
      <c r="D293" s="21" t="s">
        <v>1083</v>
      </c>
      <c r="E293" s="21" t="s">
        <v>910</v>
      </c>
      <c r="F293" s="21" t="s">
        <v>25</v>
      </c>
      <c r="G293" s="21" t="s">
        <v>2161</v>
      </c>
      <c r="H293" s="21" t="s">
        <v>2162</v>
      </c>
      <c r="I293" s="21" t="s">
        <v>24</v>
      </c>
      <c r="J293" s="13" t="str">
        <f t="shared" si="4"/>
        <v>insert into chb_datacheck_condition (CHECKCONDITIONID,CHECKRULEID,CHECKMETHOD,SRCPROPERTY,COMPARETO,OBJVALUE,REMARK,STATUS) values ('WADFD6FB33084CF2E1536D5C010AD0CE    ','W84807E5-DF57-D920-E050-117F010077FD','inArray','ASSET_TYPE2','==','1202,1203,1204,1205,1206,1207,1208,1209','当资产/负债类别为非标准化债权类资产时','E');</v>
      </c>
    </row>
    <row r="294" spans="1:10" x14ac:dyDescent="0.25">
      <c r="A294" s="17">
        <v>291</v>
      </c>
      <c r="B294" s="21" t="s">
        <v>1737</v>
      </c>
      <c r="C294" s="21" t="s">
        <v>376</v>
      </c>
      <c r="D294" s="21" t="s">
        <v>22</v>
      </c>
      <c r="E294" s="21" t="s">
        <v>1132</v>
      </c>
      <c r="F294" s="21"/>
      <c r="G294" s="21" t="s">
        <v>26</v>
      </c>
      <c r="H294" s="21" t="s">
        <v>2159</v>
      </c>
      <c r="I294" s="21" t="s">
        <v>24</v>
      </c>
      <c r="J294" s="13" t="str">
        <f t="shared" si="4"/>
        <v>insert into chb_datacheck_condition (CHECKCONDITIONID,CHECKRULEID,CHECKMETHOD,SRCPROPERTY,COMPARETO,OBJVALUE,REMARK,STATUS) values ('WADFD6FB33084CF1E0536D5C011AD0CE    ','W84807E5-DF57-D920-E050-117F010077FD','isNotEmpty','GUA_TYPE','','0','“担保方式”不为空时','E');</v>
      </c>
    </row>
    <row r="295" spans="1:10" x14ac:dyDescent="0.25">
      <c r="A295" s="17">
        <v>292</v>
      </c>
      <c r="B295" s="21" t="s">
        <v>1739</v>
      </c>
      <c r="C295" s="21" t="s">
        <v>377</v>
      </c>
      <c r="D295" s="21" t="s">
        <v>62</v>
      </c>
      <c r="E295" s="21" t="s">
        <v>1132</v>
      </c>
      <c r="F295" s="21" t="s">
        <v>25</v>
      </c>
      <c r="G295" s="21" t="s">
        <v>26</v>
      </c>
      <c r="H295" s="21" t="s">
        <v>2163</v>
      </c>
      <c r="I295" s="21" t="s">
        <v>24</v>
      </c>
      <c r="J295" s="13" t="str">
        <f t="shared" si="4"/>
        <v>insert into chb_datacheck_condition (CHECKCONDITIONID,CHECKRULEID,CHECKMETHOD,SRCPROPERTY,COMPARETO,OBJVALUE,REMARK,STATUS) values ('WADFD6FB34184CF2E0536D5C010AD0CE    ','W84807E5-DF58-D920-E050-007F010077FD','lessThanCharLength','GUA_TYPE','==','0','“担保方式”为空时','E');</v>
      </c>
    </row>
    <row r="296" spans="1:10" x14ac:dyDescent="0.25">
      <c r="A296" s="17">
        <v>293</v>
      </c>
      <c r="B296" s="21" t="s">
        <v>2295</v>
      </c>
      <c r="C296" s="21" t="s">
        <v>377</v>
      </c>
      <c r="D296" s="21" t="s">
        <v>1083</v>
      </c>
      <c r="E296" s="21" t="s">
        <v>910</v>
      </c>
      <c r="F296" s="21" t="s">
        <v>25</v>
      </c>
      <c r="G296" s="21" t="s">
        <v>2156</v>
      </c>
      <c r="H296" s="21" t="s">
        <v>2160</v>
      </c>
      <c r="I296" s="21" t="s">
        <v>24</v>
      </c>
      <c r="J296" s="13" t="str">
        <f t="shared" si="4"/>
        <v>insert into chb_datacheck_condition (CHECKCONDITIONID,CHECKRULEID,CHECKMETHOD,SRCPROPERTY,COMPARETO,OBJVALUE,REMARK,STATUS) values ('W84807E5-DF38-D920-E050-507F112077FJ','W84807E5-DF58-D920-E050-007F010077FD','inArray','ASSET_TYPE2','==','1299','当资产/负债类别为1299其他非标准化债权类投资时','E');</v>
      </c>
    </row>
    <row r="297" spans="1:10" x14ac:dyDescent="0.25">
      <c r="A297" s="17">
        <v>294</v>
      </c>
      <c r="B297" s="21" t="s">
        <v>2268</v>
      </c>
      <c r="C297" s="21" t="s">
        <v>2296</v>
      </c>
      <c r="D297" s="21" t="s">
        <v>1083</v>
      </c>
      <c r="E297" s="21" t="s">
        <v>910</v>
      </c>
      <c r="F297" s="21" t="s">
        <v>25</v>
      </c>
      <c r="G297" s="21" t="s">
        <v>2161</v>
      </c>
      <c r="H297" s="21" t="s">
        <v>2162</v>
      </c>
      <c r="I297" s="21" t="s">
        <v>24</v>
      </c>
      <c r="J297" s="13" t="str">
        <f t="shared" si="4"/>
        <v>insert into chb_datacheck_condition (CHECKCONDITIONID,CHECKRULEID,CHECKMETHOD,SRCPROPERTY,COMPARETO,OBJVALUE,REMARK,STATUS) values ('W84807E5-DF38-D920-E050-507F112079FJ','W84807E5-DF58-D920-E050-507F010077FD','inArray','ASSET_TYPE2','==','1202,1203,1204,1205,1206,1207,1208,1209','当资产/负债类别为非标准化债权类资产时','E');</v>
      </c>
    </row>
    <row r="298" spans="1:10" x14ac:dyDescent="0.25">
      <c r="A298" s="17">
        <v>295</v>
      </c>
      <c r="B298" s="21" t="s">
        <v>2267</v>
      </c>
      <c r="C298" s="21" t="s">
        <v>2296</v>
      </c>
      <c r="D298" s="21" t="s">
        <v>62</v>
      </c>
      <c r="E298" s="21" t="s">
        <v>1132</v>
      </c>
      <c r="F298" s="21" t="s">
        <v>25</v>
      </c>
      <c r="G298" s="21" t="s">
        <v>26</v>
      </c>
      <c r="H298" s="21" t="s">
        <v>2163</v>
      </c>
      <c r="I298" s="21" t="s">
        <v>24</v>
      </c>
      <c r="J298" s="13" t="str">
        <f t="shared" si="4"/>
        <v>insert into chb_datacheck_condition (CHECKCONDITIONID,CHECKRULEID,CHECKMETHOD,SRCPROPERTY,COMPARETO,OBJVALUE,REMARK,STATUS) values ('W84807E5-DF38-D920-E050-507F112078FJ','W84807E5-DF58-D920-E050-507F010077FD','lessThanCharLength','GUA_TYPE','==','0','“担保方式”为空时','E');</v>
      </c>
    </row>
    <row r="299" spans="1:10" x14ac:dyDescent="0.25">
      <c r="A299" s="17">
        <v>296</v>
      </c>
      <c r="B299" s="21" t="s">
        <v>378</v>
      </c>
      <c r="C299" s="21" t="s">
        <v>378</v>
      </c>
      <c r="D299" s="21" t="s">
        <v>1083</v>
      </c>
      <c r="E299" s="21" t="s">
        <v>910</v>
      </c>
      <c r="F299" s="21" t="s">
        <v>25</v>
      </c>
      <c r="G299" s="21" t="s">
        <v>2076</v>
      </c>
      <c r="H299" s="21" t="s">
        <v>2077</v>
      </c>
      <c r="I299" s="21" t="s">
        <v>24</v>
      </c>
      <c r="J299" s="13" t="str">
        <f t="shared" si="4"/>
        <v>insert into chb_datacheck_condition (CHECKCONDITIONID,CHECKRULEID,CHECKMETHOD,SRCPROPERTY,COMPARETO,OBJVALUE,REMARK,STATUS) values ('W84807E5-DF59-D920-E050-007F010077FD','W84807E5-DF59-D920-E050-007F010077FD','inArray','ASSET_TYPE2','==','1202,1203,1204,1205,1206,1207,1208,1209,2201,2202','当资产/负债类别为非标准化债权类资产/新增可投资资产时','E');</v>
      </c>
    </row>
    <row r="300" spans="1:10" x14ac:dyDescent="0.25">
      <c r="A300" s="17">
        <v>297</v>
      </c>
      <c r="B300" s="21" t="s">
        <v>379</v>
      </c>
      <c r="C300" s="21" t="s">
        <v>379</v>
      </c>
      <c r="D300" s="21" t="s">
        <v>1083</v>
      </c>
      <c r="E300" s="21" t="s">
        <v>910</v>
      </c>
      <c r="F300" s="21" t="s">
        <v>25</v>
      </c>
      <c r="G300" s="21" t="s">
        <v>2076</v>
      </c>
      <c r="H300" s="21" t="s">
        <v>2077</v>
      </c>
      <c r="I300" s="21" t="s">
        <v>24</v>
      </c>
      <c r="J300" s="13" t="str">
        <f t="shared" si="4"/>
        <v>insert into chb_datacheck_condition (CHECKCONDITIONID,CHECKRULEID,CHECKMETHOD,SRCPROPERTY,COMPARETO,OBJVALUE,REMARK,STATUS) values ('W84807E5-DF59-D920-E050-107F010077FD','W84807E5-DF59-D920-E050-107F010077FD','inArray','ASSET_TYPE2','==','1202,1203,1204,1205,1206,1207,1208,1209,2201,2202','当资产/负债类别为非标准化债权类资产/新增可投资资产时','E');</v>
      </c>
    </row>
    <row r="301" spans="1:10" x14ac:dyDescent="0.25">
      <c r="A301" s="17">
        <v>298</v>
      </c>
      <c r="B301" s="21" t="s">
        <v>372</v>
      </c>
      <c r="C301" s="21" t="s">
        <v>380</v>
      </c>
      <c r="D301" s="21" t="s">
        <v>1083</v>
      </c>
      <c r="E301" s="21" t="s">
        <v>910</v>
      </c>
      <c r="F301" s="21" t="s">
        <v>25</v>
      </c>
      <c r="G301" s="21" t="s">
        <v>2076</v>
      </c>
      <c r="H301" s="21" t="s">
        <v>2077</v>
      </c>
      <c r="I301" s="21" t="s">
        <v>24</v>
      </c>
      <c r="J301" s="13" t="str">
        <f t="shared" si="4"/>
        <v>insert into chb_datacheck_condition (CHECKCONDITIONID,CHECKRULEID,CHECKMETHOD,SRCPROPERTY,COMPARETO,OBJVALUE,REMARK,STATUS) values ('W84807E5-DF56-D920-E050-007F010077FD','W84807E5-DF5A-D920-E050-007F010077FD','inArray','ASSET_TYPE2','==','1202,1203,1204,1205,1206,1207,1208,1209,2201,2202','当资产/负债类别为非标准化债权类资产/新增可投资资产时','E');</v>
      </c>
    </row>
    <row r="302" spans="1:10" x14ac:dyDescent="0.25">
      <c r="A302" s="17">
        <v>299</v>
      </c>
      <c r="B302" s="21" t="s">
        <v>373</v>
      </c>
      <c r="C302" s="21" t="s">
        <v>381</v>
      </c>
      <c r="D302" s="21" t="s">
        <v>1083</v>
      </c>
      <c r="E302" s="21" t="s">
        <v>910</v>
      </c>
      <c r="F302" s="21" t="s">
        <v>25</v>
      </c>
      <c r="G302" s="21" t="s">
        <v>2076</v>
      </c>
      <c r="H302" s="21" t="s">
        <v>2077</v>
      </c>
      <c r="I302" s="21" t="s">
        <v>24</v>
      </c>
      <c r="J302" s="13" t="str">
        <f t="shared" si="4"/>
        <v>insert into chb_datacheck_condition (CHECKCONDITIONID,CHECKRULEID,CHECKMETHOD,SRCPROPERTY,COMPARETO,OBJVALUE,REMARK,STATUS) values ('W84807E5-DF56-D920-E050-107F010077FD','W84807E5-DF5A-D920-E050-107F010077FD','inArray','ASSET_TYPE2','==','1202,1203,1204,1205,1206,1207,1208,1209,2201,2202','当资产/负债类别为非标准化债权类资产/新增可投资资产时','E');</v>
      </c>
    </row>
    <row r="303" spans="1:10" x14ac:dyDescent="0.25">
      <c r="A303" s="17">
        <v>300</v>
      </c>
      <c r="B303" s="21" t="s">
        <v>374</v>
      </c>
      <c r="C303" s="21" t="s">
        <v>382</v>
      </c>
      <c r="D303" s="21" t="s">
        <v>1083</v>
      </c>
      <c r="E303" s="21" t="s">
        <v>910</v>
      </c>
      <c r="F303" s="21" t="s">
        <v>25</v>
      </c>
      <c r="G303" s="21" t="s">
        <v>2076</v>
      </c>
      <c r="H303" s="21" t="s">
        <v>2077</v>
      </c>
      <c r="I303" s="21" t="s">
        <v>24</v>
      </c>
      <c r="J303" s="13" t="str">
        <f t="shared" si="4"/>
        <v>insert into chb_datacheck_condition (CHECKCONDITIONID,CHECKRULEID,CHECKMETHOD,SRCPROPERTY,COMPARETO,OBJVALUE,REMARK,STATUS) values ('W84807E5-DF57-D920-E050-007F010077FD','W84807E5-DF5B-D920-E050-007F010077FD','inArray','ASSET_TYPE2','==','1202,1203,1204,1205,1206,1207,1208,1209,2201,2202','当资产/负债类别为非标准化债权类资产/新增可投资资产时','E');</v>
      </c>
    </row>
    <row r="304" spans="1:10" x14ac:dyDescent="0.25">
      <c r="A304" s="17">
        <v>301</v>
      </c>
      <c r="B304" s="21" t="s">
        <v>377</v>
      </c>
      <c r="C304" s="21" t="s">
        <v>383</v>
      </c>
      <c r="D304" s="21" t="s">
        <v>1083</v>
      </c>
      <c r="E304" s="21" t="s">
        <v>910</v>
      </c>
      <c r="F304" s="21" t="s">
        <v>25</v>
      </c>
      <c r="G304" s="21" t="s">
        <v>2076</v>
      </c>
      <c r="H304" s="21" t="s">
        <v>2077</v>
      </c>
      <c r="I304" s="21" t="s">
        <v>24</v>
      </c>
      <c r="J304" s="13" t="str">
        <f t="shared" si="4"/>
        <v>insert into chb_datacheck_condition (CHECKCONDITIONID,CHECKRULEID,CHECKMETHOD,SRCPROPERTY,COMPARETO,OBJVALUE,REMARK,STATUS) values ('W84807E5-DF58-D920-E050-007F010077FD','W84807E5-DF5C-D920-E050-007F010077FD','inArray','ASSET_TYPE2','==','1202,1203,1204,1205,1206,1207,1208,1209,2201,2202','当资产/负债类别为非标准化债权类资产/新增可投资资产时','E');</v>
      </c>
    </row>
    <row r="305" spans="1:10" x14ac:dyDescent="0.25">
      <c r="A305" s="17">
        <v>302</v>
      </c>
      <c r="B305" s="21" t="s">
        <v>380</v>
      </c>
      <c r="C305" s="21" t="s">
        <v>384</v>
      </c>
      <c r="D305" s="21" t="s">
        <v>1083</v>
      </c>
      <c r="E305" s="21" t="s">
        <v>910</v>
      </c>
      <c r="F305" s="21" t="s">
        <v>25</v>
      </c>
      <c r="G305" s="21" t="s">
        <v>2076</v>
      </c>
      <c r="H305" s="21" t="s">
        <v>2077</v>
      </c>
      <c r="I305" s="21" t="s">
        <v>24</v>
      </c>
      <c r="J305" s="13" t="str">
        <f t="shared" si="4"/>
        <v>insert into chb_datacheck_condition (CHECKCONDITIONID,CHECKRULEID,CHECKMETHOD,SRCPROPERTY,COMPARETO,OBJVALUE,REMARK,STATUS) values ('W84807E5-DF5A-D920-E050-007F010077FD','W84807E5-DF5D-D920-E050-007F010077FD','inArray','ASSET_TYPE2','==','1202,1203,1204,1205,1206,1207,1208,1209,2201,2202','当资产/负债类别为非标准化债权类资产/新增可投资资产时','E');</v>
      </c>
    </row>
    <row r="306" spans="1:10" x14ac:dyDescent="0.25">
      <c r="A306" s="17">
        <v>303</v>
      </c>
      <c r="B306" s="21" t="s">
        <v>383</v>
      </c>
      <c r="C306" s="21" t="s">
        <v>385</v>
      </c>
      <c r="D306" s="21" t="s">
        <v>1083</v>
      </c>
      <c r="E306" s="21" t="s">
        <v>910</v>
      </c>
      <c r="F306" s="21" t="s">
        <v>25</v>
      </c>
      <c r="G306" s="21" t="s">
        <v>2076</v>
      </c>
      <c r="H306" s="21" t="s">
        <v>2077</v>
      </c>
      <c r="I306" s="21" t="s">
        <v>24</v>
      </c>
      <c r="J306" s="13" t="str">
        <f t="shared" si="4"/>
        <v>insert into chb_datacheck_condition (CHECKCONDITIONID,CHECKRULEID,CHECKMETHOD,SRCPROPERTY,COMPARETO,OBJVALUE,REMARK,STATUS) values ('W84807E5-DF5C-D920-E050-007F010077FD','W84807E5-DF5E-D920-E050-007F010077FD','inArray','ASSET_TYPE2','==','1202,1203,1204,1205,1206,1207,1208,1209,2201,2202','当资产/负债类别为非标准化债权类资产/新增可投资资产时','E');</v>
      </c>
    </row>
    <row r="307" spans="1:10" x14ac:dyDescent="0.25">
      <c r="A307" s="17">
        <v>304</v>
      </c>
      <c r="B307" s="21" t="s">
        <v>1740</v>
      </c>
      <c r="C307" s="21" t="s">
        <v>386</v>
      </c>
      <c r="D307" s="21" t="s">
        <v>1083</v>
      </c>
      <c r="E307" s="21" t="s">
        <v>910</v>
      </c>
      <c r="F307" s="21" t="s">
        <v>25</v>
      </c>
      <c r="G307" s="21" t="s">
        <v>2076</v>
      </c>
      <c r="H307" s="21" t="s">
        <v>2077</v>
      </c>
      <c r="I307" s="21" t="s">
        <v>24</v>
      </c>
      <c r="J307" s="13" t="str">
        <f t="shared" si="4"/>
        <v>insert into chb_datacheck_condition (CHECKCONDITIONID,CHECKRULEID,CHECKMETHOD,SRCPROPERTY,COMPARETO,OBJVALUE,REMARK,STATUS) values ('W84807E6-DF48-D920-E050-007F010077FD','W84807E5-DF5F-D920-E050-007F010077FD','inArray','ASSET_TYPE2','==','1202,1203,1204,1205,1206,1207,1208,1209,2201,2202','当资产/负债类别为非标准化债权类资产/新增可投资资产时','E');</v>
      </c>
    </row>
    <row r="308" spans="1:10" x14ac:dyDescent="0.25">
      <c r="A308" s="17">
        <v>305</v>
      </c>
      <c r="B308" s="21" t="s">
        <v>387</v>
      </c>
      <c r="C308" s="21" t="s">
        <v>387</v>
      </c>
      <c r="D308" s="21" t="s">
        <v>40</v>
      </c>
      <c r="E308" s="21" t="s">
        <v>47</v>
      </c>
      <c r="F308" s="21" t="s">
        <v>25</v>
      </c>
      <c r="G308" s="21" t="s">
        <v>55</v>
      </c>
      <c r="H308" s="21" t="s">
        <v>2164</v>
      </c>
      <c r="I308" s="21" t="s">
        <v>24</v>
      </c>
      <c r="J308" s="13" t="str">
        <f t="shared" si="4"/>
        <v>insert into chb_datacheck_condition (CHECKCONDITIONID,CHECKRULEID,CHECKMETHOD,SRCPROPERTY,COMPARETO,OBJVALUE,REMARK,STATUS) values ('W84807E5-DF60-D920-E050-007F010077FD','W84807E5-DF60-D920-E050-007F010077FD','compareValue','PROFIT_TYPE','==','99','当收/受益权类型为其他时','E');</v>
      </c>
    </row>
    <row r="309" spans="1:10" x14ac:dyDescent="0.25">
      <c r="A309" s="17">
        <v>306</v>
      </c>
      <c r="B309" s="21" t="s">
        <v>388</v>
      </c>
      <c r="C309" s="21" t="s">
        <v>388</v>
      </c>
      <c r="D309" s="21" t="s">
        <v>40</v>
      </c>
      <c r="E309" s="21" t="s">
        <v>1122</v>
      </c>
      <c r="F309" s="21" t="s">
        <v>25</v>
      </c>
      <c r="G309" s="21" t="s">
        <v>55</v>
      </c>
      <c r="H309" s="21" t="s">
        <v>2165</v>
      </c>
      <c r="I309" s="21" t="s">
        <v>24</v>
      </c>
      <c r="J309" s="13" t="str">
        <f t="shared" si="4"/>
        <v>insert into chb_datacheck_condition (CHECKCONDITIONID,CHECKRULEID,CHECKMETHOD,SRCPROPERTY,COMPARETO,OBJVALUE,REMARK,STATUS) values ('W84807E5-DF61-D920-E050-007F010077FD','W84807E5-DF61-D920-E050-007F010077FD','compareValue','BASIS_TYPE','==','99','基准利率种类等于99其他','E');</v>
      </c>
    </row>
    <row r="310" spans="1:10" x14ac:dyDescent="0.25">
      <c r="A310" s="17">
        <v>307</v>
      </c>
      <c r="B310" s="21" t="s">
        <v>389</v>
      </c>
      <c r="C310" s="21" t="s">
        <v>389</v>
      </c>
      <c r="D310" s="21" t="s">
        <v>40</v>
      </c>
      <c r="E310" s="21" t="s">
        <v>1040</v>
      </c>
      <c r="F310" s="21" t="s">
        <v>25</v>
      </c>
      <c r="G310" s="21" t="s">
        <v>55</v>
      </c>
      <c r="H310" s="21" t="s">
        <v>2166</v>
      </c>
      <c r="I310" s="21" t="s">
        <v>24</v>
      </c>
      <c r="J310" s="13" t="str">
        <f t="shared" si="4"/>
        <v>insert into chb_datacheck_condition (CHECKCONDITIONID,CHECKRULEID,CHECKMETHOD,SRCPROPERTY,COMPARETO,OBJVALUE,REMARK,STATUS) values ('W84807E5-DF62-D920-E050-007F010077FD','W84807E5-DF62-D920-E050-007F010077FD','compareValue','FINANCIER_TYPE1','==','99','融资人类型（按规模划分）为99其他','E');</v>
      </c>
    </row>
    <row r="311" spans="1:10" x14ac:dyDescent="0.25">
      <c r="A311" s="17">
        <v>308</v>
      </c>
      <c r="B311" s="21" t="s">
        <v>390</v>
      </c>
      <c r="C311" s="21" t="s">
        <v>390</v>
      </c>
      <c r="D311" s="21" t="s">
        <v>40</v>
      </c>
      <c r="E311" s="21" t="s">
        <v>1042</v>
      </c>
      <c r="F311" s="21" t="s">
        <v>25</v>
      </c>
      <c r="G311" s="21" t="s">
        <v>55</v>
      </c>
      <c r="H311" s="21" t="s">
        <v>2167</v>
      </c>
      <c r="I311" s="21" t="s">
        <v>24</v>
      </c>
      <c r="J311" s="13" t="str">
        <f t="shared" si="4"/>
        <v>insert into chb_datacheck_condition (CHECKCONDITIONID,CHECKRULEID,CHECKMETHOD,SRCPROPERTY,COMPARETO,OBJVALUE,REMARK,STATUS) values ('W84807E5-DF63-D920-E050-007F010077FD','W84807E5-DF63-D920-E050-007F010077FD','compareValue','FINANCIER_TYPE2','==','99','融资人类型（按技术领域划分）为99其他','E');</v>
      </c>
    </row>
    <row r="312" spans="1:10" x14ac:dyDescent="0.25">
      <c r="A312" s="17">
        <v>309</v>
      </c>
      <c r="B312" s="21" t="s">
        <v>391</v>
      </c>
      <c r="C312" s="21" t="s">
        <v>391</v>
      </c>
      <c r="D312" s="21" t="s">
        <v>40</v>
      </c>
      <c r="E312" s="21" t="s">
        <v>1045</v>
      </c>
      <c r="F312" s="21" t="s">
        <v>25</v>
      </c>
      <c r="G312" s="21" t="s">
        <v>55</v>
      </c>
      <c r="H312" s="21" t="s">
        <v>2168</v>
      </c>
      <c r="I312" s="21" t="s">
        <v>24</v>
      </c>
      <c r="J312" s="13" t="str">
        <f t="shared" si="4"/>
        <v>insert into chb_datacheck_condition (CHECKCONDITIONID,CHECKRULEID,CHECKMETHOD,SRCPROPERTY,COMPARETO,OBJVALUE,REMARK,STATUS) values ('W84807E5-DF64-D920-E050-007F010077FD','W84807E5-DF64-D920-E050-007F010077FD','compareValue','FINANCIER_TYPE3','==','99','融资人类型（按经济类型划分）为99其他','E');</v>
      </c>
    </row>
    <row r="313" spans="1:10" x14ac:dyDescent="0.25">
      <c r="A313" s="17">
        <v>310</v>
      </c>
      <c r="B313" s="21" t="s">
        <v>392</v>
      </c>
      <c r="C313" s="21" t="s">
        <v>392</v>
      </c>
      <c r="D313" s="21" t="s">
        <v>34</v>
      </c>
      <c r="E313" s="21" t="s">
        <v>1147</v>
      </c>
      <c r="F313" s="21" t="s">
        <v>37</v>
      </c>
      <c r="G313" s="21" t="s">
        <v>26</v>
      </c>
      <c r="H313" s="21" t="s">
        <v>2169</v>
      </c>
      <c r="I313" s="21" t="s">
        <v>24</v>
      </c>
      <c r="J313" s="13" t="str">
        <f t="shared" si="4"/>
        <v>insert into chb_datacheck_condition (CHECKCONDITIONID,CHECKRULEID,CHECKMETHOD,SRCPROPERTY,COMPARETO,OBJVALUE,REMARK,STATUS) values ('W84807E5-DF65-D920-E050-007F010077FD','W84807E5-DF65-D920-E050-007F010077FD','compareValueAsNumber','TOTAL_FEE_RATE','&gt;','0','当融资总费率不为0时','E');</v>
      </c>
    </row>
    <row r="314" spans="1:10" x14ac:dyDescent="0.25">
      <c r="A314" s="17">
        <v>311</v>
      </c>
      <c r="B314" s="21" t="s">
        <v>1741</v>
      </c>
      <c r="C314" s="21" t="s">
        <v>392</v>
      </c>
      <c r="D314" s="21" t="s">
        <v>1083</v>
      </c>
      <c r="E314" s="21" t="s">
        <v>910</v>
      </c>
      <c r="F314" s="21" t="s">
        <v>25</v>
      </c>
      <c r="G314" s="21" t="s">
        <v>2076</v>
      </c>
      <c r="H314" s="21" t="s">
        <v>2077</v>
      </c>
      <c r="I314" s="21" t="s">
        <v>24</v>
      </c>
      <c r="J314" s="13" t="str">
        <f t="shared" si="4"/>
        <v>insert into chb_datacheck_condition (CHECKCONDITIONID,CHECKRULEID,CHECKMETHOD,SRCPROPERTY,COMPARETO,OBJVALUE,REMARK,STATUS) values ('W84807E6-DF65-D920-E050-007F010077FD','W84807E5-DF65-D920-E050-007F010077FD','inArray','ASSET_TYPE2','==','1202,1203,1204,1205,1206,1207,1208,1209,2201,2202','当资产/负债类别为非标准化债权类资产/新增可投资资产时','E');</v>
      </c>
    </row>
    <row r="315" spans="1:10" x14ac:dyDescent="0.25">
      <c r="A315" s="17">
        <v>312</v>
      </c>
      <c r="B315" s="21" t="s">
        <v>393</v>
      </c>
      <c r="C315" s="21" t="s">
        <v>393</v>
      </c>
      <c r="D315" s="21" t="s">
        <v>1083</v>
      </c>
      <c r="E315" s="21" t="s">
        <v>910</v>
      </c>
      <c r="F315" s="21" t="s">
        <v>25</v>
      </c>
      <c r="G315" s="21" t="s">
        <v>2170</v>
      </c>
      <c r="H315" s="21" t="s">
        <v>2171</v>
      </c>
      <c r="I315" s="21" t="s">
        <v>24</v>
      </c>
      <c r="J315" s="13" t="str">
        <f t="shared" si="4"/>
        <v>insert into chb_datacheck_condition (CHECKCONDITIONID,CHECKRULEID,CHECKMETHOD,SRCPROPERTY,COMPARETO,OBJVALUE,REMARK,STATUS) values ('W84807E5-DF66-D920-E050-007F010077FD','W84807E5-DF66-D920-E050-007F010077FD','inArray','ASSET_TYPE2','==','1305','[资产/负债类别]为“1305 股票(一级市场)”时','E');</v>
      </c>
    </row>
    <row r="316" spans="1:10" x14ac:dyDescent="0.25">
      <c r="A316" s="17">
        <v>313</v>
      </c>
      <c r="B316" s="21" t="s">
        <v>394</v>
      </c>
      <c r="C316" s="21" t="s">
        <v>394</v>
      </c>
      <c r="D316" s="21" t="s">
        <v>1083</v>
      </c>
      <c r="E316" s="21" t="s">
        <v>910</v>
      </c>
      <c r="F316" s="21" t="s">
        <v>25</v>
      </c>
      <c r="G316" s="21" t="s">
        <v>2172</v>
      </c>
      <c r="H316" s="21" t="s">
        <v>2173</v>
      </c>
      <c r="I316" s="21" t="s">
        <v>24</v>
      </c>
      <c r="J316" s="13" t="str">
        <f t="shared" si="4"/>
        <v>insert into chb_datacheck_condition (CHECKCONDITIONID,CHECKRULEID,CHECKMETHOD,SRCPROPERTY,COMPARETO,OBJVALUE,REMARK,STATUS) values ('W84807E5-DF66-D920-E050-107F010077FD','W84807E5-DF66-D920-E050-107F010077FD','inArray','ASSET_TYPE2','==','1301','[资产/负债类别]为“1301 股权”时','E');</v>
      </c>
    </row>
    <row r="317" spans="1:10" x14ac:dyDescent="0.25">
      <c r="A317" s="17">
        <v>314</v>
      </c>
      <c r="B317" s="21" t="s">
        <v>395</v>
      </c>
      <c r="C317" s="21" t="s">
        <v>395</v>
      </c>
      <c r="D317" s="21" t="s">
        <v>1083</v>
      </c>
      <c r="E317" s="21" t="s">
        <v>910</v>
      </c>
      <c r="F317" s="21" t="s">
        <v>25</v>
      </c>
      <c r="G317" s="21" t="s">
        <v>2174</v>
      </c>
      <c r="H317" s="21" t="s">
        <v>2175</v>
      </c>
      <c r="I317" s="21" t="s">
        <v>24</v>
      </c>
      <c r="J317" s="13" t="str">
        <f t="shared" si="4"/>
        <v>insert into chb_datacheck_condition (CHECKCONDITIONID,CHECKRULEID,CHECKMETHOD,SRCPROPERTY,COMPARETO,OBJVALUE,REMARK,STATUS) values ('W84807E5-DF68-D920-E050-007F010077FD','W84807E5-DF68-D920-E050-007F010077FD','inArray','ASSET_TYPE2','==','1302','[资产/负债类别]为“1302 股票(二级市场)”时','E');</v>
      </c>
    </row>
    <row r="318" spans="1:10" x14ac:dyDescent="0.25">
      <c r="A318" s="17">
        <v>315</v>
      </c>
      <c r="B318" s="21" t="s">
        <v>405</v>
      </c>
      <c r="C318" s="21" t="s">
        <v>396</v>
      </c>
      <c r="D318" s="21" t="s">
        <v>1083</v>
      </c>
      <c r="E318" s="21" t="s">
        <v>910</v>
      </c>
      <c r="F318" s="21" t="s">
        <v>25</v>
      </c>
      <c r="G318" s="21" t="s">
        <v>2080</v>
      </c>
      <c r="H318" s="21" t="s">
        <v>2067</v>
      </c>
      <c r="I318" s="21" t="s">
        <v>24</v>
      </c>
      <c r="J318" s="13" t="str">
        <f t="shared" si="4"/>
        <v>insert into chb_datacheck_condition (CHECKCONDITIONID,CHECKRULEID,CHECKMETHOD,SRCPROPERTY,COMPARETO,OBJVALUE,REMARK,STATUS) values ('W84807E5-DF71-D920-E050-007F010077FD','W84807E5-DF6C-D920-E050-007F010077FD','inArray','ASSET_TYPE2','==','1301,1302,1305','当资产/负债类别为权益类资产时','E');</v>
      </c>
    </row>
    <row r="319" spans="1:10" x14ac:dyDescent="0.25">
      <c r="A319" s="17">
        <v>316</v>
      </c>
      <c r="B319" s="21" t="s">
        <v>1742</v>
      </c>
      <c r="C319" s="21" t="s">
        <v>397</v>
      </c>
      <c r="D319" s="21" t="s">
        <v>1083</v>
      </c>
      <c r="E319" s="21" t="s">
        <v>910</v>
      </c>
      <c r="F319" s="21" t="s">
        <v>25</v>
      </c>
      <c r="G319" s="21" t="s">
        <v>2103</v>
      </c>
      <c r="H319" s="21" t="s">
        <v>2075</v>
      </c>
      <c r="I319" s="21" t="s">
        <v>24</v>
      </c>
      <c r="J319" s="13" t="str">
        <f t="shared" si="4"/>
        <v>insert into chb_datacheck_condition (CHECKCONDITIONID,CHECKRULEID,CHECKMETHOD,SRCPROPERTY,COMPARETO,OBJVALUE,REMARK,STATUS) values ('W84807E6-DF80-D920-E050-007F010077FD','W84807E5-DF6C-D920-E050-107F010077FD','inArray','ASSET_TYPE2','==','2801,2802,2803,2804,2805,2806,2899','当资产/负债类别为委外投资时','E');</v>
      </c>
    </row>
    <row r="320" spans="1:10" x14ac:dyDescent="0.25">
      <c r="A320" s="17">
        <v>317</v>
      </c>
      <c r="B320" s="21" t="s">
        <v>1743</v>
      </c>
      <c r="C320" s="21" t="s">
        <v>398</v>
      </c>
      <c r="D320" s="21" t="s">
        <v>1083</v>
      </c>
      <c r="E320" s="21" t="s">
        <v>910</v>
      </c>
      <c r="F320" s="21" t="s">
        <v>25</v>
      </c>
      <c r="G320" s="21" t="s">
        <v>2103</v>
      </c>
      <c r="H320" s="21" t="s">
        <v>2075</v>
      </c>
      <c r="I320" s="21" t="s">
        <v>24</v>
      </c>
      <c r="J320" s="13" t="str">
        <f t="shared" si="4"/>
        <v>insert into chb_datacheck_condition (CHECKCONDITIONID,CHECKRULEID,CHECKMETHOD,SRCPROPERTY,COMPARETO,OBJVALUE,REMARK,STATUS) values ('W33E4A49-6810-5A9E-E050-007F01016A59','W84807E5-DF6C-D920-E050-107F01007SFD','inArray','ASSET_TYPE2','==','2801,2802,2803,2804,2805,2806,2899','当资产/负债类别为委外投资时','E');</v>
      </c>
    </row>
    <row r="321" spans="1:10" x14ac:dyDescent="0.25">
      <c r="A321" s="17">
        <v>318</v>
      </c>
      <c r="B321" s="21" t="s">
        <v>406</v>
      </c>
      <c r="C321" s="21" t="s">
        <v>400</v>
      </c>
      <c r="D321" s="21" t="s">
        <v>1083</v>
      </c>
      <c r="E321" s="21" t="s">
        <v>910</v>
      </c>
      <c r="F321" s="21" t="s">
        <v>25</v>
      </c>
      <c r="G321" s="21" t="s">
        <v>2170</v>
      </c>
      <c r="H321" s="21" t="s">
        <v>2171</v>
      </c>
      <c r="I321" s="21" t="s">
        <v>24</v>
      </c>
      <c r="J321" s="13" t="str">
        <f t="shared" si="4"/>
        <v>insert into chb_datacheck_condition (CHECKCONDITIONID,CHECKRULEID,CHECKMETHOD,SRCPROPERTY,COMPARETO,OBJVALUE,REMARK,STATUS) values ('W84807E5-DF72-D920-E050-007F010077FD','W84807E5-DF6E-D920-E050-007F010077FD','inArray','ASSET_TYPE2','==','1305','[资产/负债类别]为“1305 股票(一级市场)”时','E');</v>
      </c>
    </row>
    <row r="322" spans="1:10" x14ac:dyDescent="0.25">
      <c r="A322" s="17">
        <v>319</v>
      </c>
      <c r="B322" s="21" t="s">
        <v>408</v>
      </c>
      <c r="C322" s="21" t="s">
        <v>401</v>
      </c>
      <c r="D322" s="21" t="s">
        <v>1083</v>
      </c>
      <c r="E322" s="21" t="s">
        <v>910</v>
      </c>
      <c r="F322" s="21" t="s">
        <v>25</v>
      </c>
      <c r="G322" s="21" t="s">
        <v>2174</v>
      </c>
      <c r="H322" s="21" t="s">
        <v>2175</v>
      </c>
      <c r="I322" s="21" t="s">
        <v>24</v>
      </c>
      <c r="J322" s="13" t="str">
        <f t="shared" si="4"/>
        <v>insert into chb_datacheck_condition (CHECKCONDITIONID,CHECKRULEID,CHECKMETHOD,SRCPROPERTY,COMPARETO,OBJVALUE,REMARK,STATUS) values ('W84807E5-DF73-D920-E050-007F010077FD','W84807E5-DF6F-D920-E050-007F010077FD','inArray','ASSET_TYPE2','==','1302','[资产/负债类别]为“1302 股票(二级市场)”时','E');</v>
      </c>
    </row>
    <row r="323" spans="1:10" x14ac:dyDescent="0.25">
      <c r="A323" s="17">
        <v>320</v>
      </c>
      <c r="B323" s="21" t="s">
        <v>410</v>
      </c>
      <c r="C323" s="21" t="s">
        <v>403</v>
      </c>
      <c r="D323" s="21" t="s">
        <v>1083</v>
      </c>
      <c r="E323" s="21" t="s">
        <v>910</v>
      </c>
      <c r="F323" s="21" t="s">
        <v>25</v>
      </c>
      <c r="G323" s="21" t="s">
        <v>2080</v>
      </c>
      <c r="H323" s="21" t="s">
        <v>2067</v>
      </c>
      <c r="I323" s="21" t="s">
        <v>24</v>
      </c>
      <c r="J323" s="13" t="str">
        <f t="shared" si="4"/>
        <v>insert into chb_datacheck_condition (CHECKCONDITIONID,CHECKRULEID,CHECKMETHOD,SRCPROPERTY,COMPARETO,OBJVALUE,REMARK,STATUS) values ('W84807E5-DF74-D920-E050-007F010077FD','W84807E5-DF70-D920-E050-007F010077FD','inArray','ASSET_TYPE2','==','1301,1302,1305','当资产/负债类别为权益类资产时','E');</v>
      </c>
    </row>
    <row r="324" spans="1:10" x14ac:dyDescent="0.25">
      <c r="A324" s="17">
        <v>321</v>
      </c>
      <c r="B324" s="21" t="s">
        <v>411</v>
      </c>
      <c r="C324" s="21" t="s">
        <v>404</v>
      </c>
      <c r="D324" s="21" t="s">
        <v>1083</v>
      </c>
      <c r="E324" s="21" t="s">
        <v>910</v>
      </c>
      <c r="F324" s="21" t="s">
        <v>25</v>
      </c>
      <c r="G324" s="21" t="s">
        <v>2080</v>
      </c>
      <c r="H324" s="21" t="s">
        <v>2067</v>
      </c>
      <c r="I324" s="21" t="s">
        <v>24</v>
      </c>
      <c r="J324" s="13" t="str">
        <f t="shared" si="4"/>
        <v>insert into chb_datacheck_condition (CHECKCONDITIONID,CHECKRULEID,CHECKMETHOD,SRCPROPERTY,COMPARETO,OBJVALUE,REMARK,STATUS) values ('W84807E5-DF74-D920-E050-107F010077FD','W84807E5-DF70-D920-E050-107F010077FD','inArray','ASSET_TYPE2','==','1301,1302,1305','当资产/负债类别为权益类资产时','E');</v>
      </c>
    </row>
    <row r="325" spans="1:10" x14ac:dyDescent="0.25">
      <c r="A325" s="17">
        <v>322</v>
      </c>
      <c r="B325" s="21" t="s">
        <v>412</v>
      </c>
      <c r="C325" s="21" t="s">
        <v>405</v>
      </c>
      <c r="D325" s="21" t="s">
        <v>1083</v>
      </c>
      <c r="E325" s="21" t="s">
        <v>910</v>
      </c>
      <c r="F325" s="21" t="s">
        <v>25</v>
      </c>
      <c r="G325" s="21" t="s">
        <v>2172</v>
      </c>
      <c r="H325" s="21" t="s">
        <v>2173</v>
      </c>
      <c r="I325" s="21" t="s">
        <v>24</v>
      </c>
      <c r="J325" s="13" t="str">
        <f t="shared" ref="J325:J388" si="5">CONCATENATE("insert into chb_datacheck_condition (CHECKCONDITIONID,CHECKRULEID,CHECKMETHOD,SRCPROPERTY,COMPARETO,OBJVALUE,REMARK,STATUS) values ('",B325,"','",C325,"','",D325,"','",E325,"','",F325,"','",G325,"','",H325,"','",I325,"');")</f>
        <v>insert into chb_datacheck_condition (CHECKCONDITIONID,CHECKRULEID,CHECKMETHOD,SRCPROPERTY,COMPARETO,OBJVALUE,REMARK,STATUS) values ('W84807E5-DF75-D920-E050-007F010077FD','W84807E5-DF71-D920-E050-007F010077FD','inArray','ASSET_TYPE2','==','1301','[资产/负债类别]为“1301 股权”时','E');</v>
      </c>
    </row>
    <row r="326" spans="1:10" x14ac:dyDescent="0.25">
      <c r="A326" s="17">
        <v>323</v>
      </c>
      <c r="B326" s="21" t="s">
        <v>414</v>
      </c>
      <c r="C326" s="21" t="s">
        <v>406</v>
      </c>
      <c r="D326" s="21" t="s">
        <v>1083</v>
      </c>
      <c r="E326" s="21" t="s">
        <v>910</v>
      </c>
      <c r="F326" s="21" t="s">
        <v>25</v>
      </c>
      <c r="G326" s="21" t="s">
        <v>2080</v>
      </c>
      <c r="H326" s="21" t="s">
        <v>2067</v>
      </c>
      <c r="I326" s="21" t="s">
        <v>24</v>
      </c>
      <c r="J326" s="13" t="str">
        <f t="shared" si="5"/>
        <v>insert into chb_datacheck_condition (CHECKCONDITIONID,CHECKRULEID,CHECKMETHOD,SRCPROPERTY,COMPARETO,OBJVALUE,REMARK,STATUS) values ('W84807E5-DF76-D920-E050-007F010077FD','W84807E5-DF72-D920-E050-007F010077FD','inArray','ASSET_TYPE2','==','1301,1302,1305','当资产/负债类别为权益类资产时','E');</v>
      </c>
    </row>
    <row r="327" spans="1:10" x14ac:dyDescent="0.25">
      <c r="A327" s="17">
        <v>324</v>
      </c>
      <c r="B327" s="21" t="s">
        <v>1744</v>
      </c>
      <c r="C327" s="21" t="s">
        <v>407</v>
      </c>
      <c r="D327" s="21" t="s">
        <v>1083</v>
      </c>
      <c r="E327" s="21" t="s">
        <v>910</v>
      </c>
      <c r="F327" s="21" t="s">
        <v>25</v>
      </c>
      <c r="G327" s="21" t="s">
        <v>2080</v>
      </c>
      <c r="H327" s="21" t="s">
        <v>2067</v>
      </c>
      <c r="I327" s="21" t="s">
        <v>24</v>
      </c>
      <c r="J327" s="13" t="str">
        <f t="shared" si="5"/>
        <v>insert into chb_datacheck_condition (CHECKCONDITIONID,CHECKRULEID,CHECKMETHOD,SRCPROPERTY,COMPARETO,OBJVALUE,REMARK,STATUS) values ('W84807E5-DF76-D920-E050-107F010077FD','W84807E5-DF72-D920-E050-107F010077FD','inArray','ASSET_TYPE2','==','1301,1302,1305','当资产/负债类别为权益类资产时','E');</v>
      </c>
    </row>
    <row r="328" spans="1:10" x14ac:dyDescent="0.25">
      <c r="A328" s="17">
        <v>325</v>
      </c>
      <c r="B328" s="21" t="s">
        <v>415</v>
      </c>
      <c r="C328" s="21" t="s">
        <v>408</v>
      </c>
      <c r="D328" s="21" t="s">
        <v>1083</v>
      </c>
      <c r="E328" s="21" t="s">
        <v>910</v>
      </c>
      <c r="F328" s="21" t="s">
        <v>25</v>
      </c>
      <c r="G328" s="21" t="s">
        <v>2080</v>
      </c>
      <c r="H328" s="21" t="s">
        <v>2067</v>
      </c>
      <c r="I328" s="21" t="s">
        <v>24</v>
      </c>
      <c r="J328" s="13" t="str">
        <f t="shared" si="5"/>
        <v>insert into chb_datacheck_condition (CHECKCONDITIONID,CHECKRULEID,CHECKMETHOD,SRCPROPERTY,COMPARETO,OBJVALUE,REMARK,STATUS) values ('W84807E5-DF77-D920-E050-007F010077FD','W84807E5-DF73-D920-E050-007F010077FD','inArray','ASSET_TYPE2','==','1301,1302,1305','当资产/负债类别为权益类资产时','E');</v>
      </c>
    </row>
    <row r="329" spans="1:10" x14ac:dyDescent="0.25">
      <c r="A329" s="17">
        <v>326</v>
      </c>
      <c r="B329" s="21" t="s">
        <v>1745</v>
      </c>
      <c r="C329" s="21" t="s">
        <v>409</v>
      </c>
      <c r="D329" s="21" t="s">
        <v>1083</v>
      </c>
      <c r="E329" s="21" t="s">
        <v>910</v>
      </c>
      <c r="F329" s="21" t="s">
        <v>25</v>
      </c>
      <c r="G329" s="21" t="s">
        <v>2080</v>
      </c>
      <c r="H329" s="21" t="s">
        <v>2067</v>
      </c>
      <c r="I329" s="21" t="s">
        <v>24</v>
      </c>
      <c r="J329" s="13" t="str">
        <f t="shared" si="5"/>
        <v>insert into chb_datacheck_condition (CHECKCONDITIONID,CHECKRULEID,CHECKMETHOD,SRCPROPERTY,COMPARETO,OBJVALUE,REMARK,STATUS) values ('W84807E5-DF77-D920-E050-107F010077FD','W84807E5-DF73-D920-E050-107F010077FD','inArray','ASSET_TYPE2','==','1301,1302,1305','当资产/负债类别为权益类资产时','E');</v>
      </c>
    </row>
    <row r="330" spans="1:10" x14ac:dyDescent="0.25">
      <c r="A330" s="17">
        <v>327</v>
      </c>
      <c r="B330" s="21" t="s">
        <v>416</v>
      </c>
      <c r="C330" s="21" t="s">
        <v>410</v>
      </c>
      <c r="D330" s="21" t="s">
        <v>1083</v>
      </c>
      <c r="E330" s="21" t="s">
        <v>910</v>
      </c>
      <c r="F330" s="21" t="s">
        <v>25</v>
      </c>
      <c r="G330" s="21" t="s">
        <v>2080</v>
      </c>
      <c r="H330" s="21" t="s">
        <v>2067</v>
      </c>
      <c r="I330" s="21" t="s">
        <v>24</v>
      </c>
      <c r="J330" s="13" t="str">
        <f t="shared" si="5"/>
        <v>insert into chb_datacheck_condition (CHECKCONDITIONID,CHECKRULEID,CHECKMETHOD,SRCPROPERTY,COMPARETO,OBJVALUE,REMARK,STATUS) values ('W84807E5-DF78-D920-E050-007F010077FD','W84807E5-DF74-D920-E050-007F010077FD','inArray','ASSET_TYPE2','==','1301,1302,1305','当资产/负债类别为权益类资产时','E');</v>
      </c>
    </row>
    <row r="331" spans="1:10" x14ac:dyDescent="0.25">
      <c r="A331" s="17">
        <v>328</v>
      </c>
      <c r="B331" s="21" t="s">
        <v>1746</v>
      </c>
      <c r="C331" s="21" t="s">
        <v>411</v>
      </c>
      <c r="D331" s="21" t="s">
        <v>1083</v>
      </c>
      <c r="E331" s="21" t="s">
        <v>910</v>
      </c>
      <c r="F331" s="21" t="s">
        <v>25</v>
      </c>
      <c r="G331" s="21" t="s">
        <v>2080</v>
      </c>
      <c r="H331" s="21" t="s">
        <v>2067</v>
      </c>
      <c r="I331" s="21" t="s">
        <v>24</v>
      </c>
      <c r="J331" s="13" t="str">
        <f t="shared" si="5"/>
        <v>insert into chb_datacheck_condition (CHECKCONDITIONID,CHECKRULEID,CHECKMETHOD,SRCPROPERTY,COMPARETO,OBJVALUE,REMARK,STATUS) values ('W84807E5-DF78-D920-E050-107F010077FD','W84807E5-DF74-D920-E050-107F010077FD','inArray','ASSET_TYPE2','==','1301,1302,1305','当资产/负债类别为权益类资产时','E');</v>
      </c>
    </row>
    <row r="332" spans="1:10" x14ac:dyDescent="0.25">
      <c r="A332" s="17">
        <v>329</v>
      </c>
      <c r="B332" s="21" t="s">
        <v>417</v>
      </c>
      <c r="C332" s="21" t="s">
        <v>412</v>
      </c>
      <c r="D332" s="21" t="s">
        <v>1083</v>
      </c>
      <c r="E332" s="21" t="s">
        <v>910</v>
      </c>
      <c r="F332" s="21" t="s">
        <v>25</v>
      </c>
      <c r="G332" s="21" t="s">
        <v>2080</v>
      </c>
      <c r="H332" s="21" t="s">
        <v>2067</v>
      </c>
      <c r="I332" s="21" t="s">
        <v>24</v>
      </c>
      <c r="J332" s="13" t="str">
        <f t="shared" si="5"/>
        <v>insert into chb_datacheck_condition (CHECKCONDITIONID,CHECKRULEID,CHECKMETHOD,SRCPROPERTY,COMPARETO,OBJVALUE,REMARK,STATUS) values ('W84807E5-DF79-D920-E050-007F010077FD','W84807E5-DF75-D920-E050-007F010077FD','inArray','ASSET_TYPE2','==','1301,1302,1305','当资产/负债类别为权益类资产时','E');</v>
      </c>
    </row>
    <row r="333" spans="1:10" x14ac:dyDescent="0.25">
      <c r="A333" s="17">
        <v>330</v>
      </c>
      <c r="B333" s="21" t="s">
        <v>1747</v>
      </c>
      <c r="C333" s="21" t="s">
        <v>413</v>
      </c>
      <c r="D333" s="21" t="s">
        <v>1083</v>
      </c>
      <c r="E333" s="21" t="s">
        <v>910</v>
      </c>
      <c r="F333" s="21" t="s">
        <v>25</v>
      </c>
      <c r="G333" s="21" t="s">
        <v>2080</v>
      </c>
      <c r="H333" s="21" t="s">
        <v>2067</v>
      </c>
      <c r="I333" s="21" t="s">
        <v>24</v>
      </c>
      <c r="J333" s="13" t="str">
        <f t="shared" si="5"/>
        <v>insert into chb_datacheck_condition (CHECKCONDITIONID,CHECKRULEID,CHECKMETHOD,SRCPROPERTY,COMPARETO,OBJVALUE,REMARK,STATUS) values ('W84807E5-DF79-D920-E050-107F010077FD','W84807E5-DF75-D920-E050-107F010077FD','inArray','ASSET_TYPE2','==','1301,1302,1305','当资产/负债类别为权益类资产时','E');</v>
      </c>
    </row>
    <row r="334" spans="1:10" x14ac:dyDescent="0.25">
      <c r="A334" s="17">
        <v>331</v>
      </c>
      <c r="B334" s="21" t="s">
        <v>419</v>
      </c>
      <c r="C334" s="21" t="s">
        <v>414</v>
      </c>
      <c r="D334" s="21" t="s">
        <v>40</v>
      </c>
      <c r="E334" s="21" t="s">
        <v>1158</v>
      </c>
      <c r="F334" s="21" t="s">
        <v>25</v>
      </c>
      <c r="G334" s="21" t="s">
        <v>55</v>
      </c>
      <c r="H334" s="21" t="s">
        <v>2176</v>
      </c>
      <c r="I334" s="21" t="s">
        <v>24</v>
      </c>
      <c r="J334" s="13" t="str">
        <f t="shared" si="5"/>
        <v>insert into chb_datacheck_condition (CHECKCONDITIONID,CHECKRULEID,CHECKMETHOD,SRCPROPERTY,COMPARETO,OBJVALUE,REMARK,STATUS) values ('W84807E5-DF7A-D920-E050-007F010077FD','W84807E5-DF76-D920-E050-007F010077FD','compareValue','SHARES_TYPE','==','99','股票类型为99其他','E');</v>
      </c>
    </row>
    <row r="335" spans="1:10" x14ac:dyDescent="0.25">
      <c r="A335" s="17">
        <v>332</v>
      </c>
      <c r="B335" s="21" t="s">
        <v>427</v>
      </c>
      <c r="C335" s="21" t="s">
        <v>415</v>
      </c>
      <c r="D335" s="21" t="s">
        <v>40</v>
      </c>
      <c r="E335" s="21" t="s">
        <v>892</v>
      </c>
      <c r="F335" s="21" t="s">
        <v>25</v>
      </c>
      <c r="G335" s="21" t="s">
        <v>55</v>
      </c>
      <c r="H335" s="21" t="s">
        <v>2177</v>
      </c>
      <c r="I335" s="21" t="s">
        <v>24</v>
      </c>
      <c r="J335" s="13" t="str">
        <f t="shared" si="5"/>
        <v>insert into chb_datacheck_condition (CHECKCONDITIONID,CHECKRULEID,CHECKMETHOD,SRCPROPERTY,COMPARETO,OBJVALUE,REMARK,STATUS) values ('W84807E5-DF7B-D920-E050-007F010077FD','W84807E5-DF77-D920-E050-007F010077FD','compareValue','INVEST_STAGE','==','99','投资阶段为99其他','E');</v>
      </c>
    </row>
    <row r="336" spans="1:10" x14ac:dyDescent="0.25">
      <c r="A336" s="17">
        <v>333</v>
      </c>
      <c r="B336" s="21" t="s">
        <v>428</v>
      </c>
      <c r="C336" s="21" t="s">
        <v>416</v>
      </c>
      <c r="D336" s="21" t="s">
        <v>40</v>
      </c>
      <c r="E336" s="21" t="s">
        <v>1011</v>
      </c>
      <c r="F336" s="21" t="s">
        <v>25</v>
      </c>
      <c r="G336" s="21" t="s">
        <v>55</v>
      </c>
      <c r="H336" s="21" t="s">
        <v>2178</v>
      </c>
      <c r="I336" s="21" t="s">
        <v>24</v>
      </c>
      <c r="J336" s="13" t="str">
        <f t="shared" si="5"/>
        <v>insert into chb_datacheck_condition (CHECKCONDITIONID,CHECKRULEID,CHECKMETHOD,SRCPROPERTY,COMPARETO,OBJVALUE,REMARK,STATUS) values ('W84807E5-DF7C-D920-E050-007F010077FD','W84807E5-DF78-D920-E050-007F010077FD','compareValue','SHARES_TYPE1','==','99','企业类型（按规模划分）为99其他','E');</v>
      </c>
    </row>
    <row r="337" spans="1:10" x14ac:dyDescent="0.25">
      <c r="A337" s="17">
        <v>334</v>
      </c>
      <c r="B337" s="21" t="s">
        <v>430</v>
      </c>
      <c r="C337" s="21" t="s">
        <v>417</v>
      </c>
      <c r="D337" s="21" t="s">
        <v>40</v>
      </c>
      <c r="E337" s="21" t="s">
        <v>1019</v>
      </c>
      <c r="F337" s="21" t="s">
        <v>25</v>
      </c>
      <c r="G337" s="21" t="s">
        <v>55</v>
      </c>
      <c r="H337" s="21" t="s">
        <v>2179</v>
      </c>
      <c r="I337" s="21" t="s">
        <v>24</v>
      </c>
      <c r="J337" s="13" t="str">
        <f t="shared" si="5"/>
        <v>insert into chb_datacheck_condition (CHECKCONDITIONID,CHECKRULEID,CHECKMETHOD,SRCPROPERTY,COMPARETO,OBJVALUE,REMARK,STATUS) values ('W84807E5-DF7D-D920-E050-007F010077FD','W84807E5-DF79-D920-E050-007F010077FD','compareValue','SHARES_TYPE3','==','99','企业类型（按技术领域划分）为99其他','E');</v>
      </c>
    </row>
    <row r="338" spans="1:10" x14ac:dyDescent="0.25">
      <c r="A338" s="17">
        <v>335</v>
      </c>
      <c r="B338" s="21" t="s">
        <v>1748</v>
      </c>
      <c r="C338" s="21" t="s">
        <v>418</v>
      </c>
      <c r="D338" s="21" t="s">
        <v>34</v>
      </c>
      <c r="E338" s="21" t="s">
        <v>1235</v>
      </c>
      <c r="F338" s="21" t="s">
        <v>37</v>
      </c>
      <c r="G338" s="21" t="s">
        <v>26</v>
      </c>
      <c r="H338" s="21" t="s">
        <v>2180</v>
      </c>
      <c r="I338" s="21" t="s">
        <v>24</v>
      </c>
      <c r="J338" s="13" t="str">
        <f t="shared" si="5"/>
        <v>insert into chb_datacheck_condition (CHECKCONDITIONID,CHECKRULEID,CHECKMETHOD,SRCPROPERTY,COMPARETO,OBJVALUE,REMARK,STATUS) values ('W84807E5-DFA0-D920-E050-117F010077FD','W84807E5-DF79-D920-E050-117F010077FD','compareValueAsNumber','AGENCY_FEE_RATE','&gt;','0','当中介服务机构合计费率不为0时','E');</v>
      </c>
    </row>
    <row r="339" spans="1:10" x14ac:dyDescent="0.25">
      <c r="A339" s="17">
        <v>336</v>
      </c>
      <c r="B339" s="21" t="s">
        <v>1749</v>
      </c>
      <c r="C339" s="21" t="s">
        <v>418</v>
      </c>
      <c r="D339" s="21" t="s">
        <v>1083</v>
      </c>
      <c r="E339" s="21" t="s">
        <v>1075</v>
      </c>
      <c r="F339" s="21" t="s">
        <v>25</v>
      </c>
      <c r="G339" s="21" t="s">
        <v>2074</v>
      </c>
      <c r="H339" s="21" t="s">
        <v>2075</v>
      </c>
      <c r="I339" s="21" t="s">
        <v>24</v>
      </c>
      <c r="J339" s="13" t="str">
        <f t="shared" si="5"/>
        <v>insert into chb_datacheck_condition (CHECKCONDITIONID,CHECKRULEID,CHECKMETHOD,SRCPROPERTY,COMPARETO,OBJVALUE,REMARK,STATUS) values ('W73807E5-DFA0-D920-E050-117F010077FD','W84807E5-DF79-D920-E050-117F010077FD','inArray','ASSET_TYPE','==','16','当资产/负债类别为委外投资时','E');</v>
      </c>
    </row>
    <row r="340" spans="1:10" x14ac:dyDescent="0.25">
      <c r="A340" s="17">
        <v>337</v>
      </c>
      <c r="B340" s="21" t="s">
        <v>432</v>
      </c>
      <c r="C340" s="21" t="s">
        <v>419</v>
      </c>
      <c r="D340" s="21" t="s">
        <v>40</v>
      </c>
      <c r="E340" s="21" t="s">
        <v>1015</v>
      </c>
      <c r="F340" s="21" t="s">
        <v>25</v>
      </c>
      <c r="G340" s="21" t="s">
        <v>55</v>
      </c>
      <c r="H340" s="21" t="s">
        <v>2181</v>
      </c>
      <c r="I340" s="21" t="s">
        <v>24</v>
      </c>
      <c r="J340" s="13" t="str">
        <f t="shared" si="5"/>
        <v>insert into chb_datacheck_condition (CHECKCONDITIONID,CHECKRULEID,CHECKMETHOD,SRCPROPERTY,COMPARETO,OBJVALUE,REMARK,STATUS) values ('W84807E5-DF7E-D920-E050-007F010077FD','W84807E5-DF7A-D920-E050-007F010077FD','compareValue','SHARES_TYPE2','==','99','企业类型（按经济类型划分）为99其他','E');</v>
      </c>
    </row>
    <row r="341" spans="1:10" x14ac:dyDescent="0.25">
      <c r="A341" s="17">
        <v>338</v>
      </c>
      <c r="B341" s="21" t="s">
        <v>1750</v>
      </c>
      <c r="C341" s="21" t="s">
        <v>420</v>
      </c>
      <c r="D341" s="21" t="s">
        <v>34</v>
      </c>
      <c r="E341" s="21" t="s">
        <v>1239</v>
      </c>
      <c r="F341" s="21" t="s">
        <v>37</v>
      </c>
      <c r="G341" s="21" t="s">
        <v>26</v>
      </c>
      <c r="H341" s="21" t="s">
        <v>2182</v>
      </c>
      <c r="I341" s="21" t="s">
        <v>24</v>
      </c>
      <c r="J341" s="13" t="str">
        <f t="shared" si="5"/>
        <v>insert into chb_datacheck_condition (CHECKCONDITIONID,CHECKRULEID,CHECKMETHOD,SRCPROPERTY,COMPARETO,OBJVALUE,REMARK,STATUS) values ('W84807E5-DFA1-D920-E050-117F010077FD','W84807E5-DF7A-D920-E050-117F010077FD','compareValueAsNumber','OTHER_FEE_RATE','&gt;','0','当其他合计费率不为0时','E');</v>
      </c>
    </row>
    <row r="342" spans="1:10" x14ac:dyDescent="0.25">
      <c r="A342" s="17">
        <v>339</v>
      </c>
      <c r="B342" s="21" t="s">
        <v>1751</v>
      </c>
      <c r="C342" s="21" t="s">
        <v>420</v>
      </c>
      <c r="D342" s="21" t="s">
        <v>1083</v>
      </c>
      <c r="E342" s="21" t="s">
        <v>1075</v>
      </c>
      <c r="F342" s="21" t="s">
        <v>25</v>
      </c>
      <c r="G342" s="21" t="s">
        <v>2074</v>
      </c>
      <c r="H342" s="21" t="s">
        <v>2075</v>
      </c>
      <c r="I342" s="21" t="s">
        <v>24</v>
      </c>
      <c r="J342" s="13" t="str">
        <f t="shared" si="5"/>
        <v>insert into chb_datacheck_condition (CHECKCONDITIONID,CHECKRULEID,CHECKMETHOD,SRCPROPERTY,COMPARETO,OBJVALUE,REMARK,STATUS) values ('W76807E5-DFA1-D920-E050-117F010077FD','W84807E5-DF7A-D920-E050-117F010077FD','inArray','ASSET_TYPE','==','16','当资产/负债类别为委外投资时','E');</v>
      </c>
    </row>
    <row r="343" spans="1:10" x14ac:dyDescent="0.25">
      <c r="A343" s="17">
        <v>340</v>
      </c>
      <c r="B343" s="21" t="s">
        <v>1752</v>
      </c>
      <c r="C343" s="21" t="s">
        <v>421</v>
      </c>
      <c r="D343" s="21" t="s">
        <v>40</v>
      </c>
      <c r="E343" s="21" t="s">
        <v>1102</v>
      </c>
      <c r="F343" s="21" t="s">
        <v>25</v>
      </c>
      <c r="G343" s="21" t="s">
        <v>55</v>
      </c>
      <c r="H343" s="21" t="s">
        <v>2183</v>
      </c>
      <c r="I343" s="21" t="s">
        <v>24</v>
      </c>
      <c r="J343" s="13" t="str">
        <f t="shared" si="5"/>
        <v>insert into chb_datacheck_condition (CHECKCONDITIONID,CHECKRULEID,CHECKMETHOD,SRCPROPERTY,COMPARETO,OBJVALUE,REMARK,STATUS) values ('W76807E5-DFA1-D920-E050-117F010078FD','W84807E5-DF7A-D920-E050-117F010078FD','compareValue','PARTY_TYPE1','==','99','发行机构类型（按规模划分）为99其他','E');</v>
      </c>
    </row>
    <row r="344" spans="1:10" x14ac:dyDescent="0.25">
      <c r="A344" s="17">
        <v>341</v>
      </c>
      <c r="B344" s="21" t="s">
        <v>1753</v>
      </c>
      <c r="C344" s="21" t="s">
        <v>422</v>
      </c>
      <c r="D344" s="21" t="s">
        <v>40</v>
      </c>
      <c r="E344" s="21" t="s">
        <v>1104</v>
      </c>
      <c r="F344" s="21" t="s">
        <v>25</v>
      </c>
      <c r="G344" s="21" t="s">
        <v>55</v>
      </c>
      <c r="H344" s="21" t="s">
        <v>2184</v>
      </c>
      <c r="I344" s="21" t="s">
        <v>24</v>
      </c>
      <c r="J344" s="13" t="str">
        <f t="shared" si="5"/>
        <v>insert into chb_datacheck_condition (CHECKCONDITIONID,CHECKRULEID,CHECKMETHOD,SRCPROPERTY,COMPARETO,OBJVALUE,REMARK,STATUS) values ('W76807E5-DFA1-D920-E050-117F010079FD','W84807E5-DF7A-D920-E050-117F010079FD','compareValue','PARTY_TYPE2','==','99','发行机构类型（按经济类型划分）为99其他','E');</v>
      </c>
    </row>
    <row r="345" spans="1:10" x14ac:dyDescent="0.25">
      <c r="A345" s="17">
        <v>342</v>
      </c>
      <c r="B345" s="21" t="s">
        <v>1754</v>
      </c>
      <c r="C345" s="21" t="s">
        <v>423</v>
      </c>
      <c r="D345" s="21" t="s">
        <v>40</v>
      </c>
      <c r="E345" s="21" t="s">
        <v>1106</v>
      </c>
      <c r="F345" s="21" t="s">
        <v>25</v>
      </c>
      <c r="G345" s="21" t="s">
        <v>55</v>
      </c>
      <c r="H345" s="21" t="s">
        <v>2185</v>
      </c>
      <c r="I345" s="21" t="s">
        <v>24</v>
      </c>
      <c r="J345" s="13" t="str">
        <f t="shared" si="5"/>
        <v>insert into chb_datacheck_condition (CHECKCONDITIONID,CHECKRULEID,CHECKMETHOD,SRCPROPERTY,COMPARETO,OBJVALUE,REMARK,STATUS) values ('W76807E5-DFA1-D920-E050-117F010080FD','W84807E5-DF7A-D920-E050-117F010080FD','compareValue','PARTY_TYPE3','==','99','发行机构类型（按技术领域划分）为99其他','E');</v>
      </c>
    </row>
    <row r="346" spans="1:10" x14ac:dyDescent="0.25">
      <c r="A346" s="17">
        <v>343</v>
      </c>
      <c r="B346" s="21" t="s">
        <v>1755</v>
      </c>
      <c r="C346" s="21" t="s">
        <v>424</v>
      </c>
      <c r="D346" s="21" t="s">
        <v>40</v>
      </c>
      <c r="E346" s="21" t="s">
        <v>1084</v>
      </c>
      <c r="F346" s="21" t="s">
        <v>25</v>
      </c>
      <c r="G346" s="21" t="s">
        <v>55</v>
      </c>
      <c r="H346" s="21" t="s">
        <v>2186</v>
      </c>
      <c r="I346" s="21" t="s">
        <v>24</v>
      </c>
      <c r="J346" s="13" t="str">
        <f t="shared" si="5"/>
        <v>insert into chb_datacheck_condition (CHECKCONDITIONID,CHECKRULEID,CHECKMETHOD,SRCPROPERTY,COMPARETO,OBJVALUE,REMARK,STATUS) values ('W76807E5-DFA1-D920-E050-117F010081FD','W84807E5-DF7A-D920-E050-117F010081FD','compareValue','CHB_SECTYPE','==','99','具体类别为其他债券时','E');</v>
      </c>
    </row>
    <row r="347" spans="1:10" x14ac:dyDescent="0.25">
      <c r="A347" s="17">
        <v>344</v>
      </c>
      <c r="B347" s="21" t="s">
        <v>1756</v>
      </c>
      <c r="C347" s="21" t="s">
        <v>425</v>
      </c>
      <c r="D347" s="21" t="s">
        <v>1083</v>
      </c>
      <c r="E347" s="21" t="s">
        <v>910</v>
      </c>
      <c r="F347" s="21" t="s">
        <v>25</v>
      </c>
      <c r="G347" s="21" t="s">
        <v>2076</v>
      </c>
      <c r="H347" s="21" t="s">
        <v>2077</v>
      </c>
      <c r="I347" s="21" t="s">
        <v>24</v>
      </c>
      <c r="J347" s="13" t="str">
        <f t="shared" si="5"/>
        <v>insert into chb_datacheck_condition (CHECKCONDITIONID,CHECKRULEID,CHECKMETHOD,SRCPROPERTY,COMPARETO,OBJVALUE,REMARK,STATUS) values ('W76807E5-DFA1-D920-E050-117F010083FD','W84807E5-DF7A-D920-E051-117F010077FD','inArray','ASSET_TYPE2','==','1202,1203,1204,1205,1206,1207,1208,1209,2201,2202','当资产/负债类别为非标准化债权类资产/新增可投资资产时','E');</v>
      </c>
    </row>
    <row r="348" spans="1:10" x14ac:dyDescent="0.25">
      <c r="A348" s="17">
        <v>345</v>
      </c>
      <c r="B348" s="21" t="s">
        <v>1757</v>
      </c>
      <c r="C348" s="21" t="s">
        <v>425</v>
      </c>
      <c r="D348" s="21" t="s">
        <v>40</v>
      </c>
      <c r="E348" s="21" t="s">
        <v>1277</v>
      </c>
      <c r="F348" s="21" t="s">
        <v>25</v>
      </c>
      <c r="G348" s="21" t="s">
        <v>55</v>
      </c>
      <c r="H348" s="21" t="s">
        <v>2187</v>
      </c>
      <c r="I348" s="21" t="s">
        <v>24</v>
      </c>
      <c r="J348" s="13" t="str">
        <f t="shared" si="5"/>
        <v>insert into chb_datacheck_condition (CHECKCONDITIONID,CHECKRULEID,CHECKMETHOD,SRCPROPERTY,COMPARETO,OBJVALUE,REMARK,STATUS) values ('W76807E5-DFA1-D920-E050-117F010082FD','W84807E5-DF7A-D920-E051-117F010077FD','compareValue','PLEDGE_TYPE','==','99','抵质押物类型为其他时','E');</v>
      </c>
    </row>
    <row r="349" spans="1:10" x14ac:dyDescent="0.25">
      <c r="A349" s="17">
        <v>346</v>
      </c>
      <c r="B349" s="21" t="s">
        <v>1758</v>
      </c>
      <c r="C349" s="21" t="s">
        <v>426</v>
      </c>
      <c r="D349" s="21" t="s">
        <v>1083</v>
      </c>
      <c r="E349" s="21" t="s">
        <v>910</v>
      </c>
      <c r="F349" s="21" t="s">
        <v>25</v>
      </c>
      <c r="G349" s="21" t="s">
        <v>2113</v>
      </c>
      <c r="H349" s="21" t="s">
        <v>2114</v>
      </c>
      <c r="I349" s="21" t="s">
        <v>24</v>
      </c>
      <c r="J349" s="13" t="str">
        <f t="shared" si="5"/>
        <v>insert into chb_datacheck_condition (CHECKCONDITIONID,CHECKRULEID,CHECKMETHOD,SRCPROPERTY,COMPARETO,OBJVALUE,REMARK,STATUS) values ('W76807E5-DFA1-D920-E050-117F010085FD','W84807E5-DF7A-D920-E051-117F010078FD','inArray','ASSET_TYPE2','==','1299,1399,1599,2299','当资产/负债类别为各类资产的其他项时','E');</v>
      </c>
    </row>
    <row r="350" spans="1:10" x14ac:dyDescent="0.25">
      <c r="A350" s="17">
        <v>347</v>
      </c>
      <c r="B350" s="21" t="s">
        <v>1759</v>
      </c>
      <c r="C350" s="21" t="s">
        <v>426</v>
      </c>
      <c r="D350" s="21" t="s">
        <v>40</v>
      </c>
      <c r="E350" s="21" t="s">
        <v>1277</v>
      </c>
      <c r="F350" s="21" t="s">
        <v>25</v>
      </c>
      <c r="G350" s="21" t="s">
        <v>55</v>
      </c>
      <c r="H350" s="21" t="s">
        <v>2187</v>
      </c>
      <c r="I350" s="21" t="s">
        <v>24</v>
      </c>
      <c r="J350" s="13" t="str">
        <f t="shared" si="5"/>
        <v>insert into chb_datacheck_condition (CHECKCONDITIONID,CHECKRULEID,CHECKMETHOD,SRCPROPERTY,COMPARETO,OBJVALUE,REMARK,STATUS) values ('W76807E5-DFA1-D920-E050-117F010084FD','W84807E5-DF7A-D920-E051-117F010078FD','compareValue','PLEDGE_TYPE','==','99','抵质押物类型为其他时','E');</v>
      </c>
    </row>
    <row r="351" spans="1:10" x14ac:dyDescent="0.25">
      <c r="A351" s="17">
        <v>348</v>
      </c>
      <c r="B351" s="21" t="s">
        <v>440</v>
      </c>
      <c r="C351" s="21" t="s">
        <v>427</v>
      </c>
      <c r="D351" s="21" t="s">
        <v>1083</v>
      </c>
      <c r="E351" s="21" t="s">
        <v>910</v>
      </c>
      <c r="F351" s="21" t="s">
        <v>25</v>
      </c>
      <c r="G351" s="21" t="s">
        <v>2144</v>
      </c>
      <c r="H351" s="21" t="s">
        <v>2079</v>
      </c>
      <c r="I351" s="21" t="s">
        <v>24</v>
      </c>
      <c r="J351" s="13" t="str">
        <f t="shared" si="5"/>
        <v>insert into chb_datacheck_condition (CHECKCONDITIONID,CHECKRULEID,CHECKMETHOD,SRCPROPERTY,COMPARETO,OBJVALUE,REMARK,STATUS) values ('W84807E5-DF80-D920-E050-007F010077FD','W84807E5-DF7B-D920-E050-007F010077FD','inArray','ASSET_TYPE2','==','1701,1702,1703,1704,1705,1706','当资产/负债类别为资产管理产品时','E');</v>
      </c>
    </row>
    <row r="352" spans="1:10" x14ac:dyDescent="0.25">
      <c r="A352" s="17">
        <v>349</v>
      </c>
      <c r="B352" s="21" t="s">
        <v>443</v>
      </c>
      <c r="C352" s="21" t="s">
        <v>428</v>
      </c>
      <c r="D352" s="21" t="s">
        <v>1083</v>
      </c>
      <c r="E352" s="21" t="s">
        <v>910</v>
      </c>
      <c r="F352" s="21" t="s">
        <v>25</v>
      </c>
      <c r="G352" s="21" t="s">
        <v>2144</v>
      </c>
      <c r="H352" s="21" t="s">
        <v>2079</v>
      </c>
      <c r="I352" s="21" t="s">
        <v>24</v>
      </c>
      <c r="J352" s="13" t="str">
        <f t="shared" si="5"/>
        <v>insert into chb_datacheck_condition (CHECKCONDITIONID,CHECKRULEID,CHECKMETHOD,SRCPROPERTY,COMPARETO,OBJVALUE,REMARK,STATUS) values ('W84807E5-DF81-D920-E050-007F010077FD','W84807E5-DF7C-D920-E050-007F010077FD','inArray','ASSET_TYPE2','==','1701,1702,1703,1704,1705,1706','当资产/负债类别为资产管理产品时','E');</v>
      </c>
    </row>
    <row r="353" spans="1:10" x14ac:dyDescent="0.25">
      <c r="A353" s="17">
        <v>350</v>
      </c>
      <c r="B353" s="21" t="s">
        <v>1760</v>
      </c>
      <c r="C353" s="21" t="s">
        <v>431</v>
      </c>
      <c r="D353" s="21" t="s">
        <v>1083</v>
      </c>
      <c r="E353" s="21" t="s">
        <v>910</v>
      </c>
      <c r="F353" s="21" t="s">
        <v>25</v>
      </c>
      <c r="G353" s="21" t="s">
        <v>2144</v>
      </c>
      <c r="H353" s="21" t="s">
        <v>2079</v>
      </c>
      <c r="I353" s="21" t="s">
        <v>24</v>
      </c>
      <c r="J353" s="13" t="str">
        <f t="shared" si="5"/>
        <v>insert into chb_datacheck_condition (CHECKCONDITIONID,CHECKRULEID,CHECKMETHOD,SRCPROPERTY,COMPARETO,OBJVALUE,REMARK,STATUS) values ('W84807E5-DF8A-D920-E050-007F013377FD','W84807E5-DF7D-D920-E050-007F011277FD','inArray','ASSET_TYPE2','==','1701,1702,1703,1704,1705,1706','当资产/负债类别为资产管理产品时','E');</v>
      </c>
    </row>
    <row r="354" spans="1:10" x14ac:dyDescent="0.25">
      <c r="A354" s="17">
        <v>351</v>
      </c>
      <c r="B354" s="21" t="s">
        <v>444</v>
      </c>
      <c r="C354" s="21" t="s">
        <v>432</v>
      </c>
      <c r="D354" s="21" t="s">
        <v>1083</v>
      </c>
      <c r="E354" s="21" t="s">
        <v>910</v>
      </c>
      <c r="F354" s="21" t="s">
        <v>25</v>
      </c>
      <c r="G354" s="21" t="s">
        <v>2144</v>
      </c>
      <c r="H354" s="21" t="s">
        <v>2079</v>
      </c>
      <c r="I354" s="21" t="s">
        <v>24</v>
      </c>
      <c r="J354" s="13" t="str">
        <f t="shared" si="5"/>
        <v>insert into chb_datacheck_condition (CHECKCONDITIONID,CHECKRULEID,CHECKMETHOD,SRCPROPERTY,COMPARETO,OBJVALUE,REMARK,STATUS) values ('W84807E5-DF82-D920-E050-007F010077FD','W84807E5-DF7E-D920-E050-007F010077FD','inArray','ASSET_TYPE2','==','1701,1702,1703,1704,1705,1706','当资产/负债类别为资产管理产品时','E');</v>
      </c>
    </row>
    <row r="355" spans="1:10" x14ac:dyDescent="0.25">
      <c r="A355" s="17">
        <v>352</v>
      </c>
      <c r="B355" s="21" t="s">
        <v>1761</v>
      </c>
      <c r="C355" s="21" t="s">
        <v>433</v>
      </c>
      <c r="D355" s="21" t="s">
        <v>1083</v>
      </c>
      <c r="E355" s="21" t="s">
        <v>910</v>
      </c>
      <c r="F355" s="21" t="s">
        <v>25</v>
      </c>
      <c r="G355" s="21" t="s">
        <v>2103</v>
      </c>
      <c r="H355" s="21" t="s">
        <v>2075</v>
      </c>
      <c r="I355" s="21" t="s">
        <v>24</v>
      </c>
      <c r="J355" s="13" t="str">
        <f t="shared" si="5"/>
        <v>insert into chb_datacheck_condition (CHECKCONDITIONID,CHECKRULEID,CHECKMETHOD,SRCPROPERTY,COMPARETO,OBJVALUE,REMARK,STATUS) values ('W33E4A49-6810-5A9E-E050-007FB1006A59','W84807E5-DF7E-D920-E050-007F010A77FD','inArray','ASSET_TYPE2','==','2801,2802,2803,2804,2805,2806,2899','当资产/负债类别为委外投资时','E');</v>
      </c>
    </row>
    <row r="356" spans="1:10" x14ac:dyDescent="0.25">
      <c r="A356" s="17">
        <v>353</v>
      </c>
      <c r="B356" s="21" t="s">
        <v>1762</v>
      </c>
      <c r="C356" s="21" t="s">
        <v>435</v>
      </c>
      <c r="D356" s="21" t="s">
        <v>1083</v>
      </c>
      <c r="E356" s="21" t="s">
        <v>910</v>
      </c>
      <c r="F356" s="21" t="s">
        <v>25</v>
      </c>
      <c r="G356" s="21" t="s">
        <v>2144</v>
      </c>
      <c r="H356" s="21" t="s">
        <v>2079</v>
      </c>
      <c r="I356" s="21" t="s">
        <v>24</v>
      </c>
      <c r="J356" s="13" t="str">
        <f t="shared" si="5"/>
        <v>insert into chb_datacheck_condition (CHECKCONDITIONID,CHECKRULEID,CHECKMETHOD,SRCPROPERTY,COMPARETO,OBJVALUE,REMARK,STATUS) values ('W84807E5-DF81-D920-E088-007F010077FD','W84807E5-DF7F-D920-E036-007F010077FD','inArray','ASSET_TYPE2','==','1701,1702,1703,1704,1705,1706','当资产/负债类别为资产管理产品时','E');</v>
      </c>
    </row>
    <row r="357" spans="1:10" x14ac:dyDescent="0.25">
      <c r="A357" s="17">
        <v>354</v>
      </c>
      <c r="B357" s="21" t="s">
        <v>450</v>
      </c>
      <c r="C357" s="21" t="s">
        <v>436</v>
      </c>
      <c r="D357" s="21" t="s">
        <v>1083</v>
      </c>
      <c r="E357" s="21" t="s">
        <v>910</v>
      </c>
      <c r="F357" s="21" t="s">
        <v>25</v>
      </c>
      <c r="G357" s="21" t="s">
        <v>2144</v>
      </c>
      <c r="H357" s="21" t="s">
        <v>2079</v>
      </c>
      <c r="I357" s="21" t="s">
        <v>24</v>
      </c>
      <c r="J357" s="13" t="str">
        <f t="shared" si="5"/>
        <v>insert into chb_datacheck_condition (CHECKCONDITIONID,CHECKRULEID,CHECKMETHOD,SRCPROPERTY,COMPARETO,OBJVALUE,REMARK,STATUS) values ('W84807E5-DF83-D920-E050-007F010077FD','W84807E5-DF7F-D920-E050-007F010077FD','inArray','ASSET_TYPE2','==','1701,1702,1703,1704,1705,1706','当资产/负债类别为资产管理产品时','E');</v>
      </c>
    </row>
    <row r="358" spans="1:10" x14ac:dyDescent="0.25">
      <c r="A358" s="17">
        <v>355</v>
      </c>
      <c r="B358" s="21" t="s">
        <v>1763</v>
      </c>
      <c r="C358" s="21" t="s">
        <v>437</v>
      </c>
      <c r="D358" s="21" t="s">
        <v>1083</v>
      </c>
      <c r="E358" s="21" t="s">
        <v>910</v>
      </c>
      <c r="F358" s="21" t="s">
        <v>25</v>
      </c>
      <c r="G358" s="21" t="s">
        <v>2103</v>
      </c>
      <c r="H358" s="21" t="s">
        <v>2075</v>
      </c>
      <c r="I358" s="21" t="s">
        <v>24</v>
      </c>
      <c r="J358" s="13" t="str">
        <f t="shared" si="5"/>
        <v>insert into chb_datacheck_condition (CHECKCONDITIONID,CHECKRULEID,CHECKMETHOD,SRCPROPERTY,COMPARETO,OBJVALUE,REMARK,STATUS) values ('W33E4A49-6810-5A9E-E050-007FD1006A59','W84807E5-DF7F-D920-E050-007FC10077FD','inArray','ASSET_TYPE2','==','2801,2802,2803,2804,2805,2806,2899','当资产/负债类别为委外投资时','E');</v>
      </c>
    </row>
    <row r="359" spans="1:10" x14ac:dyDescent="0.25">
      <c r="A359" s="17">
        <v>356</v>
      </c>
      <c r="B359" s="21" t="s">
        <v>1764</v>
      </c>
      <c r="C359" s="21" t="s">
        <v>439</v>
      </c>
      <c r="D359" s="21" t="s">
        <v>1083</v>
      </c>
      <c r="E359" s="21" t="s">
        <v>910</v>
      </c>
      <c r="F359" s="21" t="s">
        <v>25</v>
      </c>
      <c r="G359" s="21" t="s">
        <v>2103</v>
      </c>
      <c r="H359" s="21" t="s">
        <v>2075</v>
      </c>
      <c r="I359" s="21" t="s">
        <v>24</v>
      </c>
      <c r="J359" s="13" t="str">
        <f t="shared" si="5"/>
        <v>insert into chb_datacheck_condition (CHECKCONDITIONID,CHECKRULEID,CHECKMETHOD,SRCPROPERTY,COMPARETO,OBJVALUE,REMARK,STATUS) values ('W84807E5-DF81-D920-E089-007F010077FD','W84807E5-DF7H-D920-E036-007F010077FD','inArray','ASSET_TYPE2','==','2801,2802,2803,2804,2805,2806,2899','当资产/负债类别为委外投资时','E');</v>
      </c>
    </row>
    <row r="360" spans="1:10" x14ac:dyDescent="0.25">
      <c r="A360" s="17">
        <v>357</v>
      </c>
      <c r="B360" s="21" t="s">
        <v>2297</v>
      </c>
      <c r="C360" s="21" t="s">
        <v>440</v>
      </c>
      <c r="D360" s="21" t="s">
        <v>1083</v>
      </c>
      <c r="E360" s="21" t="s">
        <v>910</v>
      </c>
      <c r="F360" s="21" t="s">
        <v>25</v>
      </c>
      <c r="G360" s="21" t="s">
        <v>2076</v>
      </c>
      <c r="H360" s="21" t="s">
        <v>2077</v>
      </c>
      <c r="I360" s="21" t="s">
        <v>24</v>
      </c>
      <c r="J360" s="13" t="str">
        <f t="shared" si="5"/>
        <v>insert into chb_datacheck_condition (CHECKCONDITIONID,CHECKRULEID,CHECKMETHOD,SRCPROPERTY,COMPARETO,OBJVALUE,REMARK,STATUS) values ('WH4807E5-DF81-D920-E050-007F010077FD','W84807E5-DF80-D920-E050-007F010077FD','inArray','ASSET_TYPE2','==','1202,1203,1204,1205,1206,1207,1208,1209,2201,2202','当资产/负债类别为非标准化债权类资产/新增可投资资产时','E');</v>
      </c>
    </row>
    <row r="361" spans="1:10" x14ac:dyDescent="0.25">
      <c r="A361" s="17">
        <v>358</v>
      </c>
      <c r="B361" s="21" t="s">
        <v>452</v>
      </c>
      <c r="C361" s="21" t="s">
        <v>441</v>
      </c>
      <c r="D361" s="21" t="s">
        <v>1083</v>
      </c>
      <c r="E361" s="21" t="s">
        <v>910</v>
      </c>
      <c r="F361" s="21" t="s">
        <v>25</v>
      </c>
      <c r="G361" s="21" t="s">
        <v>2144</v>
      </c>
      <c r="H361" s="21" t="s">
        <v>2079</v>
      </c>
      <c r="I361" s="21" t="s">
        <v>24</v>
      </c>
      <c r="J361" s="13" t="str">
        <f t="shared" si="5"/>
        <v>insert into chb_datacheck_condition (CHECKCONDITIONID,CHECKRULEID,CHECKMETHOD,SRCPROPERTY,COMPARETO,OBJVALUE,REMARK,STATUS) values ('W84807E5-DF84-D920-E050-007F010077FD','W84807E5-DF80-D920-E050-107F010077FD','inArray','ASSET_TYPE2','==','1701,1702,1703,1704,1705,1706','当资产/负债类别为资产管理产品时','E');</v>
      </c>
    </row>
    <row r="362" spans="1:10" x14ac:dyDescent="0.25">
      <c r="A362" s="17">
        <v>359</v>
      </c>
      <c r="B362" s="21" t="s">
        <v>2298</v>
      </c>
      <c r="C362" s="21" t="s">
        <v>442</v>
      </c>
      <c r="D362" s="21" t="s">
        <v>1083</v>
      </c>
      <c r="E362" s="21" t="s">
        <v>910</v>
      </c>
      <c r="F362" s="21" t="s">
        <v>25</v>
      </c>
      <c r="G362" s="21" t="s">
        <v>2076</v>
      </c>
      <c r="H362" s="21" t="s">
        <v>2077</v>
      </c>
      <c r="I362" s="21" t="s">
        <v>24</v>
      </c>
      <c r="J362" s="13" t="str">
        <f t="shared" si="5"/>
        <v>insert into chb_datacheck_condition (CHECKCONDITIONID,CHECKRULEID,CHECKMETHOD,SRCPROPERTY,COMPARETO,OBJVALUE,REMARK,STATUS) values ('WH4807E5-DF80-D920-E050-007F010077FD','W84807E5-DF80-D920-E050-207F010077FD','inArray','ASSET_TYPE2','==','1202,1203,1204,1205,1206,1207,1208,1209,2201,2202','当资产/负债类别为非标准化债权类资产/新增可投资资产时','E');</v>
      </c>
    </row>
    <row r="363" spans="1:10" x14ac:dyDescent="0.25">
      <c r="A363" s="17">
        <v>360</v>
      </c>
      <c r="B363" s="21" t="s">
        <v>533</v>
      </c>
      <c r="C363" s="21" t="s">
        <v>443</v>
      </c>
      <c r="D363" s="21" t="s">
        <v>1083</v>
      </c>
      <c r="E363" s="21" t="s">
        <v>910</v>
      </c>
      <c r="F363" s="21" t="s">
        <v>25</v>
      </c>
      <c r="G363" s="21" t="s">
        <v>2188</v>
      </c>
      <c r="H363" s="21" t="s">
        <v>2189</v>
      </c>
      <c r="I363" s="21" t="s">
        <v>24</v>
      </c>
      <c r="J363" s="13" t="str">
        <f t="shared" si="5"/>
        <v>insert into chb_datacheck_condition (CHECKCONDITIONID,CHECKRULEID,CHECKMETHOD,SRCPROPERTY,COMPARETO,OBJVALUE,REMARK,STATUS) values ('W84807E5-DFB6-D920-E050-007F010077FD','W84807E5-DF81-D920-E050-007F010077FD','inArray','ASSET_TYPE2','==','1201,1210','当资产/负债类别为票据类/信用证类资产时','E');</v>
      </c>
    </row>
    <row r="364" spans="1:10" x14ac:dyDescent="0.25">
      <c r="A364" s="17">
        <v>361</v>
      </c>
      <c r="B364" s="21" t="s">
        <v>455</v>
      </c>
      <c r="C364" s="21" t="s">
        <v>444</v>
      </c>
      <c r="D364" s="21" t="s">
        <v>1083</v>
      </c>
      <c r="E364" s="21" t="s">
        <v>910</v>
      </c>
      <c r="F364" s="21" t="s">
        <v>25</v>
      </c>
      <c r="G364" s="21" t="s">
        <v>2144</v>
      </c>
      <c r="H364" s="21" t="s">
        <v>2079</v>
      </c>
      <c r="I364" s="21" t="s">
        <v>24</v>
      </c>
      <c r="J364" s="13" t="str">
        <f t="shared" si="5"/>
        <v>insert into chb_datacheck_condition (CHECKCONDITIONID,CHECKRULEID,CHECKMETHOD,SRCPROPERTY,COMPARETO,OBJVALUE,REMARK,STATUS) values ('W84807E5-DF85-D920-E050-007F010077FD','W84807E5-DF82-D920-E050-007F010077FD','inArray','ASSET_TYPE2','==','1701,1702,1703,1704,1705,1706','当资产/负债类别为资产管理产品时','E');</v>
      </c>
    </row>
    <row r="365" spans="1:10" x14ac:dyDescent="0.25">
      <c r="A365" s="17">
        <v>362</v>
      </c>
      <c r="B365" s="21" t="s">
        <v>1765</v>
      </c>
      <c r="C365" s="21" t="s">
        <v>445</v>
      </c>
      <c r="D365" s="21" t="s">
        <v>1083</v>
      </c>
      <c r="E365" s="21" t="s">
        <v>910</v>
      </c>
      <c r="F365" s="21" t="s">
        <v>25</v>
      </c>
      <c r="G365" s="21" t="s">
        <v>2103</v>
      </c>
      <c r="H365" s="21" t="s">
        <v>2075</v>
      </c>
      <c r="I365" s="21" t="s">
        <v>24</v>
      </c>
      <c r="J365" s="13" t="str">
        <f t="shared" si="5"/>
        <v>insert into chb_datacheck_condition (CHECKCONDITIONID,CHECKRULEID,CHECKMETHOD,SRCPROPERTY,COMPARETO,OBJVALUE,REMARK,STATUS) values ('W33E4A49-6810-5A9E-E050-007F01006C59','W84807E5-DF82-D920-E050-007FD10077FD','inArray','ASSET_TYPE2','==','2801,2802,2803,2804,2805,2806,2899','当资产/负债类别为委外投资时','E');</v>
      </c>
    </row>
    <row r="366" spans="1:10" x14ac:dyDescent="0.25">
      <c r="A366" s="17">
        <v>363</v>
      </c>
      <c r="B366" s="21" t="s">
        <v>1766</v>
      </c>
      <c r="C366" s="21" t="s">
        <v>446</v>
      </c>
      <c r="D366" s="21" t="s">
        <v>1083</v>
      </c>
      <c r="E366" s="21" t="s">
        <v>910</v>
      </c>
      <c r="F366" s="21" t="s">
        <v>25</v>
      </c>
      <c r="G366" s="21" t="s">
        <v>2144</v>
      </c>
      <c r="H366" s="21" t="s">
        <v>2079</v>
      </c>
      <c r="I366" s="21" t="s">
        <v>24</v>
      </c>
      <c r="J366" s="13" t="str">
        <f t="shared" si="5"/>
        <v>insert into chb_datacheck_condition (CHECKCONDITIONID,CHECKRULEID,CHECKMETHOD,SRCPROPERTY,COMPARETO,OBJVALUE,REMARK,STATUS) values ('W84807E5-DF85-D920-E050-107F010077FD','W84807E5-DF82-D920-E050-107F010077FD','inArray','ASSET_TYPE2','==','1701,1702,1703,1704,1705,1706','当资产/负债类别为资产管理产品时','E');</v>
      </c>
    </row>
    <row r="367" spans="1:10" x14ac:dyDescent="0.25">
      <c r="A367" s="17">
        <v>364</v>
      </c>
      <c r="B367" s="21" t="s">
        <v>1767</v>
      </c>
      <c r="C367" s="21" t="s">
        <v>447</v>
      </c>
      <c r="D367" s="21" t="s">
        <v>1083</v>
      </c>
      <c r="E367" s="21" t="s">
        <v>910</v>
      </c>
      <c r="F367" s="21" t="s">
        <v>25</v>
      </c>
      <c r="G367" s="21" t="s">
        <v>2103</v>
      </c>
      <c r="H367" s="21" t="s">
        <v>2075</v>
      </c>
      <c r="I367" s="21" t="s">
        <v>24</v>
      </c>
      <c r="J367" s="13" t="str">
        <f t="shared" si="5"/>
        <v>insert into chb_datacheck_condition (CHECKCONDITIONID,CHECKRULEID,CHECKMETHOD,SRCPROPERTY,COMPARETO,OBJVALUE,REMARK,STATUS) values ('W33E4A49-6810-5A9E-E050-107F01006C59','W84807E5-DF82-D920-E050-107FD10077FD','inArray','ASSET_TYPE2','==','2801,2802,2803,2804,2805,2806,2899','当资产/负债类别为委外投资时','E');</v>
      </c>
    </row>
    <row r="368" spans="1:10" x14ac:dyDescent="0.25">
      <c r="A368" s="17">
        <v>365</v>
      </c>
      <c r="B368" s="21" t="s">
        <v>1768</v>
      </c>
      <c r="C368" s="21" t="s">
        <v>448</v>
      </c>
      <c r="D368" s="21" t="s">
        <v>1083</v>
      </c>
      <c r="E368" s="21" t="s">
        <v>910</v>
      </c>
      <c r="F368" s="21" t="s">
        <v>25</v>
      </c>
      <c r="G368" s="21" t="s">
        <v>2144</v>
      </c>
      <c r="H368" s="21" t="s">
        <v>2079</v>
      </c>
      <c r="I368" s="21" t="s">
        <v>24</v>
      </c>
      <c r="J368" s="13" t="str">
        <f t="shared" si="5"/>
        <v>insert into chb_datacheck_condition (CHECKCONDITIONID,CHECKRULEID,CHECKMETHOD,SRCPROPERTY,COMPARETO,OBJVALUE,REMARK,STATUS) values ('W84807E5-DF85-D920-E050-207F010077FD','W84807E5-DF82-D920-E050-207FD10077FD','inArray','ASSET_TYPE2','==','1701,1702,1703,1704,1705,1706','当资产/负债类别为资产管理产品时','E');</v>
      </c>
    </row>
    <row r="369" spans="1:10" x14ac:dyDescent="0.25">
      <c r="A369" s="17">
        <v>366</v>
      </c>
      <c r="B369" s="21" t="s">
        <v>1769</v>
      </c>
      <c r="C369" s="21" t="s">
        <v>448</v>
      </c>
      <c r="D369" s="21" t="s">
        <v>30</v>
      </c>
      <c r="E369" s="21" t="s">
        <v>1184</v>
      </c>
      <c r="F369" s="21" t="s">
        <v>25</v>
      </c>
      <c r="G369" s="21" t="s">
        <v>1185</v>
      </c>
      <c r="H369" s="21" t="s">
        <v>2190</v>
      </c>
      <c r="I369" s="21" t="s">
        <v>24</v>
      </c>
      <c r="J369" s="13" t="str">
        <f t="shared" si="5"/>
        <v>insert into chb_datacheck_condition (CHECKCONDITIONID,CHECKRULEID,CHECKMETHOD,SRCPROPERTY,COMPARETO,OBJVALUE,REMARK,STATUS) values ('W84807E5-DF85-D920-E050-307F010077FD','W84807E5-DF82-D920-E050-207FD10077FD','inDatadict','TRU_ACT_TYPE','==','SVR_TRU_ACT_TYPE',' ','E');</v>
      </c>
    </row>
    <row r="370" spans="1:10" x14ac:dyDescent="0.25">
      <c r="A370" s="17">
        <v>367</v>
      </c>
      <c r="B370" s="21" t="s">
        <v>1770</v>
      </c>
      <c r="C370" s="21" t="s">
        <v>449</v>
      </c>
      <c r="D370" s="21" t="s">
        <v>30</v>
      </c>
      <c r="E370" s="21" t="s">
        <v>1184</v>
      </c>
      <c r="F370" s="21" t="s">
        <v>25</v>
      </c>
      <c r="G370" s="21" t="s">
        <v>1185</v>
      </c>
      <c r="H370" s="21" t="s">
        <v>2190</v>
      </c>
      <c r="I370" s="21" t="s">
        <v>24</v>
      </c>
      <c r="J370" s="13" t="str">
        <f t="shared" si="5"/>
        <v>insert into chb_datacheck_condition (CHECKCONDITIONID,CHECKRULEID,CHECKMETHOD,SRCPROPERTY,COMPARETO,OBJVALUE,REMARK,STATUS) values ('W84807E5-DF85-D920-E050-407F010077FD','W84807E5-DF82-D920-E050-307FD10077FD','inDatadict','TRU_ACT_TYPE','==','SVR_TRU_ACT_TYPE',' ','E');</v>
      </c>
    </row>
    <row r="371" spans="1:10" x14ac:dyDescent="0.25">
      <c r="A371" s="17">
        <v>368</v>
      </c>
      <c r="B371" s="21" t="s">
        <v>1771</v>
      </c>
      <c r="C371" s="21" t="s">
        <v>449</v>
      </c>
      <c r="D371" s="21" t="s">
        <v>1083</v>
      </c>
      <c r="E371" s="21" t="s">
        <v>910</v>
      </c>
      <c r="F371" s="21" t="s">
        <v>25</v>
      </c>
      <c r="G371" s="21" t="s">
        <v>2103</v>
      </c>
      <c r="H371" s="21" t="s">
        <v>2075</v>
      </c>
      <c r="I371" s="21" t="s">
        <v>24</v>
      </c>
      <c r="J371" s="13" t="str">
        <f t="shared" si="5"/>
        <v>insert into chb_datacheck_condition (CHECKCONDITIONID,CHECKRULEID,CHECKMETHOD,SRCPROPERTY,COMPARETO,OBJVALUE,REMARK,STATUS) values ('W33E4A49-6810-5A9E-E050-207F01006C59','W84807E5-DF82-D920-E050-307FD10077FD','inArray','ASSET_TYPE2','==','2801,2802,2803,2804,2805,2806,2899','当资产/负债类别为委外投资时','E');</v>
      </c>
    </row>
    <row r="372" spans="1:10" x14ac:dyDescent="0.25">
      <c r="A372" s="17">
        <v>369</v>
      </c>
      <c r="B372" s="21" t="s">
        <v>457</v>
      </c>
      <c r="C372" s="21" t="s">
        <v>450</v>
      </c>
      <c r="D372" s="21" t="s">
        <v>1083</v>
      </c>
      <c r="E372" s="21" t="s">
        <v>910</v>
      </c>
      <c r="F372" s="21" t="s">
        <v>25</v>
      </c>
      <c r="G372" s="21" t="s">
        <v>2144</v>
      </c>
      <c r="H372" s="21" t="s">
        <v>2079</v>
      </c>
      <c r="I372" s="21" t="s">
        <v>24</v>
      </c>
      <c r="J372" s="13" t="str">
        <f t="shared" si="5"/>
        <v>insert into chb_datacheck_condition (CHECKCONDITIONID,CHECKRULEID,CHECKMETHOD,SRCPROPERTY,COMPARETO,OBJVALUE,REMARK,STATUS) values ('W84807E5-DF86-D920-E050-007F010077FD','W84807E5-DF83-D920-E050-007F010077FD','inArray','ASSET_TYPE2','==','1701,1702,1703,1704,1705,1706','当资产/负债类别为资产管理产品时','E');</v>
      </c>
    </row>
    <row r="373" spans="1:10" x14ac:dyDescent="0.25">
      <c r="A373" s="17">
        <v>370</v>
      </c>
      <c r="B373" s="21" t="s">
        <v>1772</v>
      </c>
      <c r="C373" s="21" t="s">
        <v>451</v>
      </c>
      <c r="D373" s="21" t="s">
        <v>1083</v>
      </c>
      <c r="E373" s="21" t="s">
        <v>910</v>
      </c>
      <c r="F373" s="21" t="s">
        <v>25</v>
      </c>
      <c r="G373" s="21" t="s">
        <v>2103</v>
      </c>
      <c r="H373" s="21" t="s">
        <v>2075</v>
      </c>
      <c r="I373" s="21" t="s">
        <v>24</v>
      </c>
      <c r="J373" s="13" t="str">
        <f t="shared" si="5"/>
        <v>insert into chb_datacheck_condition (CHECKCONDITIONID,CHECKRULEID,CHECKMETHOD,SRCPROPERTY,COMPARETO,OBJVALUE,REMARK,STATUS) values ('W33E4A49-6810-5A9E-E050-107F01006A59','W84807E5-DF83-D920-E050-A07F010077FD','inArray','ASSET_TYPE2','==','2801,2802,2803,2804,2805,2806,2899','当资产/负债类别为委外投资时','E');</v>
      </c>
    </row>
    <row r="374" spans="1:10" x14ac:dyDescent="0.25">
      <c r="A374" s="17">
        <v>371</v>
      </c>
      <c r="B374" s="21" t="s">
        <v>1773</v>
      </c>
      <c r="C374" s="21" t="s">
        <v>452</v>
      </c>
      <c r="D374" s="21" t="s">
        <v>1083</v>
      </c>
      <c r="E374" s="21" t="s">
        <v>910</v>
      </c>
      <c r="F374" s="21" t="s">
        <v>25</v>
      </c>
      <c r="G374" s="21" t="s">
        <v>2144</v>
      </c>
      <c r="H374" s="21" t="s">
        <v>2079</v>
      </c>
      <c r="I374" s="21" t="s">
        <v>24</v>
      </c>
      <c r="J374" s="13" t="str">
        <f t="shared" si="5"/>
        <v>insert into chb_datacheck_condition (CHECKCONDITIONID,CHECKRULEID,CHECKMETHOD,SRCPROPERTY,COMPARETO,OBJVALUE,REMARK,STATUS) values ('W84807E5-DF87-D920-E050-007F010077FD','W84807E5-DF84-D920-E050-007F010077FD','inArray','ASSET_TYPE2','==','1701,1702,1703,1704,1705,1706','当资产/负债类别为资产管理产品时','E');</v>
      </c>
    </row>
    <row r="375" spans="1:10" x14ac:dyDescent="0.25">
      <c r="A375" s="17">
        <v>372</v>
      </c>
      <c r="B375" s="21" t="s">
        <v>1774</v>
      </c>
      <c r="C375" s="21" t="s">
        <v>453</v>
      </c>
      <c r="D375" s="21" t="s">
        <v>1083</v>
      </c>
      <c r="E375" s="21" t="s">
        <v>910</v>
      </c>
      <c r="F375" s="21" t="s">
        <v>25</v>
      </c>
      <c r="G375" s="21" t="s">
        <v>2103</v>
      </c>
      <c r="H375" s="21" t="s">
        <v>2075</v>
      </c>
      <c r="I375" s="21" t="s">
        <v>24</v>
      </c>
      <c r="J375" s="13" t="str">
        <f t="shared" si="5"/>
        <v>insert into chb_datacheck_condition (CHECKCONDITIONID,CHECKRULEID,CHECKMETHOD,SRCPROPERTY,COMPARETO,OBJVALUE,REMARK,STATUS) values ('W33E4A49-6810-5A9E-E050-007F01116A59','W84807E5-DF84-D920-E050-007FD10077FD','inArray','ASSET_TYPE2','==','2801,2802,2803,2804,2805,2806,2899','当资产/负债类别为委外投资时','E');</v>
      </c>
    </row>
    <row r="376" spans="1:10" x14ac:dyDescent="0.25">
      <c r="A376" s="17">
        <v>373</v>
      </c>
      <c r="B376" s="21" t="s">
        <v>461</v>
      </c>
      <c r="C376" s="21" t="s">
        <v>455</v>
      </c>
      <c r="D376" s="21" t="s">
        <v>1083</v>
      </c>
      <c r="E376" s="21" t="s">
        <v>910</v>
      </c>
      <c r="F376" s="21" t="s">
        <v>25</v>
      </c>
      <c r="G376" s="21" t="s">
        <v>2144</v>
      </c>
      <c r="H376" s="21" t="s">
        <v>2079</v>
      </c>
      <c r="I376" s="21" t="s">
        <v>24</v>
      </c>
      <c r="J376" s="13" t="str">
        <f t="shared" si="5"/>
        <v>insert into chb_datacheck_condition (CHECKCONDITIONID,CHECKRULEID,CHECKMETHOD,SRCPROPERTY,COMPARETO,OBJVALUE,REMARK,STATUS) values ('W84807E5-DF88-D920-E050-007F010077FD','W84807E5-DF85-D920-E050-007F010077FD','inArray','ASSET_TYPE2','==','1701,1702,1703,1704,1705,1706','当资产/负债类别为资产管理产品时','E');</v>
      </c>
    </row>
    <row r="377" spans="1:10" x14ac:dyDescent="0.25">
      <c r="A377" s="17">
        <v>374</v>
      </c>
      <c r="B377" s="21" t="s">
        <v>1775</v>
      </c>
      <c r="C377" s="21" t="s">
        <v>456</v>
      </c>
      <c r="D377" s="21" t="s">
        <v>1083</v>
      </c>
      <c r="E377" s="21" t="s">
        <v>910</v>
      </c>
      <c r="F377" s="21" t="s">
        <v>25</v>
      </c>
      <c r="G377" s="21" t="s">
        <v>2103</v>
      </c>
      <c r="H377" s="21" t="s">
        <v>2075</v>
      </c>
      <c r="I377" s="21" t="s">
        <v>24</v>
      </c>
      <c r="J377" s="13" t="str">
        <f t="shared" si="5"/>
        <v>insert into chb_datacheck_condition (CHECKCONDITIONID,CHECKRULEID,CHECKMETHOD,SRCPROPERTY,COMPARETO,OBJVALUE,REMARK,STATUS) values ('W84807E5-DF88-D920-E050-007FX10077FD','W84807E5-DF85-D920-EE52-007F010077FD','inArray','ASSET_TYPE2','==','2801,2802,2803,2804,2805,2806,2899','当资产/负债类别为委外投资时','E');</v>
      </c>
    </row>
    <row r="378" spans="1:10" x14ac:dyDescent="0.25">
      <c r="A378" s="17">
        <v>375</v>
      </c>
      <c r="B378" s="21" t="s">
        <v>465</v>
      </c>
      <c r="C378" s="21" t="s">
        <v>457</v>
      </c>
      <c r="D378" s="21" t="s">
        <v>1083</v>
      </c>
      <c r="E378" s="21" t="s">
        <v>910</v>
      </c>
      <c r="F378" s="21" t="s">
        <v>25</v>
      </c>
      <c r="G378" s="21" t="s">
        <v>2144</v>
      </c>
      <c r="H378" s="21" t="s">
        <v>2079</v>
      </c>
      <c r="I378" s="21" t="s">
        <v>24</v>
      </c>
      <c r="J378" s="13" t="str">
        <f t="shared" si="5"/>
        <v>insert into chb_datacheck_condition (CHECKCONDITIONID,CHECKRULEID,CHECKMETHOD,SRCPROPERTY,COMPARETO,OBJVALUE,REMARK,STATUS) values ('W84807E5-DF89-D920-E050-007F010077FD','W84807E5-DF86-D920-E050-007F010077FD','inArray','ASSET_TYPE2','==','1701,1702,1703,1704,1705,1706','当资产/负债类别为资产管理产品时','E');</v>
      </c>
    </row>
    <row r="379" spans="1:10" x14ac:dyDescent="0.25">
      <c r="A379" s="17">
        <v>376</v>
      </c>
      <c r="B379" s="21" t="s">
        <v>1776</v>
      </c>
      <c r="C379" s="21" t="s">
        <v>458</v>
      </c>
      <c r="D379" s="21" t="s">
        <v>1083</v>
      </c>
      <c r="E379" s="21" t="s">
        <v>910</v>
      </c>
      <c r="F379" s="21" t="s">
        <v>25</v>
      </c>
      <c r="G379" s="21" t="s">
        <v>2103</v>
      </c>
      <c r="H379" s="21" t="s">
        <v>2075</v>
      </c>
      <c r="I379" s="21" t="s">
        <v>24</v>
      </c>
      <c r="J379" s="13" t="str">
        <f t="shared" si="5"/>
        <v>insert into chb_datacheck_condition (CHECKCONDITIONID,CHECKRULEID,CHECKMETHOD,SRCPROPERTY,COMPARETO,OBJVALUE,REMARK,STATUS) values ('W84807E5-DF88-D920-E050-007F010777FD','W84807E5-DF86-D920-E050-007FA10077FD','inArray','ASSET_TYPE2','==','2801,2802,2803,2804,2805,2806,2899','当资产/负债类别为委外投资时','E');</v>
      </c>
    </row>
    <row r="380" spans="1:10" x14ac:dyDescent="0.25">
      <c r="A380" s="17">
        <v>377</v>
      </c>
      <c r="B380" s="21" t="s">
        <v>1777</v>
      </c>
      <c r="C380" s="21" t="s">
        <v>459</v>
      </c>
      <c r="D380" s="21" t="s">
        <v>1083</v>
      </c>
      <c r="E380" s="21" t="s">
        <v>910</v>
      </c>
      <c r="F380" s="21" t="s">
        <v>25</v>
      </c>
      <c r="G380" s="21" t="s">
        <v>2144</v>
      </c>
      <c r="H380" s="21" t="s">
        <v>2079</v>
      </c>
      <c r="I380" s="21" t="s">
        <v>24</v>
      </c>
      <c r="J380" s="13" t="str">
        <f t="shared" si="5"/>
        <v>insert into chb_datacheck_condition (CHECKCONDITIONID,CHECKRULEID,CHECKMETHOD,SRCPROPERTY,COMPARETO,OBJVALUE,REMARK,STATUS) values ('W84807E5-DF88-D920-E050-107F010077FD','W84807E5-DF87-D920-EE51-007F010077FD','inArray','ASSET_TYPE2','==','1701,1702,1703,1704,1705,1706','当资产/负债类别为资产管理产品时','E');</v>
      </c>
    </row>
    <row r="381" spans="1:10" x14ac:dyDescent="0.25">
      <c r="A381" s="17">
        <v>378</v>
      </c>
      <c r="B381" s="21" t="s">
        <v>1778</v>
      </c>
      <c r="C381" s="21" t="s">
        <v>460</v>
      </c>
      <c r="D381" s="21" t="s">
        <v>1083</v>
      </c>
      <c r="E381" s="21" t="s">
        <v>910</v>
      </c>
      <c r="F381" s="21" t="s">
        <v>25</v>
      </c>
      <c r="G381" s="21" t="s">
        <v>2416</v>
      </c>
      <c r="H381" s="21" t="s">
        <v>2075</v>
      </c>
      <c r="I381" s="21" t="s">
        <v>24</v>
      </c>
      <c r="J381" s="13" t="str">
        <f t="shared" si="5"/>
        <v>insert into chb_datacheck_condition (CHECKCONDITIONID,CHECKRULEID,CHECKMETHOD,SRCPROPERTY,COMPARETO,OBJVALUE,REMARK,STATUS) values ('W84807E5-DF88-D920-E050-107FX10077FD','W84807E5-DF87-D920-EE51-107F010077FD','inArray','ASSET_TYPE2','==','2801,2802,2803,2804,2805,2806,2899','当资产/负债类别为委外投资时','E');</v>
      </c>
    </row>
    <row r="382" spans="1:10" x14ac:dyDescent="0.25">
      <c r="A382" s="17">
        <v>379</v>
      </c>
      <c r="B382" s="21" t="s">
        <v>470</v>
      </c>
      <c r="C382" s="21" t="s">
        <v>461</v>
      </c>
      <c r="D382" s="21" t="s">
        <v>1083</v>
      </c>
      <c r="E382" s="21" t="s">
        <v>910</v>
      </c>
      <c r="F382" s="21" t="s">
        <v>25</v>
      </c>
      <c r="G382" s="21" t="s">
        <v>2144</v>
      </c>
      <c r="H382" s="21" t="s">
        <v>2079</v>
      </c>
      <c r="I382" s="21" t="s">
        <v>24</v>
      </c>
      <c r="J382" s="13" t="str">
        <f t="shared" si="5"/>
        <v>insert into chb_datacheck_condition (CHECKCONDITIONID,CHECKRULEID,CHECKMETHOD,SRCPROPERTY,COMPARETO,OBJVALUE,REMARK,STATUS) values ('W84807E5-DF8A-D920-E050-007F010077FD','W84807E5-DF88-D920-E050-007F010077FD','inArray','ASSET_TYPE2','==','1701,1702,1703,1704,1705,1706','当资产/负债类别为资产管理产品时','E');</v>
      </c>
    </row>
    <row r="383" spans="1:10" x14ac:dyDescent="0.25">
      <c r="A383" s="17">
        <v>380</v>
      </c>
      <c r="B383" s="21" t="s">
        <v>1779</v>
      </c>
      <c r="C383" s="21" t="s">
        <v>462</v>
      </c>
      <c r="D383" s="21" t="s">
        <v>1083</v>
      </c>
      <c r="E383" s="21" t="s">
        <v>910</v>
      </c>
      <c r="F383" s="21" t="s">
        <v>25</v>
      </c>
      <c r="G383" s="21" t="s">
        <v>2103</v>
      </c>
      <c r="H383" s="21" t="s">
        <v>2075</v>
      </c>
      <c r="I383" s="21" t="s">
        <v>24</v>
      </c>
      <c r="J383" s="13" t="str">
        <f t="shared" si="5"/>
        <v>insert into chb_datacheck_condition (CHECKCONDITIONID,CHECKRULEID,CHECKMETHOD,SRCPROPERTY,COMPARETO,OBJVALUE,REMARK,STATUS) values ('W84807E5-DF88-D920-E050-007F010977FD','W84807E5-DF88-D920-E050-007F010877FD','inArray','ASSET_TYPE2','==','2801,2802,2803,2804,2805,2806,2899','当资产/负债类别为委外投资时','E');</v>
      </c>
    </row>
    <row r="384" spans="1:10" x14ac:dyDescent="0.25">
      <c r="A384" s="17">
        <v>381</v>
      </c>
      <c r="B384" s="21" t="s">
        <v>1780</v>
      </c>
      <c r="C384" s="21" t="s">
        <v>463</v>
      </c>
      <c r="D384" s="21" t="s">
        <v>1083</v>
      </c>
      <c r="E384" s="21" t="s">
        <v>910</v>
      </c>
      <c r="F384" s="21" t="s">
        <v>25</v>
      </c>
      <c r="G384" s="21" t="s">
        <v>2103</v>
      </c>
      <c r="H384" s="21" t="s">
        <v>2075</v>
      </c>
      <c r="I384" s="21" t="s">
        <v>24</v>
      </c>
      <c r="J384" s="13" t="str">
        <f t="shared" si="5"/>
        <v>insert into chb_datacheck_condition (CHECKCONDITIONID,CHECKRULEID,CHECKMETHOD,SRCPROPERTY,COMPARETO,OBJVALUE,REMARK,STATUS) values ('W84807E5-DF88-D920-E050-107F010977FD','W84807E5-DF88-D920-E050-107F010877FD','inArray','ASSET_TYPE2','==','2801,2802,2803,2804,2805,2806,2899','当资产/负债类别为委外投资时','E');</v>
      </c>
    </row>
    <row r="385" spans="1:10" x14ac:dyDescent="0.25">
      <c r="A385" s="17">
        <v>382</v>
      </c>
      <c r="B385" s="21" t="s">
        <v>471</v>
      </c>
      <c r="C385" s="21" t="s">
        <v>464</v>
      </c>
      <c r="D385" s="21" t="s">
        <v>1083</v>
      </c>
      <c r="E385" s="21" t="s">
        <v>910</v>
      </c>
      <c r="F385" s="21" t="s">
        <v>25</v>
      </c>
      <c r="G385" s="21" t="s">
        <v>2144</v>
      </c>
      <c r="H385" s="21" t="s">
        <v>2079</v>
      </c>
      <c r="I385" s="21" t="s">
        <v>24</v>
      </c>
      <c r="J385" s="13" t="str">
        <f t="shared" si="5"/>
        <v>insert into chb_datacheck_condition (CHECKCONDITIONID,CHECKRULEID,CHECKMETHOD,SRCPROPERTY,COMPARETO,OBJVALUE,REMARK,STATUS) values ('W84807E5-DF8A-D920-E050-107F010077FD','W84807E5-DF88-D920-E050-207F010877FD','inArray','ASSET_TYPE2','==','1701,1702,1703,1704,1705,1706','当资产/负债类别为资产管理产品时','E');</v>
      </c>
    </row>
    <row r="386" spans="1:10" x14ac:dyDescent="0.25">
      <c r="A386" s="17">
        <v>383</v>
      </c>
      <c r="B386" s="21" t="s">
        <v>472</v>
      </c>
      <c r="C386" s="21" t="s">
        <v>465</v>
      </c>
      <c r="D386" s="21" t="s">
        <v>1083</v>
      </c>
      <c r="E386" s="21" t="s">
        <v>910</v>
      </c>
      <c r="F386" s="21" t="s">
        <v>25</v>
      </c>
      <c r="G386" s="21" t="s">
        <v>2144</v>
      </c>
      <c r="H386" s="21" t="s">
        <v>2079</v>
      </c>
      <c r="I386" s="21" t="s">
        <v>24</v>
      </c>
      <c r="J386" s="13" t="str">
        <f t="shared" si="5"/>
        <v>insert into chb_datacheck_condition (CHECKCONDITIONID,CHECKRULEID,CHECKMETHOD,SRCPROPERTY,COMPARETO,OBJVALUE,REMARK,STATUS) values ('W84807E5-DF8B-D920-E050-007F010077FD','W84807E5-DF89-D920-E050-007F010077FD','inArray','ASSET_TYPE2','==','1701,1702,1703,1704,1705,1706','当资产/负债类别为资产管理产品时','E');</v>
      </c>
    </row>
    <row r="387" spans="1:10" x14ac:dyDescent="0.25">
      <c r="A387" s="17">
        <v>384</v>
      </c>
      <c r="B387" s="21" t="s">
        <v>1781</v>
      </c>
      <c r="C387" s="21" t="s">
        <v>466</v>
      </c>
      <c r="D387" s="21" t="s">
        <v>1083</v>
      </c>
      <c r="E387" s="21" t="s">
        <v>910</v>
      </c>
      <c r="F387" s="21" t="s">
        <v>25</v>
      </c>
      <c r="G387" s="21" t="s">
        <v>2103</v>
      </c>
      <c r="H387" s="21" t="s">
        <v>2075</v>
      </c>
      <c r="I387" s="21" t="s">
        <v>24</v>
      </c>
      <c r="J387" s="13" t="str">
        <f t="shared" si="5"/>
        <v>insert into chb_datacheck_condition (CHECKCONDITIONID,CHECKRULEID,CHECKMETHOD,SRCPROPERTY,COMPARETO,OBJVALUE,REMARK,STATUS) values ('W53E4A49-6811-5A9E-E050-107F01006A21','W84807E5-DF89-D920-E050-107F010077FD','inArray','ASSET_TYPE2','==','2801,2802,2803,2804,2805,2806,2899','当资产/负债类别为委外投资时','E');</v>
      </c>
    </row>
    <row r="388" spans="1:10" x14ac:dyDescent="0.25">
      <c r="A388" s="17">
        <v>385</v>
      </c>
      <c r="B388" s="21" t="s">
        <v>1782</v>
      </c>
      <c r="C388" s="21" t="s">
        <v>467</v>
      </c>
      <c r="D388" s="21" t="s">
        <v>1083</v>
      </c>
      <c r="E388" s="21" t="s">
        <v>910</v>
      </c>
      <c r="F388" s="21" t="s">
        <v>25</v>
      </c>
      <c r="G388" s="21" t="s">
        <v>2144</v>
      </c>
      <c r="H388" s="21" t="s">
        <v>2079</v>
      </c>
      <c r="I388" s="21" t="s">
        <v>24</v>
      </c>
      <c r="J388" s="13" t="str">
        <f t="shared" si="5"/>
        <v>insert into chb_datacheck_condition (CHECKCONDITIONID,CHECKRULEID,CHECKMETHOD,SRCPROPERTY,COMPARETO,OBJVALUE,REMARK,STATUS) values ('W84807E5-DF8B-D920-E050-107F010077FD','W84807E5-DF89-D920-E050-207F010077FD','inArray','ASSET_TYPE2','==','1701,1702,1703,1704,1705,1706','当资产/负债类别为资产管理产品时','E');</v>
      </c>
    </row>
    <row r="389" spans="1:10" x14ac:dyDescent="0.25">
      <c r="A389" s="17">
        <v>386</v>
      </c>
      <c r="B389" s="21" t="s">
        <v>1783</v>
      </c>
      <c r="C389" s="21" t="s">
        <v>468</v>
      </c>
      <c r="D389" s="21" t="s">
        <v>1083</v>
      </c>
      <c r="E389" s="21" t="s">
        <v>910</v>
      </c>
      <c r="F389" s="21" t="s">
        <v>25</v>
      </c>
      <c r="G389" s="21" t="s">
        <v>2076</v>
      </c>
      <c r="H389" s="21" t="s">
        <v>2077</v>
      </c>
      <c r="I389" s="21" t="s">
        <v>24</v>
      </c>
      <c r="J389" s="13" t="str">
        <f t="shared" ref="J389:J452" si="6">CONCATENATE("insert into chb_datacheck_condition (CHECKCONDITIONID,CHECKRULEID,CHECKMETHOD,SRCPROPERTY,COMPARETO,OBJVALUE,REMARK,STATUS) values ('",B389,"','",C389,"','",D389,"','",E389,"','",F389,"','",G389,"','",H389,"','",I389,"');")</f>
        <v>insert into chb_datacheck_condition (CHECKCONDITIONID,CHECKRULEID,CHECKMETHOD,SRCPROPERTY,COMPARETO,OBJVALUE,REMARK,STATUS) values ('W84807E5-DF3F-D920-E050-107F010077FD','W84807E5-DF89-D920-E050-307F010077FD','inArray','ASSET_TYPE2','==','1202,1203,1204,1205,1206,1207,1208,1209,2201,2202','当资产/负债类别为非标准化债权类资产/新增可投资资产时','E');</v>
      </c>
    </row>
    <row r="390" spans="1:10" x14ac:dyDescent="0.25">
      <c r="A390" s="17">
        <v>387</v>
      </c>
      <c r="B390" s="21" t="s">
        <v>1784</v>
      </c>
      <c r="C390" s="21" t="s">
        <v>469</v>
      </c>
      <c r="D390" s="21" t="s">
        <v>1083</v>
      </c>
      <c r="E390" s="21" t="s">
        <v>910</v>
      </c>
      <c r="F390" s="21" t="s">
        <v>25</v>
      </c>
      <c r="G390" s="21" t="s">
        <v>2113</v>
      </c>
      <c r="H390" s="21" t="s">
        <v>2114</v>
      </c>
      <c r="I390" s="21" t="s">
        <v>24</v>
      </c>
      <c r="J390" s="13" t="str">
        <f t="shared" si="6"/>
        <v>insert into chb_datacheck_condition (CHECKCONDITIONID,CHECKRULEID,CHECKMETHOD,SRCPROPERTY,COMPARETO,OBJVALUE,REMARK,STATUS) values ('W53E4A49-6810-5A9E-E050-107F01006A21','W84807E5-DF89-D920-E050-407F010077FD','inArray','ASSET_TYPE2','==','1299,1399,1599,2299','当资产/负债类别为各类资产的其他项时','E');</v>
      </c>
    </row>
    <row r="391" spans="1:10" x14ac:dyDescent="0.25">
      <c r="A391" s="17">
        <v>388</v>
      </c>
      <c r="B391" s="21" t="s">
        <v>1785</v>
      </c>
      <c r="C391" s="21" t="s">
        <v>470</v>
      </c>
      <c r="D391" s="21" t="s">
        <v>1083</v>
      </c>
      <c r="E391" s="21" t="s">
        <v>910</v>
      </c>
      <c r="F391" s="21" t="s">
        <v>25</v>
      </c>
      <c r="G391" s="21" t="s">
        <v>2191</v>
      </c>
      <c r="H391" s="21" t="s">
        <v>2192</v>
      </c>
      <c r="I391" s="21" t="s">
        <v>24</v>
      </c>
      <c r="J391" s="13" t="str">
        <f t="shared" si="6"/>
        <v>insert into chb_datacheck_condition (CHECKCONDITIONID,CHECKRULEID,CHECKMETHOD,SRCPROPERTY,COMPARETO,OBJVALUE,REMARK,STATUS) values ('W84807E5-DF38-D920-E050-0X7F112077FD','W84807E5-DF8A-D920-E050-007F010077FD','inArray','ASSET_TYPE2','==','2801,2802,2803,2804,2805,2806,2899,1701,1702,1703,1704,1705,1706','当资产/负债类别为委外投资或者为资产管理产品时','E');</v>
      </c>
    </row>
    <row r="392" spans="1:10" x14ac:dyDescent="0.25">
      <c r="A392" s="17">
        <v>389</v>
      </c>
      <c r="B392" s="21" t="s">
        <v>473</v>
      </c>
      <c r="C392" s="21" t="s">
        <v>470</v>
      </c>
      <c r="D392" s="21" t="s">
        <v>40</v>
      </c>
      <c r="E392" s="21" t="s">
        <v>1032</v>
      </c>
      <c r="F392" s="21" t="s">
        <v>25</v>
      </c>
      <c r="G392" s="21" t="s">
        <v>53</v>
      </c>
      <c r="H392" s="21" t="s">
        <v>2193</v>
      </c>
      <c r="I392" s="21" t="s">
        <v>24</v>
      </c>
      <c r="J392" s="13" t="str">
        <f t="shared" si="6"/>
        <v>insert into chb_datacheck_condition (CHECKCONDITIONID,CHECKRULEID,CHECKMETHOD,SRCPROPERTY,COMPARETO,OBJVALUE,REMARK,STATUS) values ('W84807E5-DF8C-D920-E050-007F010077FD','W84807E5-DF8A-D920-E050-007F010077FD','compareValue','RATE_FLAG','==','01','是否有预期收益率为是','E');</v>
      </c>
    </row>
    <row r="393" spans="1:10" x14ac:dyDescent="0.25">
      <c r="A393" s="17">
        <v>390</v>
      </c>
      <c r="B393" s="21" t="s">
        <v>474</v>
      </c>
      <c r="C393" s="21" t="s">
        <v>473</v>
      </c>
      <c r="D393" s="21" t="s">
        <v>40</v>
      </c>
      <c r="E393" s="21" t="s">
        <v>1032</v>
      </c>
      <c r="F393" s="21" t="s">
        <v>25</v>
      </c>
      <c r="G393" s="21" t="s">
        <v>54</v>
      </c>
      <c r="H393" s="21" t="s">
        <v>2194</v>
      </c>
      <c r="I393" s="21" t="s">
        <v>24</v>
      </c>
      <c r="J393" s="13" t="str">
        <f t="shared" si="6"/>
        <v>insert into chb_datacheck_condition (CHECKCONDITIONID,CHECKRULEID,CHECKMETHOD,SRCPROPERTY,COMPARETO,OBJVALUE,REMARK,STATUS) values ('W84807E5-DF8D-D920-E050-007F010077FD','W84807E5-DF8C-D920-E050-007F010077FD','compareValue','RATE_FLAG','==','02','是否有预期收益率为否','E');</v>
      </c>
    </row>
    <row r="394" spans="1:10" x14ac:dyDescent="0.25">
      <c r="A394" s="17">
        <v>391</v>
      </c>
      <c r="B394" s="21" t="s">
        <v>475</v>
      </c>
      <c r="C394" s="21" t="s">
        <v>476</v>
      </c>
      <c r="D394" s="21" t="s">
        <v>40</v>
      </c>
      <c r="E394" s="21" t="s">
        <v>1032</v>
      </c>
      <c r="F394" s="21" t="s">
        <v>25</v>
      </c>
      <c r="G394" s="21" t="s">
        <v>54</v>
      </c>
      <c r="H394" s="21" t="s">
        <v>2194</v>
      </c>
      <c r="I394" s="21" t="s">
        <v>24</v>
      </c>
      <c r="J394" s="13" t="str">
        <f t="shared" si="6"/>
        <v>insert into chb_datacheck_condition (CHECKCONDITIONID,CHECKRULEID,CHECKMETHOD,SRCPROPERTY,COMPARETO,OBJVALUE,REMARK,STATUS) values ('W84807E5-DF8E-D920-E050-007F010077FD','W84807E5-DF8F-D920-E050-007F010077FD','compareValue','RATE_FLAG','==','02','是否有预期收益率为否','E');</v>
      </c>
    </row>
    <row r="395" spans="1:10" x14ac:dyDescent="0.25">
      <c r="A395" s="17">
        <v>392</v>
      </c>
      <c r="B395" s="21" t="s">
        <v>476</v>
      </c>
      <c r="C395" s="21" t="s">
        <v>477</v>
      </c>
      <c r="D395" s="21" t="s">
        <v>1083</v>
      </c>
      <c r="E395" s="21" t="s">
        <v>910</v>
      </c>
      <c r="F395" s="21" t="s">
        <v>25</v>
      </c>
      <c r="G395" s="21" t="s">
        <v>2144</v>
      </c>
      <c r="H395" s="21" t="s">
        <v>2079</v>
      </c>
      <c r="I395" s="21" t="s">
        <v>24</v>
      </c>
      <c r="J395" s="13" t="str">
        <f t="shared" si="6"/>
        <v>insert into chb_datacheck_condition (CHECKCONDITIONID,CHECKRULEID,CHECKMETHOD,SRCPROPERTY,COMPARETO,OBJVALUE,REMARK,STATUS) values ('W84807E5-DF8F-D920-E050-007F010077FD','W84807E5-DF90-D920-E050-007F010077FD','inArray','ASSET_TYPE2','==','1701,1702,1703,1704,1705,1706','当资产/负债类别为资产管理产品时','E');</v>
      </c>
    </row>
    <row r="396" spans="1:10" x14ac:dyDescent="0.25">
      <c r="A396" s="17">
        <v>393</v>
      </c>
      <c r="B396" s="21" t="s">
        <v>477</v>
      </c>
      <c r="C396" s="21" t="s">
        <v>478</v>
      </c>
      <c r="D396" s="21" t="s">
        <v>1083</v>
      </c>
      <c r="E396" s="21" t="s">
        <v>910</v>
      </c>
      <c r="F396" s="21" t="s">
        <v>25</v>
      </c>
      <c r="G396" s="21" t="s">
        <v>2144</v>
      </c>
      <c r="H396" s="21" t="s">
        <v>2079</v>
      </c>
      <c r="I396" s="21" t="s">
        <v>24</v>
      </c>
      <c r="J396" s="13" t="str">
        <f t="shared" si="6"/>
        <v>insert into chb_datacheck_condition (CHECKCONDITIONID,CHECKRULEID,CHECKMETHOD,SRCPROPERTY,COMPARETO,OBJVALUE,REMARK,STATUS) values ('W84807E5-DF90-D920-E050-007F010077FD','W84807E5-DF91-D920-E050-007F010077FD','inArray','ASSET_TYPE2','==','1701,1702,1703,1704,1705,1706','当资产/负债类别为资产管理产品时','E');</v>
      </c>
    </row>
    <row r="397" spans="1:10" x14ac:dyDescent="0.25">
      <c r="A397" s="17">
        <v>394</v>
      </c>
      <c r="B397" s="21" t="s">
        <v>1786</v>
      </c>
      <c r="C397" s="21" t="s">
        <v>479</v>
      </c>
      <c r="D397" s="21" t="s">
        <v>1083</v>
      </c>
      <c r="E397" s="21" t="s">
        <v>910</v>
      </c>
      <c r="F397" s="21" t="s">
        <v>25</v>
      </c>
      <c r="G397" s="21" t="s">
        <v>2144</v>
      </c>
      <c r="H397" s="21" t="s">
        <v>2079</v>
      </c>
      <c r="I397" s="21" t="s">
        <v>24</v>
      </c>
      <c r="J397" s="13" t="str">
        <f t="shared" si="6"/>
        <v>insert into chb_datacheck_condition (CHECKCONDITIONID,CHECKRULEID,CHECKMETHOD,SRCPROPERTY,COMPARETO,OBJVALUE,REMARK,STATUS) values ('W84807E5-DF92-D920-E050-007F010077FD','W84807E5-DF93-D920-E050-007F010077FD','inArray','ASSET_TYPE2','==','1701,1702,1703,1704,1705,1706','当资产/负债类别为资产管理产品时','E');</v>
      </c>
    </row>
    <row r="398" spans="1:10" x14ac:dyDescent="0.25">
      <c r="A398" s="17">
        <v>395</v>
      </c>
      <c r="B398" s="21" t="s">
        <v>1787</v>
      </c>
      <c r="C398" s="21" t="s">
        <v>480</v>
      </c>
      <c r="D398" s="21" t="s">
        <v>1083</v>
      </c>
      <c r="E398" s="21" t="s">
        <v>910</v>
      </c>
      <c r="F398" s="21" t="s">
        <v>25</v>
      </c>
      <c r="G398" s="21" t="s">
        <v>2103</v>
      </c>
      <c r="H398" s="21" t="s">
        <v>2075</v>
      </c>
      <c r="I398" s="21" t="s">
        <v>24</v>
      </c>
      <c r="J398" s="13" t="str">
        <f t="shared" si="6"/>
        <v>insert into chb_datacheck_condition (CHECKCONDITIONID,CHECKRULEID,CHECKMETHOD,SRCPROPERTY,COMPARETO,OBJVALUE,REMARK,STATUS) values ('W84807E5-DF92-D920-E050-007F610077FD','W84807E5-DF93-D920-E050-007F030077FD','inArray','ASSET_TYPE2','==','2801,2802,2803,2804,2805,2806,2899','当资产/负债类别为委外投资时','E');</v>
      </c>
    </row>
    <row r="399" spans="1:10" x14ac:dyDescent="0.25">
      <c r="A399" s="17">
        <v>396</v>
      </c>
      <c r="B399" s="21" t="s">
        <v>1788</v>
      </c>
      <c r="C399" s="21" t="s">
        <v>481</v>
      </c>
      <c r="D399" s="21" t="s">
        <v>1083</v>
      </c>
      <c r="E399" s="21" t="s">
        <v>910</v>
      </c>
      <c r="F399" s="21" t="s">
        <v>25</v>
      </c>
      <c r="G399" s="21" t="s">
        <v>2103</v>
      </c>
      <c r="H399" s="21" t="s">
        <v>2075</v>
      </c>
      <c r="I399" s="21" t="s">
        <v>24</v>
      </c>
      <c r="J399" s="13" t="str">
        <f t="shared" si="6"/>
        <v>insert into chb_datacheck_condition (CHECKCONDITIONID,CHECKRULEID,CHECKMETHOD,SRCPROPERTY,COMPARETO,OBJVALUE,REMARK,STATUS) values ('W84807E5-DF92-D920-E050-107F610077FD','W84807E5-DF93-D920-E050-107F010077FD','inArray','ASSET_TYPE2','==','2801,2802,2803,2804,2805,2806,2899','当资产/负债类别为委外投资时','E');</v>
      </c>
    </row>
    <row r="400" spans="1:10" x14ac:dyDescent="0.25">
      <c r="A400" s="17">
        <v>397</v>
      </c>
      <c r="B400" s="21" t="s">
        <v>1789</v>
      </c>
      <c r="C400" s="21" t="s">
        <v>482</v>
      </c>
      <c r="D400" s="21" t="s">
        <v>1083</v>
      </c>
      <c r="E400" s="21" t="s">
        <v>910</v>
      </c>
      <c r="F400" s="21" t="s">
        <v>25</v>
      </c>
      <c r="G400" s="21" t="s">
        <v>2144</v>
      </c>
      <c r="H400" s="21" t="s">
        <v>2079</v>
      </c>
      <c r="I400" s="21" t="s">
        <v>24</v>
      </c>
      <c r="J400" s="13" t="str">
        <f t="shared" si="6"/>
        <v>insert into chb_datacheck_condition (CHECKCONDITIONID,CHECKRULEID,CHECKMETHOD,SRCPROPERTY,COMPARETO,OBJVALUE,REMARK,STATUS) values ('W84807E5-DF92-D920-E050-107F010077FD','W84807E5-DF93-D920-E050-107F030077FD','inArray','ASSET_TYPE2','==','1701,1702,1703,1704,1705,1706','当资产/负债类别为资产管理产品时','E');</v>
      </c>
    </row>
    <row r="401" spans="1:10" x14ac:dyDescent="0.25">
      <c r="A401" s="17">
        <v>398</v>
      </c>
      <c r="B401" s="21" t="s">
        <v>479</v>
      </c>
      <c r="C401" s="21" t="s">
        <v>484</v>
      </c>
      <c r="D401" s="21" t="s">
        <v>1083</v>
      </c>
      <c r="E401" s="21" t="s">
        <v>910</v>
      </c>
      <c r="F401" s="21" t="s">
        <v>25</v>
      </c>
      <c r="G401" s="21" t="s">
        <v>2144</v>
      </c>
      <c r="H401" s="21" t="s">
        <v>2079</v>
      </c>
      <c r="I401" s="21" t="s">
        <v>24</v>
      </c>
      <c r="J401" s="13" t="str">
        <f t="shared" si="6"/>
        <v>insert into chb_datacheck_condition (CHECKCONDITIONID,CHECKRULEID,CHECKMETHOD,SRCPROPERTY,COMPARETO,OBJVALUE,REMARK,STATUS) values ('W84807E5-DF93-D920-E050-007F010077FD','W84807E5-DF95-D920-E050-007F010077FD','inArray','ASSET_TYPE2','==','1701,1702,1703,1704,1705,1706','当资产/负债类别为资产管理产品时','E');</v>
      </c>
    </row>
    <row r="402" spans="1:10" x14ac:dyDescent="0.25">
      <c r="A402" s="17">
        <v>399</v>
      </c>
      <c r="B402" s="21" t="s">
        <v>1790</v>
      </c>
      <c r="C402" s="21" t="s">
        <v>485</v>
      </c>
      <c r="D402" s="21" t="s">
        <v>1083</v>
      </c>
      <c r="E402" s="21" t="s">
        <v>910</v>
      </c>
      <c r="F402" s="21" t="s">
        <v>25</v>
      </c>
      <c r="G402" s="21" t="s">
        <v>2103</v>
      </c>
      <c r="H402" s="21" t="s">
        <v>2075</v>
      </c>
      <c r="I402" s="21" t="s">
        <v>24</v>
      </c>
      <c r="J402" s="13" t="str">
        <f t="shared" si="6"/>
        <v>insert into chb_datacheck_condition (CHECKCONDITIONID,CHECKRULEID,CHECKMETHOD,SRCPROPERTY,COMPARETO,OBJVALUE,REMARK,STATUS) values ('W84807E5-DF92-D920-E050-007F610677FD','W84807E5-DF95-D920-E050-007F710077FD','inArray','ASSET_TYPE2','==','2801,2802,2803,2804,2805,2806,2899','当资产/负债类别为委外投资时','E');</v>
      </c>
    </row>
    <row r="403" spans="1:10" x14ac:dyDescent="0.25">
      <c r="A403" s="17">
        <v>400</v>
      </c>
      <c r="B403" s="21" t="s">
        <v>1791</v>
      </c>
      <c r="C403" s="21" t="s">
        <v>486</v>
      </c>
      <c r="D403" s="21" t="s">
        <v>1083</v>
      </c>
      <c r="E403" s="21" t="s">
        <v>910</v>
      </c>
      <c r="F403" s="21" t="s">
        <v>25</v>
      </c>
      <c r="G403" s="21" t="s">
        <v>2103</v>
      </c>
      <c r="H403" s="21" t="s">
        <v>2075</v>
      </c>
      <c r="I403" s="21" t="s">
        <v>24</v>
      </c>
      <c r="J403" s="13" t="str">
        <f t="shared" si="6"/>
        <v>insert into chb_datacheck_condition (CHECKCONDITIONID,CHECKRULEID,CHECKMETHOD,SRCPROPERTY,COMPARETO,OBJVALUE,REMARK,STATUS) values ('W84807E5-DF92-D920-E050-107F610677FD','W84807E5-DF95-D920-E050-107F010077FD','inArray','ASSET_TYPE2','==','2801,2802,2803,2804,2805,2806,2899','当资产/负债类别为委外投资时','E');</v>
      </c>
    </row>
    <row r="404" spans="1:10" x14ac:dyDescent="0.25">
      <c r="A404" s="17">
        <v>401</v>
      </c>
      <c r="B404" s="21" t="s">
        <v>481</v>
      </c>
      <c r="C404" s="21" t="s">
        <v>487</v>
      </c>
      <c r="D404" s="21" t="s">
        <v>1083</v>
      </c>
      <c r="E404" s="21" t="s">
        <v>910</v>
      </c>
      <c r="F404" s="21" t="s">
        <v>25</v>
      </c>
      <c r="G404" s="21" t="s">
        <v>2144</v>
      </c>
      <c r="H404" s="21" t="s">
        <v>2079</v>
      </c>
      <c r="I404" s="21" t="s">
        <v>24</v>
      </c>
      <c r="J404" s="13" t="str">
        <f t="shared" si="6"/>
        <v>insert into chb_datacheck_condition (CHECKCONDITIONID,CHECKRULEID,CHECKMETHOD,SRCPROPERTY,COMPARETO,OBJVALUE,REMARK,STATUS) values ('W84807E5-DF93-D920-E050-107F010077FD','W84807E5-DF95-D920-E050-107F710077FD','inArray','ASSET_TYPE2','==','1701,1702,1703,1704,1705,1706','当资产/负债类别为资产管理产品时','E');</v>
      </c>
    </row>
    <row r="405" spans="1:10" x14ac:dyDescent="0.25">
      <c r="A405" s="17">
        <v>402</v>
      </c>
      <c r="B405" s="21" t="s">
        <v>483</v>
      </c>
      <c r="C405" s="21" t="s">
        <v>489</v>
      </c>
      <c r="D405" s="21" t="s">
        <v>1083</v>
      </c>
      <c r="E405" s="21" t="s">
        <v>910</v>
      </c>
      <c r="F405" s="21" t="s">
        <v>25</v>
      </c>
      <c r="G405" s="21" t="s">
        <v>2144</v>
      </c>
      <c r="H405" s="21" t="s">
        <v>2079</v>
      </c>
      <c r="I405" s="21" t="s">
        <v>24</v>
      </c>
      <c r="J405" s="13" t="str">
        <f t="shared" si="6"/>
        <v>insert into chb_datacheck_condition (CHECKCONDITIONID,CHECKRULEID,CHECKMETHOD,SRCPROPERTY,COMPARETO,OBJVALUE,REMARK,STATUS) values ('W84807E5-DF94-D920-E050-007F010077FD','W84807E5-DF97-D920-E050-007F010077FD','inArray','ASSET_TYPE2','==','1701,1702,1703,1704,1705,1706','当资产/负债类别为资产管理产品时','E');</v>
      </c>
    </row>
    <row r="406" spans="1:10" x14ac:dyDescent="0.25">
      <c r="A406" s="17">
        <v>403</v>
      </c>
      <c r="B406" s="21" t="s">
        <v>1792</v>
      </c>
      <c r="C406" s="21" t="s">
        <v>490</v>
      </c>
      <c r="D406" s="21" t="s">
        <v>1083</v>
      </c>
      <c r="E406" s="21" t="s">
        <v>910</v>
      </c>
      <c r="F406" s="21" t="s">
        <v>25</v>
      </c>
      <c r="G406" s="21" t="s">
        <v>2103</v>
      </c>
      <c r="H406" s="21" t="s">
        <v>2075</v>
      </c>
      <c r="I406" s="21" t="s">
        <v>24</v>
      </c>
      <c r="J406" s="13" t="str">
        <f t="shared" si="6"/>
        <v>insert into chb_datacheck_condition (CHECKCONDITIONID,CHECKRULEID,CHECKMETHOD,SRCPROPERTY,COMPARETO,OBJVALUE,REMARK,STATUS) values ('W84807E5-DF92-D920-E050-007F910077FD','W84807E5-DF97-D920-E050-007F910077FD','inArray','ASSET_TYPE2','==','2801,2802,2803,2804,2805,2806,2899','当资产/负债类别为委外投资时','E');</v>
      </c>
    </row>
    <row r="407" spans="1:10" x14ac:dyDescent="0.25">
      <c r="A407" s="17">
        <v>404</v>
      </c>
      <c r="B407" s="21" t="s">
        <v>1793</v>
      </c>
      <c r="C407" s="21" t="s">
        <v>491</v>
      </c>
      <c r="D407" s="21" t="s">
        <v>1083</v>
      </c>
      <c r="E407" s="21" t="s">
        <v>910</v>
      </c>
      <c r="F407" s="21" t="s">
        <v>25</v>
      </c>
      <c r="G407" s="21" t="s">
        <v>2144</v>
      </c>
      <c r="H407" s="21" t="s">
        <v>2079</v>
      </c>
      <c r="I407" s="21" t="s">
        <v>24</v>
      </c>
      <c r="J407" s="13" t="str">
        <f t="shared" si="6"/>
        <v>insert into chb_datacheck_condition (CHECKCONDITIONID,CHECKRULEID,CHECKMETHOD,SRCPROPERTY,COMPARETO,OBJVALUE,REMARK,STATUS) values ('W84807E5-DF94-D920-E050-107F010077FD','W84807E5-DF97-D920-E050-107F010077FD','inArray','ASSET_TYPE2','==','1701,1702,1703,1704,1705,1706','当资产/负债类别为资产管理产品时','E');</v>
      </c>
    </row>
    <row r="408" spans="1:10" x14ac:dyDescent="0.25">
      <c r="A408" s="17">
        <v>405</v>
      </c>
      <c r="B408" s="21" t="s">
        <v>1794</v>
      </c>
      <c r="C408" s="21" t="s">
        <v>492</v>
      </c>
      <c r="D408" s="21" t="s">
        <v>1083</v>
      </c>
      <c r="E408" s="21" t="s">
        <v>910</v>
      </c>
      <c r="F408" s="21" t="s">
        <v>25</v>
      </c>
      <c r="G408" s="21" t="s">
        <v>2103</v>
      </c>
      <c r="H408" s="21" t="s">
        <v>2075</v>
      </c>
      <c r="I408" s="21" t="s">
        <v>24</v>
      </c>
      <c r="J408" s="13" t="str">
        <f t="shared" si="6"/>
        <v>insert into chb_datacheck_condition (CHECKCONDITIONID,CHECKRULEID,CHECKMETHOD,SRCPROPERTY,COMPARETO,OBJVALUE,REMARK,STATUS) values ('W84807E5-DF92-D920-E050-107F910077FD','W84807E5-DF97-D920-E050-107F910077FD','inArray','ASSET_TYPE2','==','2801,2802,2803,2804,2805,2806,2899','当资产/负债类别为委外投资时','E');</v>
      </c>
    </row>
    <row r="409" spans="1:10" x14ac:dyDescent="0.25">
      <c r="A409" s="17">
        <v>406</v>
      </c>
      <c r="B409" s="21" t="s">
        <v>484</v>
      </c>
      <c r="C409" s="21" t="s">
        <v>494</v>
      </c>
      <c r="D409" s="21" t="s">
        <v>1083</v>
      </c>
      <c r="E409" s="21" t="s">
        <v>910</v>
      </c>
      <c r="F409" s="21" t="s">
        <v>25</v>
      </c>
      <c r="G409" s="21" t="s">
        <v>2144</v>
      </c>
      <c r="H409" s="21" t="s">
        <v>2079</v>
      </c>
      <c r="I409" s="21" t="s">
        <v>24</v>
      </c>
      <c r="J409" s="13" t="str">
        <f t="shared" si="6"/>
        <v>insert into chb_datacheck_condition (CHECKCONDITIONID,CHECKRULEID,CHECKMETHOD,SRCPROPERTY,COMPARETO,OBJVALUE,REMARK,STATUS) values ('W84807E5-DF95-D920-E050-007F010077FD','W84807E5-DF99-D920-E050-007F010077FD','inArray','ASSET_TYPE2','==','1701,1702,1703,1704,1705,1706','当资产/负债类别为资产管理产品时','E');</v>
      </c>
    </row>
    <row r="410" spans="1:10" x14ac:dyDescent="0.25">
      <c r="A410" s="17">
        <v>407</v>
      </c>
      <c r="B410" s="21" t="s">
        <v>1795</v>
      </c>
      <c r="C410" s="21" t="s">
        <v>495</v>
      </c>
      <c r="D410" s="21" t="s">
        <v>1083</v>
      </c>
      <c r="E410" s="21" t="s">
        <v>910</v>
      </c>
      <c r="F410" s="21" t="s">
        <v>25</v>
      </c>
      <c r="G410" s="21" t="s">
        <v>2103</v>
      </c>
      <c r="H410" s="21" t="s">
        <v>2075</v>
      </c>
      <c r="I410" s="21" t="s">
        <v>24</v>
      </c>
      <c r="J410" s="13" t="str">
        <f t="shared" si="6"/>
        <v>insert into chb_datacheck_condition (CHECKCONDITIONID,CHECKRULEID,CHECKMETHOD,SRCPROPERTY,COMPARETO,OBJVALUE,REMARK,STATUS) values ('W84807E5-DF92-D920-E050-007FD10077FD','W84807E5-DF99-D920-E050-007FX10077FD','inArray','ASSET_TYPE2','==','2801,2802,2803,2804,2805,2806,2899','当资产/负债类别为委外投资时','E');</v>
      </c>
    </row>
    <row r="411" spans="1:10" x14ac:dyDescent="0.25">
      <c r="A411" s="17">
        <v>408</v>
      </c>
      <c r="B411" s="21" t="s">
        <v>486</v>
      </c>
      <c r="C411" s="21" t="s">
        <v>496</v>
      </c>
      <c r="D411" s="21" t="s">
        <v>1083</v>
      </c>
      <c r="E411" s="21" t="s">
        <v>910</v>
      </c>
      <c r="F411" s="21" t="s">
        <v>25</v>
      </c>
      <c r="G411" s="21" t="s">
        <v>2144</v>
      </c>
      <c r="H411" s="21" t="s">
        <v>2079</v>
      </c>
      <c r="I411" s="21" t="s">
        <v>24</v>
      </c>
      <c r="J411" s="13" t="str">
        <f t="shared" si="6"/>
        <v>insert into chb_datacheck_condition (CHECKCONDITIONID,CHECKRULEID,CHECKMETHOD,SRCPROPERTY,COMPARETO,OBJVALUE,REMARK,STATUS) values ('W84807E5-DF95-D920-E050-107F010077FD','W84807E5-DF99-D920-E050-107F010077FD','inArray','ASSET_TYPE2','==','1701,1702,1703,1704,1705,1706','当资产/负债类别为资产管理产品时','E');</v>
      </c>
    </row>
    <row r="412" spans="1:10" x14ac:dyDescent="0.25">
      <c r="A412" s="17">
        <v>409</v>
      </c>
      <c r="B412" s="21" t="s">
        <v>1796</v>
      </c>
      <c r="C412" s="21" t="s">
        <v>497</v>
      </c>
      <c r="D412" s="21" t="s">
        <v>1083</v>
      </c>
      <c r="E412" s="21" t="s">
        <v>910</v>
      </c>
      <c r="F412" s="21" t="s">
        <v>25</v>
      </c>
      <c r="G412" s="21" t="s">
        <v>2103</v>
      </c>
      <c r="H412" s="21" t="s">
        <v>2075</v>
      </c>
      <c r="I412" s="21" t="s">
        <v>24</v>
      </c>
      <c r="J412" s="13" t="str">
        <f t="shared" si="6"/>
        <v>insert into chb_datacheck_condition (CHECKCONDITIONID,CHECKRULEID,CHECKMETHOD,SRCPROPERTY,COMPARETO,OBJVALUE,REMARK,STATUS) values ('W84807E5-DF92-D920-E050-107FD10077FD','W84807E5-DF99-D920-E050-107FX10077FD','inArray','ASSET_TYPE2','==','2801,2802,2803,2804,2805,2806,2899','当资产/负债类别为委外投资时','E');</v>
      </c>
    </row>
    <row r="413" spans="1:10" x14ac:dyDescent="0.25">
      <c r="A413" s="17">
        <v>410</v>
      </c>
      <c r="B413" s="21" t="s">
        <v>488</v>
      </c>
      <c r="C413" s="21" t="s">
        <v>499</v>
      </c>
      <c r="D413" s="21" t="s">
        <v>1083</v>
      </c>
      <c r="E413" s="21" t="s">
        <v>910</v>
      </c>
      <c r="F413" s="21" t="s">
        <v>25</v>
      </c>
      <c r="G413" s="21" t="s">
        <v>2144</v>
      </c>
      <c r="H413" s="21" t="s">
        <v>2079</v>
      </c>
      <c r="I413" s="21" t="s">
        <v>24</v>
      </c>
      <c r="J413" s="13" t="str">
        <f t="shared" si="6"/>
        <v>insert into chb_datacheck_condition (CHECKCONDITIONID,CHECKRULEID,CHECKMETHOD,SRCPROPERTY,COMPARETO,OBJVALUE,REMARK,STATUS) values ('W84807E5-DF96-D920-E050-007F010077FD','W84807E5-DF9B-D920-E050-007F010077FD','inArray','ASSET_TYPE2','==','1701,1702,1703,1704,1705,1706','当资产/负债类别为资产管理产品时','E');</v>
      </c>
    </row>
    <row r="414" spans="1:10" x14ac:dyDescent="0.25">
      <c r="A414" s="17">
        <v>411</v>
      </c>
      <c r="B414" s="21" t="s">
        <v>1797</v>
      </c>
      <c r="C414" s="21" t="s">
        <v>500</v>
      </c>
      <c r="D414" s="21" t="s">
        <v>1083</v>
      </c>
      <c r="E414" s="21" t="s">
        <v>910</v>
      </c>
      <c r="F414" s="21" t="s">
        <v>25</v>
      </c>
      <c r="G414" s="21" t="s">
        <v>2144</v>
      </c>
      <c r="H414" s="21" t="s">
        <v>2079</v>
      </c>
      <c r="I414" s="21" t="s">
        <v>24</v>
      </c>
      <c r="J414" s="13" t="str">
        <f t="shared" si="6"/>
        <v>insert into chb_datacheck_condition (CHECKCONDITIONID,CHECKRULEID,CHECKMETHOD,SRCPROPERTY,COMPARETO,OBJVALUE,REMARK,STATUS) values ('W84807E5-DF96-D920-E050-107F010077FD','W84807E5-DF9B-D920-E050-107F010077FD','inArray','ASSET_TYPE2','==','1701,1702,1703,1704,1705,1706','当资产/负债类别为资产管理产品时','E');</v>
      </c>
    </row>
    <row r="415" spans="1:10" x14ac:dyDescent="0.25">
      <c r="A415" s="17">
        <v>412</v>
      </c>
      <c r="B415" s="21" t="s">
        <v>1798</v>
      </c>
      <c r="C415" s="21" t="s">
        <v>501</v>
      </c>
      <c r="D415" s="21" t="s">
        <v>1083</v>
      </c>
      <c r="E415" s="21" t="s">
        <v>910</v>
      </c>
      <c r="F415" s="21" t="s">
        <v>25</v>
      </c>
      <c r="G415" s="21" t="s">
        <v>2103</v>
      </c>
      <c r="H415" s="21" t="s">
        <v>2075</v>
      </c>
      <c r="I415" s="21" t="s">
        <v>24</v>
      </c>
      <c r="J415" s="13" t="str">
        <f t="shared" si="6"/>
        <v>insert into chb_datacheck_condition (CHECKCONDITIONID,CHECKRULEID,CHECKMETHOD,SRCPROPERTY,COMPARETO,OBJVALUE,REMARK,STATUS) values ('W84807E5-DF92-D920-E050-007FV10077FD','W84807E5-DF9B-D922-E050-007F010077FD','inArray','ASSET_TYPE2','==','2801,2802,2803,2804,2805,2806,2899','当资产/负债类别为委外投资时','E');</v>
      </c>
    </row>
    <row r="416" spans="1:10" x14ac:dyDescent="0.25">
      <c r="A416" s="17">
        <v>413</v>
      </c>
      <c r="B416" s="21" t="s">
        <v>1799</v>
      </c>
      <c r="C416" s="21" t="s">
        <v>502</v>
      </c>
      <c r="D416" s="21" t="s">
        <v>1083</v>
      </c>
      <c r="E416" s="21" t="s">
        <v>910</v>
      </c>
      <c r="F416" s="21" t="s">
        <v>25</v>
      </c>
      <c r="G416" s="21" t="s">
        <v>2103</v>
      </c>
      <c r="H416" s="21" t="s">
        <v>2075</v>
      </c>
      <c r="I416" s="21" t="s">
        <v>24</v>
      </c>
      <c r="J416" s="13" t="str">
        <f t="shared" si="6"/>
        <v>insert into chb_datacheck_condition (CHECKCONDITIONID,CHECKRULEID,CHECKMETHOD,SRCPROPERTY,COMPARETO,OBJVALUE,REMARK,STATUS) values ('W84807E5-DF92-D920-E050-107FV10077FD','W84807E5-DF9B-D922-E050-107F010077FD','inArray','ASSET_TYPE2','==','2801,2802,2803,2804,2805,2806,2899','当资产/负债类别为委外投资时','E');</v>
      </c>
    </row>
    <row r="417" spans="1:10" x14ac:dyDescent="0.25">
      <c r="A417" s="17">
        <v>414</v>
      </c>
      <c r="B417" s="21" t="s">
        <v>489</v>
      </c>
      <c r="C417" s="21" t="s">
        <v>504</v>
      </c>
      <c r="D417" s="21" t="s">
        <v>40</v>
      </c>
      <c r="E417" s="21" t="s">
        <v>1203</v>
      </c>
      <c r="F417" s="21" t="s">
        <v>25</v>
      </c>
      <c r="G417" s="21" t="s">
        <v>55</v>
      </c>
      <c r="H417" s="21" t="s">
        <v>2360</v>
      </c>
      <c r="I417" s="21" t="s">
        <v>24</v>
      </c>
      <c r="J417" s="13" t="str">
        <f t="shared" si="6"/>
        <v>insert into chb_datacheck_condition (CHECKCONDITIONID,CHECKRULEID,CHECKMETHOD,SRCPROPERTY,COMPARETO,OBJVALUE,REMARK,STATUS) values ('W84807E5-DF97-D920-E050-007F010077FD','W84807E5-DF9D-D920-E050-007F010077FD','compareValue','PRO_PROPERTY','==','99','资管计划属性选择“99 其他”场合','E');</v>
      </c>
    </row>
    <row r="418" spans="1:10" x14ac:dyDescent="0.25">
      <c r="A418" s="17">
        <v>415</v>
      </c>
      <c r="B418" s="21" t="s">
        <v>1800</v>
      </c>
      <c r="C418" s="21" t="s">
        <v>505</v>
      </c>
      <c r="D418" s="21" t="s">
        <v>40</v>
      </c>
      <c r="E418" s="21" t="s">
        <v>1075</v>
      </c>
      <c r="F418" s="21" t="s">
        <v>25</v>
      </c>
      <c r="G418" s="21" t="s">
        <v>2124</v>
      </c>
      <c r="H418" s="21" t="s">
        <v>2084</v>
      </c>
      <c r="I418" s="21" t="s">
        <v>24</v>
      </c>
      <c r="J418" s="13" t="str">
        <f t="shared" si="6"/>
        <v>insert into chb_datacheck_condition (CHECKCONDITIONID,CHECKRULEID,CHECKMETHOD,SRCPROPERTY,COMPARETO,OBJVALUE,REMARK,STATUS) values ('W84807E5-DF1F-D920-E050-207F030079FD','W84807E5-DF9D-D920-E050-107F010077FD','compareValue','ASSET_TYPE','==','07','当资产/负债类别为金融衍生品时','E');</v>
      </c>
    </row>
    <row r="419" spans="1:10" x14ac:dyDescent="0.25">
      <c r="A419" s="17">
        <v>416</v>
      </c>
      <c r="B419" s="21" t="s">
        <v>1801</v>
      </c>
      <c r="C419" s="21" t="s">
        <v>505</v>
      </c>
      <c r="D419" s="21" t="s">
        <v>40</v>
      </c>
      <c r="E419" s="21" t="s">
        <v>1367</v>
      </c>
      <c r="F419" s="21" t="s">
        <v>25</v>
      </c>
      <c r="G419" s="21" t="s">
        <v>55</v>
      </c>
      <c r="H419" s="21" t="s">
        <v>2195</v>
      </c>
      <c r="I419" s="21" t="s">
        <v>24</v>
      </c>
      <c r="J419" s="13" t="str">
        <f t="shared" si="6"/>
        <v>insert into chb_datacheck_condition (CHECKCONDITIONID,CHECKRULEID,CHECKMETHOD,SRCPROPERTY,COMPARETO,OBJVALUE,REMARK,STATUS) values ('W84807E5-DF1F-D920-E050-107F020078FD','W84807E5-DF9D-D920-E050-107F010077FD','compareValue','HOLD_PURPOSE','==','99','持有目的为其他时','E');</v>
      </c>
    </row>
    <row r="420" spans="1:10" x14ac:dyDescent="0.25">
      <c r="A420" s="17">
        <v>417</v>
      </c>
      <c r="B420" s="21" t="s">
        <v>493</v>
      </c>
      <c r="C420" s="21" t="s">
        <v>506</v>
      </c>
      <c r="D420" s="21" t="s">
        <v>34</v>
      </c>
      <c r="E420" s="21" t="s">
        <v>1225</v>
      </c>
      <c r="F420" s="21" t="s">
        <v>37</v>
      </c>
      <c r="G420" s="21" t="s">
        <v>26</v>
      </c>
      <c r="H420" s="21" t="s">
        <v>2146</v>
      </c>
      <c r="I420" s="21" t="s">
        <v>24</v>
      </c>
      <c r="J420" s="13" t="str">
        <f t="shared" si="6"/>
        <v>insert into chb_datacheck_condition (CHECKCONDITIONID,CHECKRULEID,CHECKMETHOD,SRCPROPERTY,COMPARETO,OBJVALUE,REMARK,STATUS) values ('W84807E5-DF98-D920-E050-007F010077FD','W84807E5-DF9E-D920-E050-007F010077FD','compareValueAsNumber','MGR_FEE_RATE','&gt;','0','管理费率不为0','E');</v>
      </c>
    </row>
    <row r="421" spans="1:10" x14ac:dyDescent="0.25">
      <c r="A421" s="17">
        <v>418</v>
      </c>
      <c r="B421" s="21" t="s">
        <v>1802</v>
      </c>
      <c r="C421" s="21" t="s">
        <v>506</v>
      </c>
      <c r="D421" s="21" t="s">
        <v>1083</v>
      </c>
      <c r="E421" s="21" t="s">
        <v>910</v>
      </c>
      <c r="F421" s="21" t="s">
        <v>25</v>
      </c>
      <c r="G421" s="21" t="s">
        <v>2144</v>
      </c>
      <c r="H421" s="21" t="s">
        <v>2079</v>
      </c>
      <c r="I421" s="21" t="s">
        <v>24</v>
      </c>
      <c r="J421" s="13" t="str">
        <f t="shared" si="6"/>
        <v>insert into chb_datacheck_condition (CHECKCONDITIONID,CHECKRULEID,CHECKMETHOD,SRCPROPERTY,COMPARETO,OBJVALUE,REMARK,STATUS) values ('W75807E5-DF98-D920-E050-007F010077FD','W84807E5-DF9E-D920-E050-007F010077FD','inArray','ASSET_TYPE2','==','1701,1702,1703,1704,1705,1706','当资产/负债类别为资产管理产品时','E');</v>
      </c>
    </row>
    <row r="422" spans="1:10" x14ac:dyDescent="0.25">
      <c r="A422" s="17">
        <v>419</v>
      </c>
      <c r="B422" s="21" t="s">
        <v>494</v>
      </c>
      <c r="C422" s="21" t="s">
        <v>507</v>
      </c>
      <c r="D422" s="21" t="s">
        <v>34</v>
      </c>
      <c r="E422" s="21" t="s">
        <v>42</v>
      </c>
      <c r="F422" s="21" t="s">
        <v>37</v>
      </c>
      <c r="G422" s="21" t="s">
        <v>26</v>
      </c>
      <c r="H422" s="21" t="s">
        <v>2127</v>
      </c>
      <c r="I422" s="21" t="s">
        <v>24</v>
      </c>
      <c r="J422" s="13" t="str">
        <f t="shared" si="6"/>
        <v>insert into chb_datacheck_condition (CHECKCONDITIONID,CHECKRULEID,CHECKMETHOD,SRCPROPERTY,COMPARETO,OBJVALUE,REMARK,STATUS) values ('W84807E5-DF99-D920-E050-007F010077FD','W84807E5-DF9F-D920-E050-007F010077FD','compareValueAsNumber','TRU_FEE_RATE','&gt;','0','当托管费率不为0时','E');</v>
      </c>
    </row>
    <row r="423" spans="1:10" x14ac:dyDescent="0.25">
      <c r="A423" s="17">
        <v>420</v>
      </c>
      <c r="B423" s="21" t="s">
        <v>1803</v>
      </c>
      <c r="C423" s="21" t="s">
        <v>507</v>
      </c>
      <c r="D423" s="21" t="s">
        <v>1083</v>
      </c>
      <c r="E423" s="21" t="s">
        <v>910</v>
      </c>
      <c r="F423" s="21" t="s">
        <v>25</v>
      </c>
      <c r="G423" s="21" t="s">
        <v>2144</v>
      </c>
      <c r="H423" s="21" t="s">
        <v>2079</v>
      </c>
      <c r="I423" s="21" t="s">
        <v>24</v>
      </c>
      <c r="J423" s="13" t="str">
        <f t="shared" si="6"/>
        <v>insert into chb_datacheck_condition (CHECKCONDITIONID,CHECKRULEID,CHECKMETHOD,SRCPROPERTY,COMPARETO,OBJVALUE,REMARK,STATUS) values ('W75807E5-DF99-D920-E050-007F010077FD','W84807E5-DF9F-D920-E050-007F010077FD','inArray','ASSET_TYPE2','==','1701,1702,1703,1704,1705,1706','当资产/负债类别为资产管理产品时','E');</v>
      </c>
    </row>
    <row r="424" spans="1:10" x14ac:dyDescent="0.25">
      <c r="A424" s="17">
        <v>421</v>
      </c>
      <c r="B424" s="21" t="s">
        <v>498</v>
      </c>
      <c r="C424" s="21" t="s">
        <v>508</v>
      </c>
      <c r="D424" s="21" t="s">
        <v>34</v>
      </c>
      <c r="E424" s="21" t="s">
        <v>1231</v>
      </c>
      <c r="F424" s="21" t="s">
        <v>37</v>
      </c>
      <c r="G424" s="21" t="s">
        <v>26</v>
      </c>
      <c r="H424" s="21" t="s">
        <v>2122</v>
      </c>
      <c r="I424" s="21" t="s">
        <v>24</v>
      </c>
      <c r="J424" s="13" t="str">
        <f t="shared" si="6"/>
        <v>insert into chb_datacheck_condition (CHECKCONDITIONID,CHECKRULEID,CHECKMETHOD,SRCPROPERTY,COMPARETO,OBJVALUE,REMARK,STATUS) values ('W84807E5-DF9A-D920-E050-007F010077FD','W84807E5-DFA0-D920-E050-007F010077FD','compareValueAsNumber','TRADE_FEE_RATE','&gt;','0','当交易相关合计费率不为0时','E');</v>
      </c>
    </row>
    <row r="425" spans="1:10" x14ac:dyDescent="0.25">
      <c r="A425" s="17">
        <v>422</v>
      </c>
      <c r="B425" s="21" t="s">
        <v>1804</v>
      </c>
      <c r="C425" s="21" t="s">
        <v>508</v>
      </c>
      <c r="D425" s="21" t="s">
        <v>1083</v>
      </c>
      <c r="E425" s="21" t="s">
        <v>910</v>
      </c>
      <c r="F425" s="21" t="s">
        <v>25</v>
      </c>
      <c r="G425" s="21" t="s">
        <v>2144</v>
      </c>
      <c r="H425" s="21" t="s">
        <v>2079</v>
      </c>
      <c r="I425" s="21" t="s">
        <v>24</v>
      </c>
      <c r="J425" s="13" t="str">
        <f t="shared" si="6"/>
        <v>insert into chb_datacheck_condition (CHECKCONDITIONID,CHECKRULEID,CHECKMETHOD,SRCPROPERTY,COMPARETO,OBJVALUE,REMARK,STATUS) values ('W67807E5-DF9A-D920-E050-007F010077FD','W84807E5-DFA0-D920-E050-007F010077FD','inArray','ASSET_TYPE2','==','1701,1702,1703,1704,1705,1706','当资产/负债类别为资产管理产品时','E');</v>
      </c>
    </row>
    <row r="426" spans="1:10" x14ac:dyDescent="0.25">
      <c r="A426" s="17">
        <v>423</v>
      </c>
      <c r="B426" s="21" t="s">
        <v>508</v>
      </c>
      <c r="C426" s="21" t="s">
        <v>509</v>
      </c>
      <c r="D426" s="21" t="s">
        <v>34</v>
      </c>
      <c r="E426" s="21" t="s">
        <v>1235</v>
      </c>
      <c r="F426" s="21" t="s">
        <v>37</v>
      </c>
      <c r="G426" s="21" t="s">
        <v>26</v>
      </c>
      <c r="H426" s="21" t="s">
        <v>2180</v>
      </c>
      <c r="I426" s="21" t="s">
        <v>24</v>
      </c>
      <c r="J426" s="13" t="str">
        <f t="shared" si="6"/>
        <v>insert into chb_datacheck_condition (CHECKCONDITIONID,CHECKRULEID,CHECKMETHOD,SRCPROPERTY,COMPARETO,OBJVALUE,REMARK,STATUS) values ('W84807E5-DFA0-D920-E050-007F010077FD','W84807E5-DFA1-D920-E050-007F010077FD','compareValueAsNumber','AGENCY_FEE_RATE','&gt;','0','当中介服务机构合计费率不为0时','E');</v>
      </c>
    </row>
    <row r="427" spans="1:10" x14ac:dyDescent="0.25">
      <c r="A427" s="17">
        <v>424</v>
      </c>
      <c r="B427" s="21" t="s">
        <v>1805</v>
      </c>
      <c r="C427" s="21" t="s">
        <v>509</v>
      </c>
      <c r="D427" s="21" t="s">
        <v>1083</v>
      </c>
      <c r="E427" s="21" t="s">
        <v>910</v>
      </c>
      <c r="F427" s="21" t="s">
        <v>25</v>
      </c>
      <c r="G427" s="21" t="s">
        <v>2144</v>
      </c>
      <c r="H427" s="21" t="s">
        <v>2079</v>
      </c>
      <c r="I427" s="21" t="s">
        <v>24</v>
      </c>
      <c r="J427" s="13" t="str">
        <f t="shared" si="6"/>
        <v>insert into chb_datacheck_condition (CHECKCONDITIONID,CHECKRULEID,CHECKMETHOD,SRCPROPERTY,COMPARETO,OBJVALUE,REMARK,STATUS) values ('W73807E5-DFA0-D920-E050-007F010077FD','W84807E5-DFA1-D920-E050-007F010077FD','inArray','ASSET_TYPE2','==','1701,1702,1703,1704,1705,1706','当资产/负债类别为资产管理产品时','E');</v>
      </c>
    </row>
    <row r="428" spans="1:10" x14ac:dyDescent="0.25">
      <c r="A428" s="17">
        <v>425</v>
      </c>
      <c r="B428" s="21" t="s">
        <v>509</v>
      </c>
      <c r="C428" s="21" t="s">
        <v>510</v>
      </c>
      <c r="D428" s="21" t="s">
        <v>34</v>
      </c>
      <c r="E428" s="21" t="s">
        <v>1239</v>
      </c>
      <c r="F428" s="21" t="s">
        <v>37</v>
      </c>
      <c r="G428" s="21" t="s">
        <v>26</v>
      </c>
      <c r="H428" s="21" t="s">
        <v>2182</v>
      </c>
      <c r="I428" s="21" t="s">
        <v>24</v>
      </c>
      <c r="J428" s="13" t="str">
        <f t="shared" si="6"/>
        <v>insert into chb_datacheck_condition (CHECKCONDITIONID,CHECKRULEID,CHECKMETHOD,SRCPROPERTY,COMPARETO,OBJVALUE,REMARK,STATUS) values ('W84807E5-DFA1-D920-E050-007F010077FD','W84807E5-DFA2-D920-E050-007F010077FD','compareValueAsNumber','OTHER_FEE_RATE','&gt;','0','当其他合计费率不为0时','E');</v>
      </c>
    </row>
    <row r="429" spans="1:10" x14ac:dyDescent="0.25">
      <c r="A429" s="17">
        <v>426</v>
      </c>
      <c r="B429" s="21" t="s">
        <v>1806</v>
      </c>
      <c r="C429" s="21" t="s">
        <v>510</v>
      </c>
      <c r="D429" s="21" t="s">
        <v>1083</v>
      </c>
      <c r="E429" s="21" t="s">
        <v>910</v>
      </c>
      <c r="F429" s="21" t="s">
        <v>25</v>
      </c>
      <c r="G429" s="21" t="s">
        <v>2144</v>
      </c>
      <c r="H429" s="21" t="s">
        <v>2079</v>
      </c>
      <c r="I429" s="21" t="s">
        <v>24</v>
      </c>
      <c r="J429" s="13" t="str">
        <f t="shared" si="6"/>
        <v>insert into chb_datacheck_condition (CHECKCONDITIONID,CHECKRULEID,CHECKMETHOD,SRCPROPERTY,COMPARETO,OBJVALUE,REMARK,STATUS) values ('W76807E5-DFA1-D920-E050-007F010077FD','W84807E5-DFA2-D920-E050-007F010077FD','inArray','ASSET_TYPE2','==','1701,1702,1703,1704,1705,1706','当资产/负债类别为资产管理产品时','E');</v>
      </c>
    </row>
    <row r="430" spans="1:10" x14ac:dyDescent="0.25">
      <c r="A430" s="17">
        <v>427</v>
      </c>
      <c r="B430" s="21" t="s">
        <v>527</v>
      </c>
      <c r="C430" s="21" t="s">
        <v>511</v>
      </c>
      <c r="D430" s="21" t="s">
        <v>1083</v>
      </c>
      <c r="E430" s="21" t="s">
        <v>910</v>
      </c>
      <c r="F430" s="21" t="s">
        <v>25</v>
      </c>
      <c r="G430" s="21" t="s">
        <v>2188</v>
      </c>
      <c r="H430" s="21" t="s">
        <v>2189</v>
      </c>
      <c r="I430" s="21" t="s">
        <v>24</v>
      </c>
      <c r="J430" s="13" t="str">
        <f t="shared" si="6"/>
        <v>insert into chb_datacheck_condition (CHECKCONDITIONID,CHECKRULEID,CHECKMETHOD,SRCPROPERTY,COMPARETO,OBJVALUE,REMARK,STATUS) values ('W84807E5-DFB0-D920-E050-007F010077FD','W84807E5-DFA3-D920-E050-007F010077FD','inArray','ASSET_TYPE2','==','1201,1210','当资产/负债类别为票据类/信用证类资产时','E');</v>
      </c>
    </row>
    <row r="431" spans="1:10" x14ac:dyDescent="0.25">
      <c r="A431" s="17">
        <v>428</v>
      </c>
      <c r="B431" s="21" t="s">
        <v>1807</v>
      </c>
      <c r="C431" s="21" t="s">
        <v>512</v>
      </c>
      <c r="D431" s="21" t="s">
        <v>1083</v>
      </c>
      <c r="E431" s="21" t="s">
        <v>910</v>
      </c>
      <c r="F431" s="21" t="s">
        <v>25</v>
      </c>
      <c r="G431" s="21" t="s">
        <v>2188</v>
      </c>
      <c r="H431" s="21" t="s">
        <v>2189</v>
      </c>
      <c r="I431" s="21" t="s">
        <v>24</v>
      </c>
      <c r="J431" s="13" t="str">
        <f t="shared" si="6"/>
        <v>insert into chb_datacheck_condition (CHECKCONDITIONID,CHECKRULEID,CHECKMETHOD,SRCPROPERTY,COMPARETO,OBJVALUE,REMARK,STATUS) values ('W84807E5-DFB0-D920-E050-107F010077FD','W84807E5-DFA3-D920-E050-107F010077FD','inArray','ASSET_TYPE2','==','1201,1210','当资产/负债类别为票据类/信用证类资产时','E');</v>
      </c>
    </row>
    <row r="432" spans="1:10" x14ac:dyDescent="0.25">
      <c r="A432" s="17">
        <v>429</v>
      </c>
      <c r="B432" s="21" t="s">
        <v>528</v>
      </c>
      <c r="C432" s="21" t="s">
        <v>513</v>
      </c>
      <c r="D432" s="21" t="s">
        <v>1083</v>
      </c>
      <c r="E432" s="21" t="s">
        <v>910</v>
      </c>
      <c r="F432" s="21" t="s">
        <v>25</v>
      </c>
      <c r="G432" s="21" t="s">
        <v>2188</v>
      </c>
      <c r="H432" s="21" t="s">
        <v>2189</v>
      </c>
      <c r="I432" s="21" t="s">
        <v>24</v>
      </c>
      <c r="J432" s="13" t="str">
        <f t="shared" si="6"/>
        <v>insert into chb_datacheck_condition (CHECKCONDITIONID,CHECKRULEID,CHECKMETHOD,SRCPROPERTY,COMPARETO,OBJVALUE,REMARK,STATUS) values ('W84807E5-DFB1-D920-E050-007F010077FD','W84807E5-DFA4-D920-E050-007F010077FD','inArray','ASSET_TYPE2','==','1201,1210','当资产/负债类别为票据类/信用证类资产时','E');</v>
      </c>
    </row>
    <row r="433" spans="1:10" x14ac:dyDescent="0.25">
      <c r="A433" s="17">
        <v>430</v>
      </c>
      <c r="B433" s="21" t="s">
        <v>529</v>
      </c>
      <c r="C433" s="21" t="s">
        <v>514</v>
      </c>
      <c r="D433" s="21" t="s">
        <v>1083</v>
      </c>
      <c r="E433" s="21" t="s">
        <v>910</v>
      </c>
      <c r="F433" s="21" t="s">
        <v>25</v>
      </c>
      <c r="G433" s="21" t="s">
        <v>2188</v>
      </c>
      <c r="H433" s="21" t="s">
        <v>2189</v>
      </c>
      <c r="I433" s="21" t="s">
        <v>24</v>
      </c>
      <c r="J433" s="13" t="str">
        <f t="shared" si="6"/>
        <v>insert into chb_datacheck_condition (CHECKCONDITIONID,CHECKRULEID,CHECKMETHOD,SRCPROPERTY,COMPARETO,OBJVALUE,REMARK,STATUS) values ('W84807E5-DFB2-D920-E050-007F010077FD','W84807E5-DFA5-D920-E050-007F010077FD','inArray','ASSET_TYPE2','==','1201,1210','当资产/负债类别为票据类/信用证类资产时','E');</v>
      </c>
    </row>
    <row r="434" spans="1:10" x14ac:dyDescent="0.25">
      <c r="A434" s="17">
        <v>431</v>
      </c>
      <c r="B434" s="21" t="s">
        <v>1808</v>
      </c>
      <c r="C434" s="21" t="s">
        <v>515</v>
      </c>
      <c r="D434" s="21" t="s">
        <v>1083</v>
      </c>
      <c r="E434" s="21" t="s">
        <v>910</v>
      </c>
      <c r="F434" s="21" t="s">
        <v>25</v>
      </c>
      <c r="G434" s="21" t="s">
        <v>2188</v>
      </c>
      <c r="H434" s="21" t="s">
        <v>2189</v>
      </c>
      <c r="I434" s="21" t="s">
        <v>24</v>
      </c>
      <c r="J434" s="13" t="str">
        <f t="shared" si="6"/>
        <v>insert into chb_datacheck_condition (CHECKCONDITIONID,CHECKRULEID,CHECKMETHOD,SRCPROPERTY,COMPARETO,OBJVALUE,REMARK,STATUS) values ('W84807E5-DFB2-D920-E050-107F010077FD','W84807E5-DFA5-D920-E050-107F010077FD','inArray','ASSET_TYPE2','==','1201,1210','当资产/负债类别为票据类/信用证类资产时','E');</v>
      </c>
    </row>
    <row r="435" spans="1:10" x14ac:dyDescent="0.25">
      <c r="A435" s="17">
        <v>432</v>
      </c>
      <c r="B435" s="21" t="s">
        <v>530</v>
      </c>
      <c r="C435" s="21" t="s">
        <v>516</v>
      </c>
      <c r="D435" s="21" t="s">
        <v>1083</v>
      </c>
      <c r="E435" s="21" t="s">
        <v>910</v>
      </c>
      <c r="F435" s="21" t="s">
        <v>25</v>
      </c>
      <c r="G435" s="21" t="s">
        <v>2196</v>
      </c>
      <c r="H435" s="21" t="s">
        <v>2197</v>
      </c>
      <c r="I435" s="21" t="s">
        <v>24</v>
      </c>
      <c r="J435" s="13" t="str">
        <f t="shared" si="6"/>
        <v>insert into chb_datacheck_condition (CHECKCONDITIONID,CHECKRULEID,CHECKMETHOD,SRCPROPERTY,COMPARETO,OBJVALUE,REMARK,STATUS) values ('W84807E5-DFB3-D920-E050-007F010077FD','W84807E5-DFA6-D920-E050-007F010077FD','inArray','ASSET_TYPE2','==','1210','当资产/负债类别为信用证时','E');</v>
      </c>
    </row>
    <row r="436" spans="1:10" x14ac:dyDescent="0.25">
      <c r="A436" s="17">
        <v>433</v>
      </c>
      <c r="B436" s="21" t="s">
        <v>531</v>
      </c>
      <c r="C436" s="21" t="s">
        <v>517</v>
      </c>
      <c r="D436" s="21" t="s">
        <v>1083</v>
      </c>
      <c r="E436" s="21" t="s">
        <v>910</v>
      </c>
      <c r="F436" s="21" t="s">
        <v>25</v>
      </c>
      <c r="G436" s="21" t="s">
        <v>2198</v>
      </c>
      <c r="H436" s="21" t="s">
        <v>2199</v>
      </c>
      <c r="I436" s="21" t="s">
        <v>24</v>
      </c>
      <c r="J436" s="13" t="str">
        <f t="shared" si="6"/>
        <v>insert into chb_datacheck_condition (CHECKCONDITIONID,CHECKRULEID,CHECKMETHOD,SRCPROPERTY,COMPARETO,OBJVALUE,REMARK,STATUS) values ('W84807E5-DFB4-D920-E050-007F010077FD','W84807E5-DFA7-D920-E050-007F010077FD','inArray','ASSET_TYPE2','==','1201','当资产/负债类别为票据类时','E');</v>
      </c>
    </row>
    <row r="437" spans="1:10" x14ac:dyDescent="0.25">
      <c r="A437" s="17">
        <v>434</v>
      </c>
      <c r="B437" s="21" t="s">
        <v>532</v>
      </c>
      <c r="C437" s="21" t="s">
        <v>518</v>
      </c>
      <c r="D437" s="21" t="s">
        <v>1083</v>
      </c>
      <c r="E437" s="21" t="s">
        <v>910</v>
      </c>
      <c r="F437" s="21" t="s">
        <v>25</v>
      </c>
      <c r="G437" s="21" t="s">
        <v>2188</v>
      </c>
      <c r="H437" s="21" t="s">
        <v>2189</v>
      </c>
      <c r="I437" s="21" t="s">
        <v>24</v>
      </c>
      <c r="J437" s="13" t="str">
        <f t="shared" si="6"/>
        <v>insert into chb_datacheck_condition (CHECKCONDITIONID,CHECKRULEID,CHECKMETHOD,SRCPROPERTY,COMPARETO,OBJVALUE,REMARK,STATUS) values ('W84807E5-DFB5-D920-E050-007F010077FD','W84807E5-DFA8-D920-E050-007F010077FD','inArray','ASSET_TYPE2','==','1201,1210','当资产/负债类别为票据类/信用证类资产时','E');</v>
      </c>
    </row>
    <row r="438" spans="1:10" x14ac:dyDescent="0.25">
      <c r="A438" s="17">
        <v>435</v>
      </c>
      <c r="B438" s="21" t="s">
        <v>1809</v>
      </c>
      <c r="C438" s="21" t="s">
        <v>520</v>
      </c>
      <c r="D438" s="21" t="s">
        <v>1083</v>
      </c>
      <c r="E438" s="21" t="s">
        <v>910</v>
      </c>
      <c r="F438" s="21" t="s">
        <v>25</v>
      </c>
      <c r="G438" s="21" t="s">
        <v>2188</v>
      </c>
      <c r="H438" s="21" t="s">
        <v>2189</v>
      </c>
      <c r="I438" s="21" t="s">
        <v>24</v>
      </c>
      <c r="J438" s="13" t="str">
        <f t="shared" si="6"/>
        <v>insert into chb_datacheck_condition (CHECKCONDITIONID,CHECKRULEID,CHECKMETHOD,SRCPROPERTY,COMPARETO,OBJVALUE,REMARK,STATUS) values ('W84807E5-DF38-D920-E050-007F110077FD','W84807E5-DFAA-D920-E050-007F010077FD','inArray','ASSET_TYPE2','==','1201,1210','当资产/负债类别为票据类/信用证类资产时','E');</v>
      </c>
    </row>
    <row r="439" spans="1:10" x14ac:dyDescent="0.25">
      <c r="A439" s="17">
        <v>436</v>
      </c>
      <c r="B439" s="21" t="s">
        <v>1810</v>
      </c>
      <c r="C439" s="21" t="s">
        <v>521</v>
      </c>
      <c r="D439" s="21" t="s">
        <v>1083</v>
      </c>
      <c r="E439" s="21" t="s">
        <v>910</v>
      </c>
      <c r="F439" s="21" t="s">
        <v>25</v>
      </c>
      <c r="G439" s="21" t="s">
        <v>2188</v>
      </c>
      <c r="H439" s="21" t="s">
        <v>2189</v>
      </c>
      <c r="I439" s="21" t="s">
        <v>24</v>
      </c>
      <c r="J439" s="13" t="str">
        <f t="shared" si="6"/>
        <v>insert into chb_datacheck_condition (CHECKCONDITIONID,CHECKRULEID,CHECKMETHOD,SRCPROPERTY,COMPARETO,OBJVALUE,REMARK,STATUS) values ('W84807E5-DF38-D920-E050-107F110077FD','W84807E5-DFAA-D920-E050-107F010077FD','inArray','ASSET_TYPE2','==','1201,1210','当资产/负债类别为票据类/信用证类资产时','E');</v>
      </c>
    </row>
    <row r="440" spans="1:10" x14ac:dyDescent="0.25">
      <c r="A440" s="17">
        <v>437</v>
      </c>
      <c r="B440" s="21" t="s">
        <v>343</v>
      </c>
      <c r="C440" s="21" t="s">
        <v>522</v>
      </c>
      <c r="D440" s="21" t="s">
        <v>1083</v>
      </c>
      <c r="E440" s="21" t="s">
        <v>910</v>
      </c>
      <c r="F440" s="21" t="s">
        <v>25</v>
      </c>
      <c r="G440" s="21" t="s">
        <v>2076</v>
      </c>
      <c r="H440" s="21" t="s">
        <v>2077</v>
      </c>
      <c r="I440" s="21" t="s">
        <v>24</v>
      </c>
      <c r="J440" s="13" t="str">
        <f t="shared" si="6"/>
        <v>insert into chb_datacheck_condition (CHECKCONDITIONID,CHECKRULEID,CHECKMETHOD,SRCPROPERTY,COMPARETO,OBJVALUE,REMARK,STATUS) values ('W84807E5-DF38-D920-E050-007F010077FD','W84807E5-DFAB-D920-E050-007F010077FD','inArray','ASSET_TYPE2','==','1202,1203,1204,1205,1206,1207,1208,1209,2201,2202','当资产/负债类别为非标准化债权类资产/新增可投资资产时','E');</v>
      </c>
    </row>
    <row r="441" spans="1:10" x14ac:dyDescent="0.25">
      <c r="A441" s="17">
        <v>438</v>
      </c>
      <c r="B441" s="21" t="s">
        <v>534</v>
      </c>
      <c r="C441" s="21" t="s">
        <v>523</v>
      </c>
      <c r="D441" s="21" t="s">
        <v>1083</v>
      </c>
      <c r="E441" s="21" t="s">
        <v>910</v>
      </c>
      <c r="F441" s="21" t="s">
        <v>25</v>
      </c>
      <c r="G441" s="21" t="s">
        <v>2188</v>
      </c>
      <c r="H441" s="21" t="s">
        <v>2189</v>
      </c>
      <c r="I441" s="21" t="s">
        <v>24</v>
      </c>
      <c r="J441" s="13" t="str">
        <f t="shared" si="6"/>
        <v>insert into chb_datacheck_condition (CHECKCONDITIONID,CHECKRULEID,CHECKMETHOD,SRCPROPERTY,COMPARETO,OBJVALUE,REMARK,STATUS) values ('W84807E5-DFB7-D920-E050-007F010077FD','W84807E5-DFAC-D920-E050-007F010077FD','inArray','ASSET_TYPE2','==','1201,1210','当资产/负债类别为票据类/信用证类资产时','E');</v>
      </c>
    </row>
    <row r="442" spans="1:10" x14ac:dyDescent="0.25">
      <c r="A442" s="17">
        <v>439</v>
      </c>
      <c r="B442" s="21" t="s">
        <v>535</v>
      </c>
      <c r="C442" s="21" t="s">
        <v>526</v>
      </c>
      <c r="D442" s="21" t="s">
        <v>1083</v>
      </c>
      <c r="E442" s="21" t="s">
        <v>910</v>
      </c>
      <c r="F442" s="21" t="s">
        <v>25</v>
      </c>
      <c r="G442" s="21" t="s">
        <v>2188</v>
      </c>
      <c r="H442" s="21" t="s">
        <v>2189</v>
      </c>
      <c r="I442" s="21" t="s">
        <v>24</v>
      </c>
      <c r="J442" s="13" t="str">
        <f t="shared" si="6"/>
        <v>insert into chb_datacheck_condition (CHECKCONDITIONID,CHECKRULEID,CHECKMETHOD,SRCPROPERTY,COMPARETO,OBJVALUE,REMARK,STATUS) values ('W84807E5-DFB8-D920-E050-007F010077FD','W84807E5-DFAF-D920-E050-007F010077FD','inArray','ASSET_TYPE2','==','1201,1210','当资产/负债类别为票据类/信用证类资产时','E');</v>
      </c>
    </row>
    <row r="443" spans="1:10" x14ac:dyDescent="0.25">
      <c r="A443" s="17">
        <v>440</v>
      </c>
      <c r="B443" s="21" t="s">
        <v>1811</v>
      </c>
      <c r="C443" s="21" t="s">
        <v>527</v>
      </c>
      <c r="D443" s="21" t="s">
        <v>1083</v>
      </c>
      <c r="E443" s="21" t="s">
        <v>910</v>
      </c>
      <c r="F443" s="21" t="s">
        <v>25</v>
      </c>
      <c r="G443" s="21" t="s">
        <v>2188</v>
      </c>
      <c r="H443" s="21" t="s">
        <v>2189</v>
      </c>
      <c r="I443" s="21" t="s">
        <v>24</v>
      </c>
      <c r="J443" s="13" t="str">
        <f t="shared" si="6"/>
        <v>insert into chb_datacheck_condition (CHECKCONDITIONID,CHECKRULEID,CHECKMETHOD,SRCPROPERTY,COMPARETO,OBJVALUE,REMARK,STATUS) values ('W84807E5-DFB9-D920-E050-007F010077FD','W84807E5-DFB0-D920-E050-007F010077FD','inArray','ASSET_TYPE2','==','1201,1210','当资产/负债类别为票据类/信用证类资产时','E');</v>
      </c>
    </row>
    <row r="444" spans="1:10" x14ac:dyDescent="0.25">
      <c r="A444" s="17">
        <v>441</v>
      </c>
      <c r="B444" s="21" t="s">
        <v>1812</v>
      </c>
      <c r="C444" s="21" t="s">
        <v>530</v>
      </c>
      <c r="D444" s="21" t="s">
        <v>1083</v>
      </c>
      <c r="E444" s="21" t="s">
        <v>910</v>
      </c>
      <c r="F444" s="21" t="s">
        <v>25</v>
      </c>
      <c r="G444" s="21" t="s">
        <v>2188</v>
      </c>
      <c r="H444" s="21" t="s">
        <v>2189</v>
      </c>
      <c r="I444" s="21" t="s">
        <v>24</v>
      </c>
      <c r="J444" s="13" t="str">
        <f t="shared" si="6"/>
        <v>insert into chb_datacheck_condition (CHECKCONDITIONID,CHECKRULEID,CHECKMETHOD,SRCPROPERTY,COMPARETO,OBJVALUE,REMARK,STATUS) values ('W84807E5-DFBA-D920-E050-007F010077FD','W84807E5-DFB3-D920-E050-007F010077FD','inArray','ASSET_TYPE2','==','1201,1210','当资产/负债类别为票据类/信用证类资产时','E');</v>
      </c>
    </row>
    <row r="445" spans="1:10" x14ac:dyDescent="0.25">
      <c r="A445" s="17">
        <v>442</v>
      </c>
      <c r="B445" s="21" t="s">
        <v>1813</v>
      </c>
      <c r="C445" s="21" t="s">
        <v>531</v>
      </c>
      <c r="D445" s="21" t="s">
        <v>1083</v>
      </c>
      <c r="E445" s="21" t="s">
        <v>910</v>
      </c>
      <c r="F445" s="21" t="s">
        <v>25</v>
      </c>
      <c r="G445" s="21" t="s">
        <v>2188</v>
      </c>
      <c r="H445" s="21" t="s">
        <v>2189</v>
      </c>
      <c r="I445" s="21" t="s">
        <v>24</v>
      </c>
      <c r="J445" s="13" t="str">
        <f t="shared" si="6"/>
        <v>insert into chb_datacheck_condition (CHECKCONDITIONID,CHECKRULEID,CHECKMETHOD,SRCPROPERTY,COMPARETO,OBJVALUE,REMARK,STATUS) values ('W84807E5-DFBB-D920-E050-007F010077FD','W84807E5-DFB4-D920-E050-007F010077FD','inArray','ASSET_TYPE2','==','1201,1210','当资产/负债类别为票据类/信用证类资产时','E');</v>
      </c>
    </row>
    <row r="446" spans="1:10" s="30" customFormat="1" x14ac:dyDescent="0.25">
      <c r="A446" s="17">
        <v>443</v>
      </c>
      <c r="B446" s="21" t="s">
        <v>1814</v>
      </c>
      <c r="C446" s="21" t="s">
        <v>532</v>
      </c>
      <c r="D446" s="21" t="s">
        <v>1083</v>
      </c>
      <c r="E446" s="21" t="s">
        <v>910</v>
      </c>
      <c r="F446" s="21" t="s">
        <v>25</v>
      </c>
      <c r="G446" s="21" t="s">
        <v>2418</v>
      </c>
      <c r="H446" s="21" t="s">
        <v>2419</v>
      </c>
      <c r="I446" s="21" t="s">
        <v>24</v>
      </c>
      <c r="J446" s="2" t="str">
        <f t="shared" si="6"/>
        <v>insert into chb_datacheck_condition (CHECKCONDITIONID,CHECKRULEID,CHECKMETHOD,SRCPROPERTY,COMPARETO,OBJVALUE,REMARK,STATUS) values ('W84807E5-DF38-D920-E050-007F112077FI','W84807E5-DFB5-D920-E050-007F010077FD','inArray','ASSET_TYPE2','==','1201,1210','当资产/负债类别为票据类/信用证资产时','E');</v>
      </c>
    </row>
    <row r="447" spans="1:10" x14ac:dyDescent="0.25">
      <c r="A447" s="17">
        <v>444</v>
      </c>
      <c r="B447" s="21" t="s">
        <v>1815</v>
      </c>
      <c r="C447" s="21" t="s">
        <v>533</v>
      </c>
      <c r="D447" s="21" t="s">
        <v>1083</v>
      </c>
      <c r="E447" s="21" t="s">
        <v>910</v>
      </c>
      <c r="F447" s="21" t="s">
        <v>25</v>
      </c>
      <c r="G447" s="21" t="s">
        <v>2188</v>
      </c>
      <c r="H447" s="21" t="s">
        <v>2189</v>
      </c>
      <c r="I447" s="21" t="s">
        <v>24</v>
      </c>
      <c r="J447" s="13" t="str">
        <f t="shared" si="6"/>
        <v>insert into chb_datacheck_condition (CHECKCONDITIONID,CHECKRULEID,CHECKMETHOD,SRCPROPERTY,COMPARETO,OBJVALUE,REMARK,STATUS) values ('W84807E5-DFBC-D920-E050-007F010077FD','W84807E5-DFB6-D920-E050-007F010077FD','inArray','ASSET_TYPE2','==','1201,1210','当资产/负债类别为票据类/信用证类资产时','E');</v>
      </c>
    </row>
    <row r="448" spans="1:10" x14ac:dyDescent="0.25">
      <c r="A448" s="17">
        <v>445</v>
      </c>
      <c r="B448" s="21" t="s">
        <v>1816</v>
      </c>
      <c r="C448" s="21" t="s">
        <v>535</v>
      </c>
      <c r="D448" s="21" t="s">
        <v>1083</v>
      </c>
      <c r="E448" s="21" t="s">
        <v>910</v>
      </c>
      <c r="F448" s="21" t="s">
        <v>25</v>
      </c>
      <c r="G448" s="21" t="s">
        <v>2188</v>
      </c>
      <c r="H448" s="21" t="s">
        <v>2189</v>
      </c>
      <c r="I448" s="21" t="s">
        <v>24</v>
      </c>
      <c r="J448" s="13" t="str">
        <f t="shared" si="6"/>
        <v>insert into chb_datacheck_condition (CHECKCONDITIONID,CHECKRULEID,CHECKMETHOD,SRCPROPERTY,COMPARETO,OBJVALUE,REMARK,STATUS) values ('W84807E5-DFBD-D920-E050-007F010077FD','W84807E5-DFB8-D920-E050-007F010077FD','inArray','ASSET_TYPE2','==','1201,1210','当资产/负债类别为票据类/信用证类资产时','E');</v>
      </c>
    </row>
    <row r="449" spans="1:10" x14ac:dyDescent="0.25">
      <c r="A449" s="17">
        <v>446</v>
      </c>
      <c r="B449" s="21" t="s">
        <v>1817</v>
      </c>
      <c r="C449" s="21" t="s">
        <v>536</v>
      </c>
      <c r="D449" s="21" t="s">
        <v>1083</v>
      </c>
      <c r="E449" s="21" t="s">
        <v>910</v>
      </c>
      <c r="F449" s="21" t="s">
        <v>25</v>
      </c>
      <c r="G449" s="21" t="s">
        <v>2188</v>
      </c>
      <c r="H449" s="21" t="s">
        <v>2189</v>
      </c>
      <c r="I449" s="21" t="s">
        <v>24</v>
      </c>
      <c r="J449" s="13" t="str">
        <f t="shared" si="6"/>
        <v>insert into chb_datacheck_condition (CHECKCONDITIONID,CHECKRULEID,CHECKMETHOD,SRCPROPERTY,COMPARETO,OBJVALUE,REMARK,STATUS) values ('W84807E5-DFBD-D920-E050-007F010077FE','W84807E5-DFB8-D920-E050-007F010077FE','inArray','ASSET_TYPE2','==','1201,1210','当资产/负债类别为票据类/信用证类资产时','E');</v>
      </c>
    </row>
    <row r="450" spans="1:10" x14ac:dyDescent="0.25">
      <c r="A450" s="17">
        <v>447</v>
      </c>
      <c r="B450" s="21" t="s">
        <v>1818</v>
      </c>
      <c r="C450" s="21" t="s">
        <v>537</v>
      </c>
      <c r="D450" s="21" t="s">
        <v>1083</v>
      </c>
      <c r="E450" s="21" t="s">
        <v>1132</v>
      </c>
      <c r="F450" s="21" t="s">
        <v>25</v>
      </c>
      <c r="G450" s="21" t="s">
        <v>2200</v>
      </c>
      <c r="H450" s="21" t="s">
        <v>2201</v>
      </c>
      <c r="I450" s="21" t="s">
        <v>24</v>
      </c>
      <c r="J450" s="13" t="str">
        <f t="shared" si="6"/>
        <v>insert into chb_datacheck_condition (CHECKCONDITIONID,CHECKRULEID,CHECKMETHOD,SRCPROPERTY,COMPARETO,OBJVALUE,REMARK,STATUS) values ('WADFD6FB32EB4CF1E1536D5C010AD0CE    ','W84807E5-EF00-D001-E050-007F010077FD','inArray','GUA_TYPE','==','03,04','当“担保方式”选择“抵押”或“质押”时','E');</v>
      </c>
    </row>
    <row r="451" spans="1:10" x14ac:dyDescent="0.25">
      <c r="A451" s="17">
        <v>448</v>
      </c>
      <c r="B451" s="21" t="s">
        <v>1819</v>
      </c>
      <c r="C451" s="21" t="s">
        <v>538</v>
      </c>
      <c r="D451" s="21" t="s">
        <v>40</v>
      </c>
      <c r="E451" s="21" t="s">
        <v>1132</v>
      </c>
      <c r="F451" s="21" t="s">
        <v>25</v>
      </c>
      <c r="G451" s="21" t="s">
        <v>2202</v>
      </c>
      <c r="H451" s="21" t="s">
        <v>2201</v>
      </c>
      <c r="I451" s="21" t="s">
        <v>24</v>
      </c>
      <c r="J451" s="13" t="str">
        <f t="shared" si="6"/>
        <v>insert into chb_datacheck_condition (CHECKCONDITIONID,CHECKRULEID,CHECKMETHOD,SRCPROPERTY,COMPARETO,OBJVALUE,REMARK,STATUS) values ('WADFD6FB32EF4CF1E0536D5C010AD0CE    ','W84807E5-EF00-D002-E050-007F010077FD','compareValue','GUA_TYPE','==','03','当“担保方式”选择“抵押”或“质押”时','E');</v>
      </c>
    </row>
    <row r="452" spans="1:10" x14ac:dyDescent="0.25">
      <c r="A452" s="17">
        <v>449</v>
      </c>
      <c r="B452" s="21" t="s">
        <v>1820</v>
      </c>
      <c r="C452" s="21" t="s">
        <v>538</v>
      </c>
      <c r="D452" s="21" t="s">
        <v>1083</v>
      </c>
      <c r="E452" s="21" t="s">
        <v>910</v>
      </c>
      <c r="F452" s="21" t="s">
        <v>25</v>
      </c>
      <c r="G452" s="21" t="s">
        <v>2076</v>
      </c>
      <c r="H452" s="21" t="s">
        <v>2077</v>
      </c>
      <c r="I452" s="21" t="s">
        <v>24</v>
      </c>
      <c r="J452" s="13" t="str">
        <f t="shared" si="6"/>
        <v>insert into chb_datacheck_condition (CHECKCONDITIONID,CHECKRULEID,CHECKMETHOD,SRCPROPERTY,COMPARETO,OBJVALUE,REMARK,STATUS) values ('WADFD6FB32EE4CF1E0536D5C010AD0CE    ','W84807E5-EF00-D002-E050-007F010077FD','inArray','ASSET_TYPE2','==','1202,1203,1204,1205,1206,1207,1208,1209,2201,2202','当资产/负债类别为非标准化债权类资产/新增可投资资产时','E');</v>
      </c>
    </row>
    <row r="453" spans="1:10" x14ac:dyDescent="0.25">
      <c r="A453" s="17">
        <v>450</v>
      </c>
      <c r="B453" s="21" t="s">
        <v>1821</v>
      </c>
      <c r="C453" s="21" t="s">
        <v>539</v>
      </c>
      <c r="D453" s="21" t="s">
        <v>40</v>
      </c>
      <c r="E453" s="21" t="s">
        <v>1132</v>
      </c>
      <c r="F453" s="21" t="s">
        <v>25</v>
      </c>
      <c r="G453" s="21" t="s">
        <v>2121</v>
      </c>
      <c r="H453" s="21" t="s">
        <v>2201</v>
      </c>
      <c r="I453" s="21" t="s">
        <v>24</v>
      </c>
      <c r="J453" s="13" t="str">
        <f t="shared" ref="J453:J513" si="7">CONCATENATE("insert into chb_datacheck_condition (CHECKCONDITIONID,CHECKRULEID,CHECKMETHOD,SRCPROPERTY,COMPARETO,OBJVALUE,REMARK,STATUS) values ('",B453,"','",C453,"','",D453,"','",E453,"','",F453,"','",G453,"','",H453,"','",I453,"');")</f>
        <v>insert into chb_datacheck_condition (CHECKCONDITIONID,CHECKRULEID,CHECKMETHOD,SRCPROPERTY,COMPARETO,OBJVALUE,REMARK,STATUS) values ('WADFD6FB32F14CF1E0536D5C010AD0CE    ','W84807E5-EF00-D003-E050-007F010077FD','compareValue','GUA_TYPE','==','04','当“担保方式”选择“抵押”或“质押”时','E');</v>
      </c>
    </row>
    <row r="454" spans="1:10" x14ac:dyDescent="0.25">
      <c r="A454" s="17">
        <v>451</v>
      </c>
      <c r="B454" s="21" t="s">
        <v>1822</v>
      </c>
      <c r="C454" s="21" t="s">
        <v>539</v>
      </c>
      <c r="D454" s="21" t="s">
        <v>1083</v>
      </c>
      <c r="E454" s="21" t="s">
        <v>910</v>
      </c>
      <c r="F454" s="21" t="s">
        <v>25</v>
      </c>
      <c r="G454" s="21" t="s">
        <v>2076</v>
      </c>
      <c r="H454" s="21" t="s">
        <v>2077</v>
      </c>
      <c r="I454" s="21" t="s">
        <v>24</v>
      </c>
      <c r="J454" s="13" t="str">
        <f t="shared" si="7"/>
        <v>insert into chb_datacheck_condition (CHECKCONDITIONID,CHECKRULEID,CHECKMETHOD,SRCPROPERTY,COMPARETO,OBJVALUE,REMARK,STATUS) values ('WADFD6FB32F04CF1E0536D5C010AD0CE    ','W84807E5-EF00-D003-E050-007F010077FD','inArray','ASSET_TYPE2','==','1202,1203,1204,1205,1206,1207,1208,1209,2201,2202','当资产/负债类别为非标准化债权类资产/新增可投资资产时','E');</v>
      </c>
    </row>
    <row r="455" spans="1:10" x14ac:dyDescent="0.25">
      <c r="A455" s="17">
        <v>452</v>
      </c>
      <c r="B455" s="21" t="s">
        <v>1823</v>
      </c>
      <c r="C455" s="21" t="s">
        <v>540</v>
      </c>
      <c r="D455" s="21" t="s">
        <v>1083</v>
      </c>
      <c r="E455" s="21" t="s">
        <v>910</v>
      </c>
      <c r="F455" s="21" t="s">
        <v>25</v>
      </c>
      <c r="G455" s="21" t="s">
        <v>2076</v>
      </c>
      <c r="H455" s="21" t="s">
        <v>2077</v>
      </c>
      <c r="I455" s="21" t="s">
        <v>24</v>
      </c>
      <c r="J455" s="13" t="str">
        <f t="shared" si="7"/>
        <v>insert into chb_datacheck_condition (CHECKCONDITIONID,CHECKRULEID,CHECKMETHOD,SRCPROPERTY,COMPARETO,OBJVALUE,REMARK,STATUS) values ('WADFD6FB32F24CF1E0536D5C010AD0CE    ','W84807E5-EF00-D004-E050-007F010077FD','inArray','ASSET_TYPE2','==','1202,1203,1204,1205,1206,1207,1208,1209,2201,2202','当资产/负债类别为非标准化债权类资产/新增可投资资产时','E');</v>
      </c>
    </row>
    <row r="456" spans="1:10" x14ac:dyDescent="0.25">
      <c r="A456" s="17">
        <v>453</v>
      </c>
      <c r="B456" s="21" t="s">
        <v>1824</v>
      </c>
      <c r="C456" s="21" t="s">
        <v>2402</v>
      </c>
      <c r="D456" s="21" t="s">
        <v>1083</v>
      </c>
      <c r="E456" s="21" t="s">
        <v>1132</v>
      </c>
      <c r="F456" s="21" t="s">
        <v>41</v>
      </c>
      <c r="G456" s="21" t="s">
        <v>2200</v>
      </c>
      <c r="H456" s="21" t="s">
        <v>2203</v>
      </c>
      <c r="I456" s="21" t="s">
        <v>24</v>
      </c>
      <c r="J456" s="13" t="str">
        <f t="shared" si="7"/>
        <v>insert into chb_datacheck_condition (CHECKCONDITIONID,CHECKRULEID,CHECKMETHOD,SRCPROPERTY,COMPARETO,OBJVALUE,REMARK,STATUS) values ('WADFD6FB32F44CF1E0536D5C010AD0CE    ','W84807E5-EF00-D004-E050-007F010077FD','inArray','GUA_TYPE','!=','03,04','“担保方式”不是“抵押”或“质押”时','E');</v>
      </c>
    </row>
    <row r="457" spans="1:10" x14ac:dyDescent="0.25">
      <c r="A457" s="17">
        <v>454</v>
      </c>
      <c r="B457" s="21" t="s">
        <v>1825</v>
      </c>
      <c r="C457" s="21" t="s">
        <v>541</v>
      </c>
      <c r="D457" s="21" t="s">
        <v>62</v>
      </c>
      <c r="E457" s="21" t="s">
        <v>1132</v>
      </c>
      <c r="F457" s="21"/>
      <c r="G457" s="21" t="s">
        <v>26</v>
      </c>
      <c r="H457" s="21" t="s">
        <v>2163</v>
      </c>
      <c r="I457" s="21" t="s">
        <v>24</v>
      </c>
      <c r="J457" s="13" t="str">
        <f t="shared" si="7"/>
        <v>insert into chb_datacheck_condition (CHECKCONDITIONID,CHECKRULEID,CHECKMETHOD,SRCPROPERTY,COMPARETO,OBJVALUE,REMARK,STATUS) values ('WADFD6FB32F64CF1E0536D5C010AD0CE    ','W84807E5-EF00-D005-E050-007F010077FD','lessThanCharLength','GUA_TYPE','','0','“担保方式”为空时','E');</v>
      </c>
    </row>
    <row r="458" spans="1:10" x14ac:dyDescent="0.25">
      <c r="A458" s="17">
        <v>455</v>
      </c>
      <c r="B458" s="21" t="s">
        <v>1826</v>
      </c>
      <c r="C458" s="21" t="s">
        <v>541</v>
      </c>
      <c r="D458" s="21" t="s">
        <v>1083</v>
      </c>
      <c r="E458" s="21" t="s">
        <v>910</v>
      </c>
      <c r="F458" s="21" t="s">
        <v>25</v>
      </c>
      <c r="G458" s="21" t="s">
        <v>2076</v>
      </c>
      <c r="H458" s="21" t="s">
        <v>2077</v>
      </c>
      <c r="I458" s="21" t="s">
        <v>24</v>
      </c>
      <c r="J458" s="13" t="str">
        <f t="shared" si="7"/>
        <v>insert into chb_datacheck_condition (CHECKCONDITIONID,CHECKRULEID,CHECKMETHOD,SRCPROPERTY,COMPARETO,OBJVALUE,REMARK,STATUS) values ('WADFD6FB32F54CF1E0536D5C010AD0CE    ','W84807E5-EF00-D005-E050-007F010077FD','inArray','ASSET_TYPE2','==','1202,1203,1204,1205,1206,1207,1208,1209,2201,2202','当资产/负债类别为非标准化债权类资产/新增可投资资产时','E');</v>
      </c>
    </row>
    <row r="459" spans="1:10" x14ac:dyDescent="0.25">
      <c r="A459" s="17">
        <v>456</v>
      </c>
      <c r="B459" s="21" t="s">
        <v>1827</v>
      </c>
      <c r="C459" s="21" t="s">
        <v>542</v>
      </c>
      <c r="D459" s="21" t="s">
        <v>1083</v>
      </c>
      <c r="E459" s="21" t="s">
        <v>1132</v>
      </c>
      <c r="F459" s="21" t="s">
        <v>25</v>
      </c>
      <c r="G459" s="21" t="s">
        <v>2200</v>
      </c>
      <c r="H459" s="21" t="s">
        <v>2201</v>
      </c>
      <c r="I459" s="21" t="s">
        <v>24</v>
      </c>
      <c r="J459" s="13" t="str">
        <f t="shared" si="7"/>
        <v>insert into chb_datacheck_condition (CHECKCONDITIONID,CHECKRULEID,CHECKMETHOD,SRCPROPERTY,COMPARETO,OBJVALUE,REMARK,STATUS) values ('WADFD6FB34044CF1E1536D5C010AD0CE    ','W84807E5-EF00-D006-E050-007F010077FD','inArray','GUA_TYPE','==','03,04','当“担保方式”选择“抵押”或“质押”时','E');</v>
      </c>
    </row>
    <row r="460" spans="1:10" x14ac:dyDescent="0.25">
      <c r="A460" s="17">
        <v>457</v>
      </c>
      <c r="B460" s="21" t="s">
        <v>1828</v>
      </c>
      <c r="C460" s="21" t="s">
        <v>543</v>
      </c>
      <c r="D460" s="21" t="s">
        <v>40</v>
      </c>
      <c r="E460" s="21" t="s">
        <v>1132</v>
      </c>
      <c r="F460" s="21" t="s">
        <v>25</v>
      </c>
      <c r="G460" s="21" t="s">
        <v>53</v>
      </c>
      <c r="H460" s="21" t="s">
        <v>2204</v>
      </c>
      <c r="I460" s="21" t="s">
        <v>24</v>
      </c>
      <c r="J460" s="13" t="str">
        <f t="shared" si="7"/>
        <v>insert into chb_datacheck_condition (CHECKCONDITIONID,CHECKRULEID,CHECKMETHOD,SRCPROPERTY,COMPARETO,OBJVALUE,REMARK,STATUS) values ('WADFD6FB32F84CF1E0536D5C010AD0CE    ','W84807E5-EF00-D007-E050-007F010077FD','compareValue','GUA_TYPE','==','01','当“担保方式”选择“信用担保”或“第三方保证”时','E');</v>
      </c>
    </row>
    <row r="461" spans="1:10" x14ac:dyDescent="0.25">
      <c r="A461" s="17">
        <v>458</v>
      </c>
      <c r="B461" s="21" t="s">
        <v>1829</v>
      </c>
      <c r="C461" s="21" t="s">
        <v>543</v>
      </c>
      <c r="D461" s="21" t="s">
        <v>1083</v>
      </c>
      <c r="E461" s="21" t="s">
        <v>910</v>
      </c>
      <c r="F461" s="21" t="s">
        <v>25</v>
      </c>
      <c r="G461" s="21" t="s">
        <v>2076</v>
      </c>
      <c r="H461" s="21" t="s">
        <v>2077</v>
      </c>
      <c r="I461" s="21" t="s">
        <v>24</v>
      </c>
      <c r="J461" s="13" t="str">
        <f t="shared" si="7"/>
        <v>insert into chb_datacheck_condition (CHECKCONDITIONID,CHECKRULEID,CHECKMETHOD,SRCPROPERTY,COMPARETO,OBJVALUE,REMARK,STATUS) values ('WADFD6FB32F74CF1E0536D5C010AD0CE    ','W84807E5-EF00-D007-E050-007F010077FD','inArray','ASSET_TYPE2','==','1202,1203,1204,1205,1206,1207,1208,1209,2201,2202','当资产/负债类别为非标准化债权类资产/新增可投资资产时','E');</v>
      </c>
    </row>
    <row r="462" spans="1:10" x14ac:dyDescent="0.25">
      <c r="A462" s="17">
        <v>459</v>
      </c>
      <c r="B462" s="21" t="s">
        <v>1830</v>
      </c>
      <c r="C462" s="21" t="s">
        <v>544</v>
      </c>
      <c r="D462" s="21" t="s">
        <v>40</v>
      </c>
      <c r="E462" s="21" t="s">
        <v>1132</v>
      </c>
      <c r="F462" s="21" t="s">
        <v>25</v>
      </c>
      <c r="G462" s="21" t="s">
        <v>54</v>
      </c>
      <c r="H462" s="21" t="s">
        <v>2204</v>
      </c>
      <c r="I462" s="21" t="s">
        <v>24</v>
      </c>
      <c r="J462" s="13" t="str">
        <f t="shared" si="7"/>
        <v>insert into chb_datacheck_condition (CHECKCONDITIONID,CHECKRULEID,CHECKMETHOD,SRCPROPERTY,COMPARETO,OBJVALUE,REMARK,STATUS) values ('WADFD6FB32FA4CF1E0536D5C010AD0CE    ','W84807E5-EF00-D008-E050-007F010077FD','compareValue','GUA_TYPE','==','02','当“担保方式”选择“信用担保”或“第三方保证”时','E');</v>
      </c>
    </row>
    <row r="463" spans="1:10" x14ac:dyDescent="0.25">
      <c r="A463" s="17">
        <v>460</v>
      </c>
      <c r="B463" s="21" t="s">
        <v>1831</v>
      </c>
      <c r="C463" s="21" t="s">
        <v>544</v>
      </c>
      <c r="D463" s="21" t="s">
        <v>1083</v>
      </c>
      <c r="E463" s="21" t="s">
        <v>910</v>
      </c>
      <c r="F463" s="21" t="s">
        <v>25</v>
      </c>
      <c r="G463" s="21" t="s">
        <v>2076</v>
      </c>
      <c r="H463" s="21" t="s">
        <v>2077</v>
      </c>
      <c r="I463" s="21" t="s">
        <v>24</v>
      </c>
      <c r="J463" s="13" t="str">
        <f t="shared" si="7"/>
        <v>insert into chb_datacheck_condition (CHECKCONDITIONID,CHECKRULEID,CHECKMETHOD,SRCPROPERTY,COMPARETO,OBJVALUE,REMARK,STATUS) values ('WADFD6FB32F94CF1E0536D5C010AD0CE    ','W84807E5-EF00-D008-E050-007F010077FD','inArray','ASSET_TYPE2','==','1202,1203,1204,1205,1206,1207,1208,1209,2201,2202','当资产/负债类别为非标准化债权类资产/新增可投资资产时','E');</v>
      </c>
    </row>
    <row r="464" spans="1:10" x14ac:dyDescent="0.25">
      <c r="A464" s="17">
        <v>461</v>
      </c>
      <c r="B464" s="21" t="s">
        <v>1832</v>
      </c>
      <c r="C464" s="21" t="s">
        <v>545</v>
      </c>
      <c r="D464" s="21" t="s">
        <v>1083</v>
      </c>
      <c r="E464" s="21" t="s">
        <v>910</v>
      </c>
      <c r="F464" s="21" t="s">
        <v>25</v>
      </c>
      <c r="G464" s="21" t="s">
        <v>2076</v>
      </c>
      <c r="H464" s="21" t="s">
        <v>2077</v>
      </c>
      <c r="I464" s="21" t="s">
        <v>24</v>
      </c>
      <c r="J464" s="13" t="str">
        <f t="shared" si="7"/>
        <v>insert into chb_datacheck_condition (CHECKCONDITIONID,CHECKRULEID,CHECKMETHOD,SRCPROPERTY,COMPARETO,OBJVALUE,REMARK,STATUS) values ('WADFD6FB32FB4CF1E0536D5C010AD0CE    ','W84807E5-EF00-D009-E050-007F010077FD','inArray','ASSET_TYPE2','==','1202,1203,1204,1205,1206,1207,1208,1209,2201,2202','当资产/负债类别为非标准化债权类资产/新增可投资资产时','E');</v>
      </c>
    </row>
    <row r="465" spans="1:10" x14ac:dyDescent="0.25">
      <c r="A465" s="17">
        <v>462</v>
      </c>
      <c r="B465" s="21" t="s">
        <v>1833</v>
      </c>
      <c r="C465" s="21" t="s">
        <v>545</v>
      </c>
      <c r="D465" s="21" t="s">
        <v>1083</v>
      </c>
      <c r="E465" s="21" t="s">
        <v>1132</v>
      </c>
      <c r="F465" s="21" t="s">
        <v>41</v>
      </c>
      <c r="G465" s="21" t="s">
        <v>2205</v>
      </c>
      <c r="H465" s="21" t="s">
        <v>2206</v>
      </c>
      <c r="I465" s="21" t="s">
        <v>24</v>
      </c>
      <c r="J465" s="13" t="str">
        <f t="shared" si="7"/>
        <v>insert into chb_datacheck_condition (CHECKCONDITIONID,CHECKRULEID,CHECKMETHOD,SRCPROPERTY,COMPARETO,OBJVALUE,REMARK,STATUS) values ('WADFD6FB32FD4CF1E0536D5C010AD0CE    ','W84807E5-EF00-D009-E050-007F010077FD','inArray','GUA_TYPE','!=','01,02','“担保方式”不是“信用担保”或“第三方保证”时','E');</v>
      </c>
    </row>
    <row r="466" spans="1:10" x14ac:dyDescent="0.25">
      <c r="A466" s="17">
        <v>463</v>
      </c>
      <c r="B466" s="21" t="s">
        <v>1835</v>
      </c>
      <c r="C466" s="21" t="s">
        <v>547</v>
      </c>
      <c r="D466" s="21" t="s">
        <v>1083</v>
      </c>
      <c r="E466" s="21" t="s">
        <v>910</v>
      </c>
      <c r="F466" s="21" t="s">
        <v>25</v>
      </c>
      <c r="G466" s="21" t="s">
        <v>2076</v>
      </c>
      <c r="H466" s="21" t="s">
        <v>2077</v>
      </c>
      <c r="I466" s="21" t="s">
        <v>24</v>
      </c>
      <c r="J466" s="13" t="str">
        <f t="shared" si="7"/>
        <v>insert into chb_datacheck_condition (CHECKCONDITIONID,CHECKRULEID,CHECKMETHOD,SRCPROPERTY,COMPARETO,OBJVALUE,REMARK,STATUS) values ('WADFD6FB33004CF1E0536D5C010AD0CE    ','W84807E5-EF00-D012-E050-007F010077FD','inArray','ASSET_TYPE2','==','1202,1203,1204,1205,1206,1207,1208,1209,2201,2202','当资产/负债类别为非标准化债权类资产/新增可投资资产时','E');</v>
      </c>
    </row>
    <row r="467" spans="1:10" x14ac:dyDescent="0.25">
      <c r="A467" s="17">
        <v>464</v>
      </c>
      <c r="B467" s="21" t="s">
        <v>1834</v>
      </c>
      <c r="C467" s="21" t="s">
        <v>547</v>
      </c>
      <c r="D467" s="21" t="s">
        <v>40</v>
      </c>
      <c r="E467" s="21" t="s">
        <v>1132</v>
      </c>
      <c r="F467" s="21" t="s">
        <v>25</v>
      </c>
      <c r="G467" s="21" t="s">
        <v>53</v>
      </c>
      <c r="H467" s="21" t="s">
        <v>2204</v>
      </c>
      <c r="I467" s="21" t="s">
        <v>24</v>
      </c>
      <c r="J467" s="13" t="str">
        <f t="shared" si="7"/>
        <v>insert into chb_datacheck_condition (CHECKCONDITIONID,CHECKRULEID,CHECKMETHOD,SRCPROPERTY,COMPARETO,OBJVALUE,REMARK,STATUS) values ('WADFD6FB33014CF1E0536D5C010AD0CE    ','W84807E5-EF00-D012-E050-007F010077FD','compareValue','GUA_TYPE','==','01','当“担保方式”选择“信用担保”或“第三方保证”时','E');</v>
      </c>
    </row>
    <row r="468" spans="1:10" x14ac:dyDescent="0.25">
      <c r="A468" s="17">
        <v>465</v>
      </c>
      <c r="B468" s="21" t="s">
        <v>1836</v>
      </c>
      <c r="C468" s="21" t="s">
        <v>548</v>
      </c>
      <c r="D468" s="21" t="s">
        <v>40</v>
      </c>
      <c r="E468" s="21" t="s">
        <v>1132</v>
      </c>
      <c r="F468" s="21" t="s">
        <v>25</v>
      </c>
      <c r="G468" s="21" t="s">
        <v>54</v>
      </c>
      <c r="H468" s="21" t="s">
        <v>2204</v>
      </c>
      <c r="I468" s="21" t="s">
        <v>24</v>
      </c>
      <c r="J468" s="13" t="str">
        <f t="shared" si="7"/>
        <v>insert into chb_datacheck_condition (CHECKCONDITIONID,CHECKRULEID,CHECKMETHOD,SRCPROPERTY,COMPARETO,OBJVALUE,REMARK,STATUS) values ('WADFD6FB33034CF1E0536D5C010AD0CE    ','W84807E5-EF00-D013-E050-007F010077FD','compareValue','GUA_TYPE','==','02','当“担保方式”选择“信用担保”或“第三方保证”时','E');</v>
      </c>
    </row>
    <row r="469" spans="1:10" x14ac:dyDescent="0.25">
      <c r="A469" s="17">
        <v>466</v>
      </c>
      <c r="B469" s="21" t="s">
        <v>1837</v>
      </c>
      <c r="C469" s="21" t="s">
        <v>548</v>
      </c>
      <c r="D469" s="21" t="s">
        <v>1083</v>
      </c>
      <c r="E469" s="21" t="s">
        <v>910</v>
      </c>
      <c r="F469" s="21" t="s">
        <v>25</v>
      </c>
      <c r="G469" s="21" t="s">
        <v>2076</v>
      </c>
      <c r="H469" s="21" t="s">
        <v>2077</v>
      </c>
      <c r="I469" s="21" t="s">
        <v>24</v>
      </c>
      <c r="J469" s="13" t="str">
        <f t="shared" si="7"/>
        <v>insert into chb_datacheck_condition (CHECKCONDITIONID,CHECKRULEID,CHECKMETHOD,SRCPROPERTY,COMPARETO,OBJVALUE,REMARK,STATUS) values ('WADFD6FB33024CF1E0536D5C010AD0CE    ','W84807E5-EF00-D013-E050-007F010077FD','inArray','ASSET_TYPE2','==','1202,1203,1204,1205,1206,1207,1208,1209,2201,2202','当资产/负债类别为非标准化债权类资产/新增可投资资产时','E');</v>
      </c>
    </row>
    <row r="470" spans="1:10" x14ac:dyDescent="0.25">
      <c r="A470" s="17">
        <v>467</v>
      </c>
      <c r="B470" s="21" t="s">
        <v>2299</v>
      </c>
      <c r="C470" s="21" t="s">
        <v>549</v>
      </c>
      <c r="D470" s="21" t="s">
        <v>1083</v>
      </c>
      <c r="E470" s="21" t="s">
        <v>1132</v>
      </c>
      <c r="F470" s="21" t="s">
        <v>41</v>
      </c>
      <c r="G470" s="21" t="s">
        <v>2205</v>
      </c>
      <c r="H470" s="21" t="s">
        <v>2206</v>
      </c>
      <c r="I470" s="21" t="s">
        <v>24</v>
      </c>
      <c r="J470" s="13" t="str">
        <f t="shared" si="7"/>
        <v>insert into chb_datacheck_condition (CHECKCONDITIONID,CHECKRULEID,CHECKMETHOD,SRCPROPERTY,COMPARETO,OBJVALUE,REMARK,STATUS) values ('WHDFD6FB33084CF1E0536D5C010AD0CE    ','W84807E5-EF00-D015-E050-007F010077FD','inArray','GUA_TYPE','!=','01,02','“担保方式”不是“信用担保”或“第三方保证”时','E');</v>
      </c>
    </row>
    <row r="471" spans="1:10" x14ac:dyDescent="0.25">
      <c r="A471" s="17">
        <v>468</v>
      </c>
      <c r="B471" s="21" t="s">
        <v>1838</v>
      </c>
      <c r="C471" s="21" t="s">
        <v>549</v>
      </c>
      <c r="D471" s="21" t="s">
        <v>1083</v>
      </c>
      <c r="E471" s="21" t="s">
        <v>910</v>
      </c>
      <c r="F471" s="21" t="s">
        <v>25</v>
      </c>
      <c r="G471" s="21" t="s">
        <v>2076</v>
      </c>
      <c r="H471" s="21" t="s">
        <v>2077</v>
      </c>
      <c r="I471" s="21" t="s">
        <v>24</v>
      </c>
      <c r="J471" s="13" t="str">
        <f t="shared" si="7"/>
        <v>insert into chb_datacheck_condition (CHECKCONDITIONID,CHECKRULEID,CHECKMETHOD,SRCPROPERTY,COMPARETO,OBJVALUE,REMARK,STATUS) values ('WADFD6FB33064CF1E0536D5C010AD0CE    ','W84807E5-EF00-D015-E050-007F010077FD','inArray','ASSET_TYPE2','==','1202,1203,1204,1205,1206,1207,1208,1209,2201,2202','当资产/负债类别为非标准化债权类资产/新增可投资资产时','E');</v>
      </c>
    </row>
    <row r="472" spans="1:10" x14ac:dyDescent="0.25">
      <c r="A472" s="17">
        <v>469</v>
      </c>
      <c r="B472" s="21" t="s">
        <v>1839</v>
      </c>
      <c r="C472" s="21" t="s">
        <v>551</v>
      </c>
      <c r="D472" s="21" t="s">
        <v>1083</v>
      </c>
      <c r="E472" s="21" t="s">
        <v>910</v>
      </c>
      <c r="F472" s="21" t="s">
        <v>25</v>
      </c>
      <c r="G472" s="21" t="s">
        <v>2215</v>
      </c>
      <c r="H472" s="21" t="s">
        <v>2216</v>
      </c>
      <c r="I472" s="21" t="s">
        <v>24</v>
      </c>
      <c r="J472" s="13" t="str">
        <f t="shared" si="7"/>
        <v>insert into chb_datacheck_condition (CHECKCONDITIONID,CHECKRULEID,CHECKMETHOD,SRCPROPERTY,COMPARETO,OBJVALUE,REMARK,STATUS) values ('WADFD6FB330C4CF1E0536D5C010AD0CE    ','W84807E5-EF00-D018-E050-007F010077FD','inArray','ASSET_TYPE2','==','2201,2202','当资产/负债类别为新增可投资资产时','E');</v>
      </c>
    </row>
    <row r="473" spans="1:10" x14ac:dyDescent="0.25">
      <c r="A473" s="17">
        <v>470</v>
      </c>
      <c r="B473" s="21" t="s">
        <v>1840</v>
      </c>
      <c r="C473" s="21" t="s">
        <v>553</v>
      </c>
      <c r="D473" s="21" t="s">
        <v>22</v>
      </c>
      <c r="E473" s="21" t="s">
        <v>1294</v>
      </c>
      <c r="F473" s="21"/>
      <c r="G473" s="21" t="s">
        <v>26</v>
      </c>
      <c r="H473" s="21" t="s">
        <v>2208</v>
      </c>
      <c r="I473" s="21" t="s">
        <v>24</v>
      </c>
      <c r="J473" s="13" t="str">
        <f t="shared" si="7"/>
        <v>insert into chb_datacheck_condition (CHECKCONDITIONID,CHECKRULEID,CHECKMETHOD,SRCPROPERTY,COMPARETO,OBJVALUE,REMARK,STATUS) values ('WADFD6FB330D4CF1E0536D5C010AD0CE    ','W84807E5-EF00-D020-E050-007F010077FD','isNotEmpty','CONTAIN_TYPE','','0','当“含权类型”不为空时','E');</v>
      </c>
    </row>
    <row r="474" spans="1:10" x14ac:dyDescent="0.25">
      <c r="A474" s="17">
        <v>471</v>
      </c>
      <c r="B474" s="21" t="s">
        <v>1841</v>
      </c>
      <c r="C474" s="21" t="s">
        <v>554</v>
      </c>
      <c r="D474" s="21" t="s">
        <v>62</v>
      </c>
      <c r="E474" s="21" t="s">
        <v>1294</v>
      </c>
      <c r="F474" s="21" t="s">
        <v>25</v>
      </c>
      <c r="G474" s="21" t="s">
        <v>26</v>
      </c>
      <c r="H474" s="21" t="s">
        <v>2209</v>
      </c>
      <c r="I474" s="21" t="s">
        <v>24</v>
      </c>
      <c r="J474" s="13" t="str">
        <f t="shared" si="7"/>
        <v>insert into chb_datacheck_condition (CHECKCONDITIONID,CHECKRULEID,CHECKMETHOD,SRCPROPERTY,COMPARETO,OBJVALUE,REMARK,STATUS) values ('WADFD6FB330E4CF1E0536D5C010AD0CE    ','W84807E5-EF00-D021-E050-007F010077FD','lessThanCharLength','CONTAIN_TYPE','==','0','当“含权类型”为空时','E');</v>
      </c>
    </row>
    <row r="475" spans="1:10" x14ac:dyDescent="0.25">
      <c r="A475" s="17">
        <v>472</v>
      </c>
      <c r="B475" s="21" t="s">
        <v>1842</v>
      </c>
      <c r="C475" s="21" t="s">
        <v>556</v>
      </c>
      <c r="D475" s="21" t="s">
        <v>40</v>
      </c>
      <c r="E475" s="21" t="s">
        <v>1298</v>
      </c>
      <c r="F475" s="21" t="s">
        <v>25</v>
      </c>
      <c r="G475" s="21" t="s">
        <v>54</v>
      </c>
      <c r="H475" s="21" t="s">
        <v>2210</v>
      </c>
      <c r="I475" s="21" t="s">
        <v>24</v>
      </c>
      <c r="J475" s="13" t="str">
        <f t="shared" si="7"/>
        <v>insert into chb_datacheck_condition (CHECKCONDITIONID,CHECKRULEID,CHECKMETHOD,SRCPROPERTY,COMPARETO,OBJVALUE,REMARK,STATUS) values ('WADFD6FB330F4CF1E0536D5C010AD0CE    ','W84807E5-EF00-D023-E050-007F010077FD','compareValue','EXERCISE_TYPE','==','02','当“行权方式”选择“02 欧式期权”时','E');</v>
      </c>
    </row>
    <row r="476" spans="1:10" x14ac:dyDescent="0.25">
      <c r="A476" s="17">
        <v>473</v>
      </c>
      <c r="B476" s="21" t="s">
        <v>1843</v>
      </c>
      <c r="C476" s="21" t="s">
        <v>557</v>
      </c>
      <c r="D476" s="21" t="s">
        <v>40</v>
      </c>
      <c r="E476" s="21" t="s">
        <v>1298</v>
      </c>
      <c r="F476" s="21" t="s">
        <v>41</v>
      </c>
      <c r="G476" s="21" t="s">
        <v>54</v>
      </c>
      <c r="H476" s="21" t="s">
        <v>2211</v>
      </c>
      <c r="I476" s="21" t="s">
        <v>24</v>
      </c>
      <c r="J476" s="13" t="str">
        <f t="shared" si="7"/>
        <v>insert into chb_datacheck_condition (CHECKCONDITIONID,CHECKRULEID,CHECKMETHOD,SRCPROPERTY,COMPARETO,OBJVALUE,REMARK,STATUS) values ('WADFD6FB33104CF1E0536D5C010AD0CE    ','W84807E5-EF00-D024-E050-007F010077FD','compareValue','EXERCISE_TYPE','!=','02','当“行权方式”不选择“02 欧式期权”或为空时','E');</v>
      </c>
    </row>
    <row r="477" spans="1:10" x14ac:dyDescent="0.25">
      <c r="A477" s="17">
        <v>474</v>
      </c>
      <c r="B477" s="21" t="s">
        <v>1844</v>
      </c>
      <c r="C477" s="21" t="s">
        <v>2388</v>
      </c>
      <c r="D477" s="21" t="s">
        <v>62</v>
      </c>
      <c r="E477" s="21" t="s">
        <v>1298</v>
      </c>
      <c r="F477" s="21"/>
      <c r="G477" s="21" t="s">
        <v>26</v>
      </c>
      <c r="H477" s="21" t="s">
        <v>2211</v>
      </c>
      <c r="I477" s="21" t="s">
        <v>2378</v>
      </c>
      <c r="J477" s="13" t="str">
        <f t="shared" si="7"/>
        <v>insert into chb_datacheck_condition (CHECKCONDITIONID,CHECKRULEID,CHECKMETHOD,SRCPROPERTY,COMPARETO,OBJVALUE,REMARK,STATUS) values ('WADFD6FB33114CF1E0536D5C010AD0CE    ','W84807E5-EF00-D025-E050-007F010077FD','lessThanCharLength','EXERCISE_TYPE','','0','当“行权方式”不选择“02 欧式期权”或为空时','D');</v>
      </c>
    </row>
    <row r="478" spans="1:10" x14ac:dyDescent="0.25">
      <c r="A478" s="17">
        <v>475</v>
      </c>
      <c r="B478" s="21" t="s">
        <v>1845</v>
      </c>
      <c r="C478" s="21" t="s">
        <v>559</v>
      </c>
      <c r="D478" s="21" t="s">
        <v>40</v>
      </c>
      <c r="E478" s="21" t="s">
        <v>1298</v>
      </c>
      <c r="F478" s="21" t="s">
        <v>25</v>
      </c>
      <c r="G478" s="21" t="s">
        <v>2202</v>
      </c>
      <c r="H478" s="21" t="s">
        <v>2212</v>
      </c>
      <c r="I478" s="21" t="s">
        <v>24</v>
      </c>
      <c r="J478" s="13" t="str">
        <f t="shared" si="7"/>
        <v>insert into chb_datacheck_condition (CHECKCONDITIONID,CHECKRULEID,CHECKMETHOD,SRCPROPERTY,COMPARETO,OBJVALUE,REMARK,STATUS) values ('WADFD6FB33124CF1E0536D5C010AD0CE    ','W84807E5-EF00-D027-E050-007F010077FD','compareValue','EXERCISE_TYPE','==','03','当“行权方式”选择“03 百慕大期权”时','E');</v>
      </c>
    </row>
    <row r="479" spans="1:10" x14ac:dyDescent="0.25">
      <c r="A479" s="17">
        <v>476</v>
      </c>
      <c r="B479" s="21" t="s">
        <v>1846</v>
      </c>
      <c r="C479" s="21" t="s">
        <v>560</v>
      </c>
      <c r="D479" s="21" t="s">
        <v>40</v>
      </c>
      <c r="E479" s="21" t="s">
        <v>1298</v>
      </c>
      <c r="F479" s="21" t="s">
        <v>41</v>
      </c>
      <c r="G479" s="21" t="s">
        <v>2202</v>
      </c>
      <c r="H479" s="21" t="s">
        <v>2213</v>
      </c>
      <c r="I479" s="21" t="s">
        <v>24</v>
      </c>
      <c r="J479" s="13" t="str">
        <f t="shared" si="7"/>
        <v>insert into chb_datacheck_condition (CHECKCONDITIONID,CHECKRULEID,CHECKMETHOD,SRCPROPERTY,COMPARETO,OBJVALUE,REMARK,STATUS) values ('WADFD6FB33134CF1E0536D5C010AD0CE    ','W84807E5-EF00-D028-E050-007F010077FD','compareValue','EXERCISE_TYPE','!=','03','当“行权方式”不选择“03 百慕大期权”或为空时','E');</v>
      </c>
    </row>
    <row r="480" spans="1:10" x14ac:dyDescent="0.25">
      <c r="A480" s="17">
        <v>477</v>
      </c>
      <c r="B480" s="21" t="s">
        <v>1847</v>
      </c>
      <c r="C480" s="21" t="s">
        <v>2390</v>
      </c>
      <c r="D480" s="21" t="s">
        <v>62</v>
      </c>
      <c r="E480" s="21" t="s">
        <v>1298</v>
      </c>
      <c r="F480" s="21"/>
      <c r="G480" s="21" t="s">
        <v>26</v>
      </c>
      <c r="H480" s="21" t="s">
        <v>2213</v>
      </c>
      <c r="I480" s="21" t="s">
        <v>2386</v>
      </c>
      <c r="J480" s="13" t="str">
        <f t="shared" si="7"/>
        <v>insert into chb_datacheck_condition (CHECKCONDITIONID,CHECKRULEID,CHECKMETHOD,SRCPROPERTY,COMPARETO,OBJVALUE,REMARK,STATUS) values ('WADFD6FB33144CF1E0536D5C010AD0CE    ','W84807E5-EF00-D029-E050-007F010077FD','lessThanCharLength','EXERCISE_TYPE','','0','当“行权方式”不选择“03 百慕大期权”或为空时','D');</v>
      </c>
    </row>
    <row r="481" spans="1:10" x14ac:dyDescent="0.25">
      <c r="A481" s="17">
        <v>478</v>
      </c>
      <c r="B481" s="21" t="s">
        <v>1848</v>
      </c>
      <c r="C481" s="21" t="s">
        <v>562</v>
      </c>
      <c r="D481" s="21" t="s">
        <v>40</v>
      </c>
      <c r="E481" s="21" t="s">
        <v>1298</v>
      </c>
      <c r="F481" s="21" t="s">
        <v>25</v>
      </c>
      <c r="G481" s="21" t="s">
        <v>2202</v>
      </c>
      <c r="H481" s="21" t="s">
        <v>2212</v>
      </c>
      <c r="I481" s="21" t="s">
        <v>24</v>
      </c>
      <c r="J481" s="13" t="str">
        <f t="shared" si="7"/>
        <v>insert into chb_datacheck_condition (CHECKCONDITIONID,CHECKRULEID,CHECKMETHOD,SRCPROPERTY,COMPARETO,OBJVALUE,REMARK,STATUS) values ('WADFD6FB33154CF1E0536D5C010AD0CE    ','W84807E5-EF00-D031-E050-007F010077FD','compareValue','EXERCISE_TYPE','==','03','当“行权方式”选择“03 百慕大期权”时','E');</v>
      </c>
    </row>
    <row r="482" spans="1:10" x14ac:dyDescent="0.25">
      <c r="A482" s="17">
        <v>479</v>
      </c>
      <c r="B482" s="21" t="s">
        <v>1849</v>
      </c>
      <c r="C482" s="21" t="s">
        <v>563</v>
      </c>
      <c r="D482" s="21" t="s">
        <v>40</v>
      </c>
      <c r="E482" s="21" t="s">
        <v>1298</v>
      </c>
      <c r="F482" s="21" t="s">
        <v>41</v>
      </c>
      <c r="G482" s="21" t="s">
        <v>2202</v>
      </c>
      <c r="H482" s="21" t="s">
        <v>2213</v>
      </c>
      <c r="I482" s="21" t="s">
        <v>24</v>
      </c>
      <c r="J482" s="13" t="str">
        <f t="shared" si="7"/>
        <v>insert into chb_datacheck_condition (CHECKCONDITIONID,CHECKRULEID,CHECKMETHOD,SRCPROPERTY,COMPARETO,OBJVALUE,REMARK,STATUS) values ('WADFD6FB33164CF1E0536D5C010AD0CE    ','W84807E5-EF00-D032-E050-007F010077FD','compareValue','EXERCISE_TYPE','!=','03','当“行权方式”不选择“03 百慕大期权”或为空时','E');</v>
      </c>
    </row>
    <row r="483" spans="1:10" x14ac:dyDescent="0.25">
      <c r="A483" s="17">
        <v>480</v>
      </c>
      <c r="B483" s="21" t="s">
        <v>1850</v>
      </c>
      <c r="C483" s="21" t="s">
        <v>2382</v>
      </c>
      <c r="D483" s="21" t="s">
        <v>62</v>
      </c>
      <c r="E483" s="21" t="s">
        <v>1298</v>
      </c>
      <c r="F483" s="21"/>
      <c r="G483" s="21" t="s">
        <v>26</v>
      </c>
      <c r="H483" s="21" t="s">
        <v>2213</v>
      </c>
      <c r="I483" s="21" t="s">
        <v>2387</v>
      </c>
      <c r="J483" s="13" t="str">
        <f t="shared" si="7"/>
        <v>insert into chb_datacheck_condition (CHECKCONDITIONID,CHECKRULEID,CHECKMETHOD,SRCPROPERTY,COMPARETO,OBJVALUE,REMARK,STATUS) values ('WADFD6FB33174CF1E0536D5C010AD0CE    ','W84807E5-EF00-D033-E050-007F010077FD','lessThanCharLength','EXERCISE_TYPE','','0','当“行权方式”不选择“03 百慕大期权”或为空时','D');</v>
      </c>
    </row>
    <row r="484" spans="1:10" x14ac:dyDescent="0.25">
      <c r="A484" s="17">
        <v>481</v>
      </c>
      <c r="B484" s="21" t="s">
        <v>1851</v>
      </c>
      <c r="C484" s="21" t="s">
        <v>566</v>
      </c>
      <c r="D484" s="21" t="s">
        <v>40</v>
      </c>
      <c r="E484" s="21" t="s">
        <v>1294</v>
      </c>
      <c r="F484" s="21" t="s">
        <v>25</v>
      </c>
      <c r="G484" s="21" t="s">
        <v>53</v>
      </c>
      <c r="H484" s="21" t="s">
        <v>2214</v>
      </c>
      <c r="I484" s="21" t="s">
        <v>24</v>
      </c>
      <c r="J484" s="13" t="str">
        <f t="shared" si="7"/>
        <v>insert into chb_datacheck_condition (CHECKCONDITIONID,CHECKRULEID,CHECKMETHOD,SRCPROPERTY,COMPARETO,OBJVALUE,REMARK,STATUS) values ('WADFD6FB33184CF1E0536D5C010AD0CE    ','W84807E5-EF00-D036-E050-007F010077FD','compareValue','CONTAIN_TYPE','==','01','当“含权类型”选择“01 发行人赎回选择权”或“04投资人回售选择权”时','E');</v>
      </c>
    </row>
    <row r="485" spans="1:10" x14ac:dyDescent="0.25">
      <c r="A485" s="17">
        <v>482</v>
      </c>
      <c r="B485" s="21" t="s">
        <v>1852</v>
      </c>
      <c r="C485" s="21" t="s">
        <v>567</v>
      </c>
      <c r="D485" s="21" t="s">
        <v>40</v>
      </c>
      <c r="E485" s="21" t="s">
        <v>1294</v>
      </c>
      <c r="F485" s="21" t="s">
        <v>25</v>
      </c>
      <c r="G485" s="21" t="s">
        <v>2121</v>
      </c>
      <c r="H485" s="21" t="s">
        <v>2214</v>
      </c>
      <c r="I485" s="21" t="s">
        <v>24</v>
      </c>
      <c r="J485" s="13" t="str">
        <f t="shared" si="7"/>
        <v>insert into chb_datacheck_condition (CHECKCONDITIONID,CHECKRULEID,CHECKMETHOD,SRCPROPERTY,COMPARETO,OBJVALUE,REMARK,STATUS) values ('WADFD6FB33194CF1E0536D5C010AD0CE    ','W84807E5-EF00-D037-E050-007F010077FD','compareValue','CONTAIN_TYPE','==','04','当“含权类型”选择“01 发行人赎回选择权”或“04投资人回售选择权”时','E');</v>
      </c>
    </row>
    <row r="486" spans="1:10" x14ac:dyDescent="0.25">
      <c r="A486" s="17">
        <v>483</v>
      </c>
      <c r="B486" s="21" t="s">
        <v>1853</v>
      </c>
      <c r="C486" s="21" t="s">
        <v>569</v>
      </c>
      <c r="D486" s="21" t="s">
        <v>1083</v>
      </c>
      <c r="E486" s="21" t="s">
        <v>910</v>
      </c>
      <c r="F486" s="21" t="s">
        <v>25</v>
      </c>
      <c r="G486" s="21" t="s">
        <v>2161</v>
      </c>
      <c r="H486" s="21" t="s">
        <v>2162</v>
      </c>
      <c r="I486" s="21" t="s">
        <v>24</v>
      </c>
      <c r="J486" s="13" t="str">
        <f t="shared" si="7"/>
        <v>insert into chb_datacheck_condition (CHECKCONDITIONID,CHECKRULEID,CHECKMETHOD,SRCPROPERTY,COMPARETO,OBJVALUE,REMARK,STATUS) values ('WADFD6FB331A4CF1E0536D5C010AD0CE    ','W84807E5-EF00-D039-E050-007F010077FD','inArray','ASSET_TYPE2','==','1202,1203,1204,1205,1206,1207,1208,1209','当资产/负债类别为非标准化债权类资产时','E');</v>
      </c>
    </row>
    <row r="487" spans="1:10" x14ac:dyDescent="0.25">
      <c r="A487" s="17">
        <v>484</v>
      </c>
      <c r="B487" s="21" t="s">
        <v>1854</v>
      </c>
      <c r="C487" s="21" t="s">
        <v>570</v>
      </c>
      <c r="D487" s="21" t="s">
        <v>1083</v>
      </c>
      <c r="E487" s="21" t="s">
        <v>910</v>
      </c>
      <c r="F487" s="21" t="s">
        <v>25</v>
      </c>
      <c r="G487" s="21" t="s">
        <v>2215</v>
      </c>
      <c r="H487" s="21" t="s">
        <v>2216</v>
      </c>
      <c r="I487" s="21" t="s">
        <v>24</v>
      </c>
      <c r="J487" s="13" t="str">
        <f t="shared" si="7"/>
        <v>insert into chb_datacheck_condition (CHECKCONDITIONID,CHECKRULEID,CHECKMETHOD,SRCPROPERTY,COMPARETO,OBJVALUE,REMARK,STATUS) values ('WADFD6FB332A4CF1E0536D5C010AD0CE    ','W84807E5-EF00-D047-E050-007F010077FD','inArray','ASSET_TYPE2','==','2201,2202','当资产/负债类别为新增可投资资产时','E');</v>
      </c>
    </row>
    <row r="488" spans="1:10" x14ac:dyDescent="0.25">
      <c r="A488" s="17">
        <v>485</v>
      </c>
      <c r="B488" s="21" t="s">
        <v>1855</v>
      </c>
      <c r="C488" s="21" t="s">
        <v>572</v>
      </c>
      <c r="D488" s="21" t="s">
        <v>1083</v>
      </c>
      <c r="E488" s="21" t="s">
        <v>910</v>
      </c>
      <c r="F488" s="21" t="s">
        <v>25</v>
      </c>
      <c r="G488" s="21" t="s">
        <v>2217</v>
      </c>
      <c r="H488" s="21" t="s">
        <v>2218</v>
      </c>
      <c r="I488" s="21" t="s">
        <v>24</v>
      </c>
      <c r="J488" s="13" t="str">
        <f t="shared" si="7"/>
        <v>insert into chb_datacheck_condition (CHECKCONDITIONID,CHECKRULEID,CHECKMETHOD,SRCPROPERTY,COMPARETO,OBJVALUE,REMARK,STATUS) values ('WADFD6FB33344CF1E0536D5C010AD0CE    ','W84807E5-EF00-D049-E050-007F010077FD','inArray','ASSET_TYPE2','==','1202','[资产/负债类别]为“1202 信托贷款”时','E');</v>
      </c>
    </row>
    <row r="489" spans="1:10" x14ac:dyDescent="0.25">
      <c r="A489" s="17">
        <v>486</v>
      </c>
      <c r="B489" s="21" t="s">
        <v>1856</v>
      </c>
      <c r="C489" s="21" t="s">
        <v>573</v>
      </c>
      <c r="D489" s="21" t="s">
        <v>1083</v>
      </c>
      <c r="E489" s="21" t="s">
        <v>910</v>
      </c>
      <c r="F489" s="21" t="s">
        <v>25</v>
      </c>
      <c r="G489" s="21" t="s">
        <v>2219</v>
      </c>
      <c r="H489" s="21" t="s">
        <v>2300</v>
      </c>
      <c r="I489" s="21" t="s">
        <v>24</v>
      </c>
      <c r="J489" s="13" t="str">
        <f t="shared" si="7"/>
        <v>insert into chb_datacheck_condition (CHECKCONDITIONID,CHECKRULEID,CHECKMETHOD,SRCPROPERTY,COMPARETO,OBJVALUE,REMARK,STATUS) values ('WADFD6FB33364CF1E0536D5C010AD0CE    ','W84807E5-EF00-D050-E050-007F010077FD','inArray','ASSET_TYPE2','==','1203','[资产/负债类别]为“1203 委托贷款”时','E');</v>
      </c>
    </row>
    <row r="490" spans="1:10" x14ac:dyDescent="0.25">
      <c r="A490" s="17">
        <v>487</v>
      </c>
      <c r="B490" s="21" t="s">
        <v>1857</v>
      </c>
      <c r="C490" s="21" t="s">
        <v>574</v>
      </c>
      <c r="D490" s="21" t="s">
        <v>1083</v>
      </c>
      <c r="E490" s="21" t="s">
        <v>910</v>
      </c>
      <c r="F490" s="21" t="s">
        <v>25</v>
      </c>
      <c r="G490" s="21" t="s">
        <v>2220</v>
      </c>
      <c r="H490" s="21" t="s">
        <v>2301</v>
      </c>
      <c r="I490" s="21" t="s">
        <v>24</v>
      </c>
      <c r="J490" s="13" t="str">
        <f t="shared" si="7"/>
        <v>insert into chb_datacheck_condition (CHECKCONDITIONID,CHECKRULEID,CHECKMETHOD,SRCPROPERTY,COMPARETO,OBJVALUE,REMARK,STATUS) values ('WADFD6FB33384CF1E0536D5C010AD0CE    ','W84807E5-EF00-D051-E050-007F010077FD','inArray','ASSET_TYPE2','==','1204','[资产/负债类别]为“1204 信贷资产转让”时','E');</v>
      </c>
    </row>
    <row r="491" spans="1:10" x14ac:dyDescent="0.25">
      <c r="A491" s="17">
        <v>488</v>
      </c>
      <c r="B491" s="21" t="s">
        <v>1858</v>
      </c>
      <c r="C491" s="21" t="s">
        <v>575</v>
      </c>
      <c r="D491" s="21" t="s">
        <v>1083</v>
      </c>
      <c r="E491" s="21" t="s">
        <v>910</v>
      </c>
      <c r="F491" s="21" t="s">
        <v>25</v>
      </c>
      <c r="G491" s="21" t="s">
        <v>2147</v>
      </c>
      <c r="H491" s="21" t="s">
        <v>2148</v>
      </c>
      <c r="I491" s="21" t="s">
        <v>24</v>
      </c>
      <c r="J491" s="13" t="str">
        <f t="shared" si="7"/>
        <v>insert into chb_datacheck_condition (CHECKCONDITIONID,CHECKRULEID,CHECKMETHOD,SRCPROPERTY,COMPARETO,OBJVALUE,REMARK,STATUS) values ('WADFD6FB333A4CF1E0536D5C010AD0CE    ','W84807E5-EF00-D052-E050-007F010077FD','inArray','ASSET_TYPE2','==','1205','[资产/负债类别]为“1205 收/受益权”时','E');</v>
      </c>
    </row>
    <row r="492" spans="1:10" x14ac:dyDescent="0.25">
      <c r="A492" s="17">
        <v>489</v>
      </c>
      <c r="B492" s="21" t="s">
        <v>1859</v>
      </c>
      <c r="C492" s="21" t="s">
        <v>576</v>
      </c>
      <c r="D492" s="21" t="s">
        <v>1083</v>
      </c>
      <c r="E492" s="21" t="s">
        <v>910</v>
      </c>
      <c r="F492" s="21" t="s">
        <v>25</v>
      </c>
      <c r="G492" s="21" t="s">
        <v>2221</v>
      </c>
      <c r="H492" s="21" t="s">
        <v>2222</v>
      </c>
      <c r="I492" s="21" t="s">
        <v>24</v>
      </c>
      <c r="J492" s="13" t="str">
        <f t="shared" si="7"/>
        <v>insert into chb_datacheck_condition (CHECKCONDITIONID,CHECKRULEID,CHECKMETHOD,SRCPROPERTY,COMPARETO,OBJVALUE,REMARK,STATUS) values ('WADFD6FB333C4CF1E0536D5C010AD0CE    ','W84807E5-EF00-D053-E050-007F010077FD','inArray','ASSET_TYPE2','==','1206','[资产/负债类别]为“1206 委托债权”时','E');</v>
      </c>
    </row>
    <row r="493" spans="1:10" x14ac:dyDescent="0.25">
      <c r="A493" s="17">
        <v>490</v>
      </c>
      <c r="B493" s="21" t="s">
        <v>1860</v>
      </c>
      <c r="C493" s="21" t="s">
        <v>577</v>
      </c>
      <c r="D493" s="21" t="s">
        <v>1083</v>
      </c>
      <c r="E493" s="21" t="s">
        <v>910</v>
      </c>
      <c r="F493" s="21" t="s">
        <v>25</v>
      </c>
      <c r="G493" s="21" t="s">
        <v>2223</v>
      </c>
      <c r="H493" s="21" t="s">
        <v>2224</v>
      </c>
      <c r="I493" s="21" t="s">
        <v>24</v>
      </c>
      <c r="J493" s="13" t="str">
        <f t="shared" si="7"/>
        <v>insert into chb_datacheck_condition (CHECKCONDITIONID,CHECKRULEID,CHECKMETHOD,SRCPROPERTY,COMPARETO,OBJVALUE,REMARK,STATUS) values ('WADFD6FB333E4CF1E0536D5C010AD0CE    ','W84807E5-EF00-D054-E050-007F010077FD','inArray','ASSET_TYPE2','==','1207','[资产/负债类别]为“1207 应收账款”时','E');</v>
      </c>
    </row>
    <row r="494" spans="1:10" x14ac:dyDescent="0.25">
      <c r="A494" s="17">
        <v>491</v>
      </c>
      <c r="B494" s="21" t="s">
        <v>1861</v>
      </c>
      <c r="C494" s="21" t="s">
        <v>578</v>
      </c>
      <c r="D494" s="21" t="s">
        <v>1083</v>
      </c>
      <c r="E494" s="21" t="s">
        <v>910</v>
      </c>
      <c r="F494" s="21" t="s">
        <v>25</v>
      </c>
      <c r="G494" s="21" t="s">
        <v>2225</v>
      </c>
      <c r="H494" s="21" t="s">
        <v>2226</v>
      </c>
      <c r="I494" s="21" t="s">
        <v>24</v>
      </c>
      <c r="J494" s="13" t="str">
        <f t="shared" si="7"/>
        <v>insert into chb_datacheck_condition (CHECKCONDITIONID,CHECKRULEID,CHECKMETHOD,SRCPROPERTY,COMPARETO,OBJVALUE,REMARK,STATUS) values ('WADFD6FB33404CF1E0536D5C010AD0CE    ','W84807E5-EF00-D055-E050-007F010077FD','inArray','ASSET_TYPE2','==','1208','[资产/负债类别]为“1208 带回购条款的股权性融资”时','E');</v>
      </c>
    </row>
    <row r="495" spans="1:10" x14ac:dyDescent="0.25">
      <c r="A495" s="17">
        <v>492</v>
      </c>
      <c r="B495" s="21" t="s">
        <v>1862</v>
      </c>
      <c r="C495" s="21" t="s">
        <v>579</v>
      </c>
      <c r="D495" s="21" t="s">
        <v>1083</v>
      </c>
      <c r="E495" s="21" t="s">
        <v>910</v>
      </c>
      <c r="F495" s="21" t="s">
        <v>25</v>
      </c>
      <c r="G495" s="21" t="s">
        <v>2227</v>
      </c>
      <c r="H495" s="21" t="s">
        <v>2228</v>
      </c>
      <c r="I495" s="21" t="s">
        <v>24</v>
      </c>
      <c r="J495" s="13" t="str">
        <f t="shared" si="7"/>
        <v>insert into chb_datacheck_condition (CHECKCONDITIONID,CHECKRULEID,CHECKMETHOD,SRCPROPERTY,COMPARETO,OBJVALUE,REMARK,STATUS) values ('WADFD6FB33424CF1E0536D5C010AD0CE    ','W84807E5-EF00-D056-E050-007F010077FD','inArray','ASSET_TYPE2','==','1209','[资产/负债类别]为“1209 债权融资类产品”时','E');</v>
      </c>
    </row>
    <row r="496" spans="1:10" x14ac:dyDescent="0.25">
      <c r="A496" s="17">
        <v>493</v>
      </c>
      <c r="B496" s="21" t="s">
        <v>1863</v>
      </c>
      <c r="C496" s="21" t="s">
        <v>580</v>
      </c>
      <c r="D496" s="21" t="s">
        <v>1083</v>
      </c>
      <c r="E496" s="21" t="s">
        <v>910</v>
      </c>
      <c r="F496" s="21" t="s">
        <v>41</v>
      </c>
      <c r="G496" s="21" t="s">
        <v>2161</v>
      </c>
      <c r="H496" s="21" t="s">
        <v>2229</v>
      </c>
      <c r="I496" s="21" t="s">
        <v>24</v>
      </c>
      <c r="J496" s="13" t="str">
        <f t="shared" si="7"/>
        <v>insert into chb_datacheck_condition (CHECKCONDITIONID,CHECKRULEID,CHECKMETHOD,SRCPROPERTY,COMPARETO,OBJVALUE,REMARK,STATUS) values ('WADFD6FB33444CF1E0536D5C010AD0CE    ','W84807E5-EF00-D057-E050-007F010077FD','inArray','ASSET_TYPE2','!=','1202,1203,1204,1205,1206,1207,1208,1209','[资产/负债类别]不为非标资产时','E');</v>
      </c>
    </row>
    <row r="497" spans="1:10" x14ac:dyDescent="0.25">
      <c r="A497" s="17">
        <v>494</v>
      </c>
      <c r="B497" s="21" t="s">
        <v>1864</v>
      </c>
      <c r="C497" s="21" t="s">
        <v>582</v>
      </c>
      <c r="D497" s="21" t="s">
        <v>40</v>
      </c>
      <c r="E497" s="21" t="s">
        <v>1323</v>
      </c>
      <c r="F497" s="21" t="s">
        <v>25</v>
      </c>
      <c r="G497" s="21" t="s">
        <v>54</v>
      </c>
      <c r="H497" s="21" t="s">
        <v>2230</v>
      </c>
      <c r="I497" s="21" t="s">
        <v>24</v>
      </c>
      <c r="J497" s="13" t="str">
        <f t="shared" si="7"/>
        <v>insert into chb_datacheck_condition (CHECKCONDITIONID,CHECKRULEID,CHECKMETHOD,SRCPROPERTY,COMPARETO,OBJVALUE,REMARK,STATUS) values ('WADFD6FB334C4CF1E0536D5C010AD0CE    ','W84807E5-EF00-D059-E050-007F010077FD','compareValue','DEFERRED_INTEREST_TYPE','==','02','当“递延利息条款类型”选择“02 有利息递延条款”或“03 非利息递延条款引起的递延”时','E');</v>
      </c>
    </row>
    <row r="498" spans="1:10" x14ac:dyDescent="0.25">
      <c r="A498" s="17">
        <v>495</v>
      </c>
      <c r="B498" s="21" t="s">
        <v>1865</v>
      </c>
      <c r="C498" s="21" t="s">
        <v>583</v>
      </c>
      <c r="D498" s="21" t="s">
        <v>40</v>
      </c>
      <c r="E498" s="21" t="s">
        <v>1323</v>
      </c>
      <c r="F498" s="21" t="s">
        <v>25</v>
      </c>
      <c r="G498" s="21" t="s">
        <v>2202</v>
      </c>
      <c r="H498" s="21" t="s">
        <v>2230</v>
      </c>
      <c r="I498" s="21" t="s">
        <v>24</v>
      </c>
      <c r="J498" s="13" t="str">
        <f t="shared" si="7"/>
        <v>insert into chb_datacheck_condition (CHECKCONDITIONID,CHECKRULEID,CHECKMETHOD,SRCPROPERTY,COMPARETO,OBJVALUE,REMARK,STATUS) values ('WADFD6FB334D4CF1E0536D5C010AD0CE    ','W84807E5-EF00-D060-E050-007F010077FD','compareValue','DEFERRED_INTEREST_TYPE','==','03','当“递延利息条款类型”选择“02 有利息递延条款”或“03 非利息递延条款引起的递延”时','E');</v>
      </c>
    </row>
    <row r="499" spans="1:10" x14ac:dyDescent="0.25">
      <c r="A499" s="17">
        <v>496</v>
      </c>
      <c r="B499" s="21" t="s">
        <v>1866</v>
      </c>
      <c r="C499" s="21" t="s">
        <v>584</v>
      </c>
      <c r="D499" s="21" t="s">
        <v>40</v>
      </c>
      <c r="E499" s="21" t="s">
        <v>1323</v>
      </c>
      <c r="F499" s="21" t="s">
        <v>25</v>
      </c>
      <c r="G499" s="21" t="s">
        <v>53</v>
      </c>
      <c r="H499" s="21" t="s">
        <v>2231</v>
      </c>
      <c r="I499" s="21" t="s">
        <v>24</v>
      </c>
      <c r="J499" s="13" t="str">
        <f t="shared" si="7"/>
        <v>insert into chb_datacheck_condition (CHECKCONDITIONID,CHECKRULEID,CHECKMETHOD,SRCPROPERTY,COMPARETO,OBJVALUE,REMARK,STATUS) values ('WADFD6FB334E4CF1E0536D5C010AD0CE    ','W84807E5-EF00-D061-E050-007F010077FD','compareValue','DEFERRED_INTEREST_TYPE','==','01','当“递延利息条款类型”选择“01 无利息递延条款”或为空时','E');</v>
      </c>
    </row>
    <row r="500" spans="1:10" x14ac:dyDescent="0.25">
      <c r="A500" s="17">
        <v>497</v>
      </c>
      <c r="B500" s="21" t="s">
        <v>1867</v>
      </c>
      <c r="C500" s="21" t="s">
        <v>585</v>
      </c>
      <c r="D500" s="21" t="s">
        <v>62</v>
      </c>
      <c r="E500" s="21" t="s">
        <v>1323</v>
      </c>
      <c r="F500" s="21"/>
      <c r="G500" s="21" t="s">
        <v>26</v>
      </c>
      <c r="H500" s="21" t="s">
        <v>2231</v>
      </c>
      <c r="I500" s="21" t="s">
        <v>24</v>
      </c>
      <c r="J500" s="13" t="str">
        <f t="shared" si="7"/>
        <v>insert into chb_datacheck_condition (CHECKCONDITIONID,CHECKRULEID,CHECKMETHOD,SRCPROPERTY,COMPARETO,OBJVALUE,REMARK,STATUS) values ('WADFD6FB334F4CF1E0536D5C010AD0CE    ','W84807E5-EF00-D062-E050-007F010077FD','lessThanCharLength','DEFERRED_INTEREST_TYPE','','0','当“递延利息条款类型”选择“01 无利息递延条款”或为空时','E');</v>
      </c>
    </row>
    <row r="501" spans="1:10" x14ac:dyDescent="0.25">
      <c r="A501" s="17">
        <v>498</v>
      </c>
      <c r="B501" s="21" t="s">
        <v>1868</v>
      </c>
      <c r="C501" s="21" t="s">
        <v>587</v>
      </c>
      <c r="D501" s="21" t="s">
        <v>40</v>
      </c>
      <c r="E501" s="21" t="s">
        <v>1318</v>
      </c>
      <c r="F501" s="21" t="s">
        <v>25</v>
      </c>
      <c r="G501" s="21" t="s">
        <v>53</v>
      </c>
      <c r="H501" s="21" t="s">
        <v>2232</v>
      </c>
      <c r="I501" s="21" t="s">
        <v>24</v>
      </c>
      <c r="J501" s="13" t="str">
        <f t="shared" si="7"/>
        <v>insert into chb_datacheck_condition (CHECKCONDITIONID,CHECKRULEID,CHECKMETHOD,SRCPROPERTY,COMPARETO,OBJVALUE,REMARK,STATUS) values ('WADFD6FB33504CF1E0536D5C010AD0CE    ','W84807E5-EF00-D064-E050-007F010077FD','compareValue','PERPETUAL_CLAUSE_TYPE','==','01','当“永续条款类型”选择“01 可续期条款”或“02 永续条款”时','E');</v>
      </c>
    </row>
    <row r="502" spans="1:10" x14ac:dyDescent="0.25">
      <c r="A502" s="17">
        <v>499</v>
      </c>
      <c r="B502" s="21" t="s">
        <v>1869</v>
      </c>
      <c r="C502" s="21" t="s">
        <v>588</v>
      </c>
      <c r="D502" s="21" t="s">
        <v>40</v>
      </c>
      <c r="E502" s="21" t="s">
        <v>1318</v>
      </c>
      <c r="F502" s="21" t="s">
        <v>25</v>
      </c>
      <c r="G502" s="21" t="s">
        <v>54</v>
      </c>
      <c r="H502" s="21" t="s">
        <v>2232</v>
      </c>
      <c r="I502" s="21" t="s">
        <v>24</v>
      </c>
      <c r="J502" s="13" t="str">
        <f t="shared" si="7"/>
        <v>insert into chb_datacheck_condition (CHECKCONDITIONID,CHECKRULEID,CHECKMETHOD,SRCPROPERTY,COMPARETO,OBJVALUE,REMARK,STATUS) values ('WADFD6FB33514CF1E0536D5C010AD0CE    ','W84807E5-EF00-D065-E050-007F010077FD','compareValue','PERPETUAL_CLAUSE_TYPE','==','02','当“永续条款类型”选择“01 可续期条款”或“02 永续条款”时','E');</v>
      </c>
    </row>
    <row r="503" spans="1:10" x14ac:dyDescent="0.25">
      <c r="A503" s="17">
        <v>500</v>
      </c>
      <c r="B503" s="21" t="s">
        <v>1870</v>
      </c>
      <c r="C503" s="21" t="s">
        <v>589</v>
      </c>
      <c r="D503" s="21" t="s">
        <v>40</v>
      </c>
      <c r="E503" s="21" t="s">
        <v>1318</v>
      </c>
      <c r="F503" s="21" t="s">
        <v>25</v>
      </c>
      <c r="G503" s="21" t="s">
        <v>2202</v>
      </c>
      <c r="H503" s="21" t="s">
        <v>2233</v>
      </c>
      <c r="I503" s="21" t="s">
        <v>24</v>
      </c>
      <c r="J503" s="13" t="str">
        <f t="shared" si="7"/>
        <v>insert into chb_datacheck_condition (CHECKCONDITIONID,CHECKRULEID,CHECKMETHOD,SRCPROPERTY,COMPARETO,OBJVALUE,REMARK,STATUS) values ('WADFD6FB33524CF1E0536D5C010AD0CE    ','W84807E5-EF00-D066-E050-007F010077FD','compareValue','PERPETUAL_CLAUSE_TYPE','==','03','当“永续条款类型”选择“03 无”或为空时','E');</v>
      </c>
    </row>
    <row r="504" spans="1:10" x14ac:dyDescent="0.25">
      <c r="A504" s="17">
        <v>501</v>
      </c>
      <c r="B504" s="21" t="s">
        <v>1871</v>
      </c>
      <c r="C504" s="21" t="s">
        <v>590</v>
      </c>
      <c r="D504" s="21" t="s">
        <v>62</v>
      </c>
      <c r="E504" s="21" t="s">
        <v>1318</v>
      </c>
      <c r="F504" s="21"/>
      <c r="G504" s="21" t="s">
        <v>26</v>
      </c>
      <c r="H504" s="21" t="s">
        <v>2233</v>
      </c>
      <c r="I504" s="21" t="s">
        <v>24</v>
      </c>
      <c r="J504" s="13" t="str">
        <f t="shared" si="7"/>
        <v>insert into chb_datacheck_condition (CHECKCONDITIONID,CHECKRULEID,CHECKMETHOD,SRCPROPERTY,COMPARETO,OBJVALUE,REMARK,STATUS) values ('WADFD6FB33534CF1E0536D5C010AD0CE    ','W84807E5-EF00-D067-E050-007F010077FD','lessThanCharLength','PERPETUAL_CLAUSE_TYPE','','0','当“永续条款类型”选择“03 无”或为空时','E');</v>
      </c>
    </row>
    <row r="505" spans="1:10" x14ac:dyDescent="0.25">
      <c r="A505" s="17">
        <v>502</v>
      </c>
      <c r="B505" s="21" t="s">
        <v>1872</v>
      </c>
      <c r="C505" s="21" t="s">
        <v>592</v>
      </c>
      <c r="D505" s="21" t="s">
        <v>40</v>
      </c>
      <c r="E505" s="21" t="s">
        <v>1318</v>
      </c>
      <c r="F505" s="21" t="s">
        <v>25</v>
      </c>
      <c r="G505" s="21" t="s">
        <v>53</v>
      </c>
      <c r="H505" s="21" t="s">
        <v>2232</v>
      </c>
      <c r="I505" s="21" t="s">
        <v>24</v>
      </c>
      <c r="J505" s="13" t="str">
        <f t="shared" si="7"/>
        <v>insert into chb_datacheck_condition (CHECKCONDITIONID,CHECKRULEID,CHECKMETHOD,SRCPROPERTY,COMPARETO,OBJVALUE,REMARK,STATUS) values ('WADFD6FB33544CF1E0536D5C010AD0CE    ','W84807E5-EF00-D069-E050-007F010077FD','compareValue','PERPETUAL_CLAUSE_TYPE','==','01','当“永续条款类型”选择“01 可续期条款”或“02 永续条款”时','E');</v>
      </c>
    </row>
    <row r="506" spans="1:10" x14ac:dyDescent="0.25">
      <c r="A506" s="17">
        <v>503</v>
      </c>
      <c r="B506" s="21" t="s">
        <v>1873</v>
      </c>
      <c r="C506" s="21" t="s">
        <v>593</v>
      </c>
      <c r="D506" s="21" t="s">
        <v>40</v>
      </c>
      <c r="E506" s="21" t="s">
        <v>1318</v>
      </c>
      <c r="F506" s="21" t="s">
        <v>25</v>
      </c>
      <c r="G506" s="21" t="s">
        <v>54</v>
      </c>
      <c r="H506" s="21" t="s">
        <v>2232</v>
      </c>
      <c r="I506" s="21" t="s">
        <v>24</v>
      </c>
      <c r="J506" s="13" t="str">
        <f t="shared" si="7"/>
        <v>insert into chb_datacheck_condition (CHECKCONDITIONID,CHECKRULEID,CHECKMETHOD,SRCPROPERTY,COMPARETO,OBJVALUE,REMARK,STATUS) values ('WADFD6FB33554CF1E0536D5C010AD0CE    ','W84807E5-EF00-D070-E050-007F010077FD','compareValue','PERPETUAL_CLAUSE_TYPE','==','02','当“永续条款类型”选择“01 可续期条款”或“02 永续条款”时','E');</v>
      </c>
    </row>
    <row r="507" spans="1:10" x14ac:dyDescent="0.25">
      <c r="A507" s="17">
        <v>504</v>
      </c>
      <c r="B507" s="21" t="s">
        <v>1874</v>
      </c>
      <c r="C507" s="21" t="s">
        <v>594</v>
      </c>
      <c r="D507" s="21" t="s">
        <v>40</v>
      </c>
      <c r="E507" s="21" t="s">
        <v>1318</v>
      </c>
      <c r="F507" s="21" t="s">
        <v>25</v>
      </c>
      <c r="G507" s="21" t="s">
        <v>2202</v>
      </c>
      <c r="H507" s="21" t="s">
        <v>2233</v>
      </c>
      <c r="I507" s="21" t="s">
        <v>24</v>
      </c>
      <c r="J507" s="13" t="str">
        <f t="shared" si="7"/>
        <v>insert into chb_datacheck_condition (CHECKCONDITIONID,CHECKRULEID,CHECKMETHOD,SRCPROPERTY,COMPARETO,OBJVALUE,REMARK,STATUS) values ('WADFD6FB33564CF1E0536D5C010AD0CE    ','W84807E5-EF00-D071-E050-007F010077FD','compareValue','PERPETUAL_CLAUSE_TYPE','==','03','当“永续条款类型”选择“03 无”或为空时','E');</v>
      </c>
    </row>
    <row r="508" spans="1:10" x14ac:dyDescent="0.25">
      <c r="A508" s="17">
        <v>505</v>
      </c>
      <c r="B508" s="21" t="s">
        <v>1875</v>
      </c>
      <c r="C508" s="21" t="s">
        <v>2385</v>
      </c>
      <c r="D508" s="21" t="s">
        <v>62</v>
      </c>
      <c r="E508" s="21" t="s">
        <v>1318</v>
      </c>
      <c r="F508" s="21"/>
      <c r="G508" s="21" t="s">
        <v>26</v>
      </c>
      <c r="H508" s="21" t="s">
        <v>2233</v>
      </c>
      <c r="I508" s="21" t="s">
        <v>24</v>
      </c>
      <c r="J508" s="13" t="str">
        <f t="shared" si="7"/>
        <v>insert into chb_datacheck_condition (CHECKCONDITIONID,CHECKRULEID,CHECKMETHOD,SRCPROPERTY,COMPARETO,OBJVALUE,REMARK,STATUS) values ('WADFD6FB33574CF1E0536D5C010AD0CE    ','W84807E5-EF00-D072-E050-007F010077FD','lessThanCharLength','PERPETUAL_CLAUSE_TYPE','','0','当“永续条款类型”选择“03 无”或为空时','E');</v>
      </c>
    </row>
    <row r="509" spans="1:10" x14ac:dyDescent="0.25">
      <c r="A509" s="17">
        <v>506</v>
      </c>
      <c r="B509" s="21" t="s">
        <v>1876</v>
      </c>
      <c r="C509" s="21" t="s">
        <v>598</v>
      </c>
      <c r="D509" s="21" t="s">
        <v>1083</v>
      </c>
      <c r="E509" s="21" t="s">
        <v>910</v>
      </c>
      <c r="F509" s="21" t="s">
        <v>25</v>
      </c>
      <c r="G509" s="21" t="s">
        <v>2217</v>
      </c>
      <c r="H509" s="21" t="s">
        <v>2218</v>
      </c>
      <c r="I509" s="21" t="s">
        <v>24</v>
      </c>
      <c r="J509" s="13" t="str">
        <f t="shared" si="7"/>
        <v>insert into chb_datacheck_condition (CHECKCONDITIONID,CHECKRULEID,CHECKMETHOD,SRCPROPERTY,COMPARETO,OBJVALUE,REMARK,STATUS) values ('WADFD6FB33594CF1E0536D5C010AD0CE    ','W84807E5-EF00-D075-E050-007F010077FD','inArray','ASSET_TYPE2','==','1202','[资产/负债类别]为“1202 信托贷款”时','E');</v>
      </c>
    </row>
    <row r="510" spans="1:10" x14ac:dyDescent="0.25">
      <c r="A510" s="17">
        <v>507</v>
      </c>
      <c r="B510" s="21" t="s">
        <v>1877</v>
      </c>
      <c r="C510" s="21" t="s">
        <v>599</v>
      </c>
      <c r="D510" s="21" t="s">
        <v>1083</v>
      </c>
      <c r="E510" s="21" t="s">
        <v>910</v>
      </c>
      <c r="F510" s="21" t="s">
        <v>25</v>
      </c>
      <c r="G510" s="21" t="s">
        <v>2219</v>
      </c>
      <c r="H510" s="21" t="s">
        <v>2300</v>
      </c>
      <c r="I510" s="21" t="s">
        <v>24</v>
      </c>
      <c r="J510" s="13" t="str">
        <f t="shared" si="7"/>
        <v>insert into chb_datacheck_condition (CHECKCONDITIONID,CHECKRULEID,CHECKMETHOD,SRCPROPERTY,COMPARETO,OBJVALUE,REMARK,STATUS) values ('WADFD6FB335B4CF1E0536D5C010AD0CE    ','W84807E5-EF00-D076-E050-007F010077FD','inArray','ASSET_TYPE2','==','1203','[资产/负债类别]为“1203 委托贷款”时','E');</v>
      </c>
    </row>
    <row r="511" spans="1:10" x14ac:dyDescent="0.25">
      <c r="A511" s="17">
        <v>508</v>
      </c>
      <c r="B511" s="21" t="s">
        <v>1878</v>
      </c>
      <c r="C511" s="21" t="s">
        <v>600</v>
      </c>
      <c r="D511" s="21" t="s">
        <v>1083</v>
      </c>
      <c r="E511" s="21" t="s">
        <v>910</v>
      </c>
      <c r="F511" s="21" t="s">
        <v>25</v>
      </c>
      <c r="G511" s="21" t="s">
        <v>2220</v>
      </c>
      <c r="H511" s="21" t="s">
        <v>2301</v>
      </c>
      <c r="I511" s="21" t="s">
        <v>24</v>
      </c>
      <c r="J511" s="13" t="str">
        <f t="shared" si="7"/>
        <v>insert into chb_datacheck_condition (CHECKCONDITIONID,CHECKRULEID,CHECKMETHOD,SRCPROPERTY,COMPARETO,OBJVALUE,REMARK,STATUS) values ('WADFD6FB335D4CF1E0536D5C010AD0CE    ','W84807E5-EF00-D077-E050-007F010077FD','inArray','ASSET_TYPE2','==','1204','[资产/负债类别]为“1204 信贷资产转让”时','E');</v>
      </c>
    </row>
    <row r="512" spans="1:10" x14ac:dyDescent="0.25">
      <c r="A512" s="17">
        <v>509</v>
      </c>
      <c r="B512" s="21" t="s">
        <v>1879</v>
      </c>
      <c r="C512" s="21" t="s">
        <v>601</v>
      </c>
      <c r="D512" s="21" t="s">
        <v>1083</v>
      </c>
      <c r="E512" s="21" t="s">
        <v>910</v>
      </c>
      <c r="F512" s="21" t="s">
        <v>25</v>
      </c>
      <c r="G512" s="21" t="s">
        <v>2147</v>
      </c>
      <c r="H512" s="21" t="s">
        <v>2148</v>
      </c>
      <c r="I512" s="21" t="s">
        <v>24</v>
      </c>
      <c r="J512" s="13" t="str">
        <f t="shared" si="7"/>
        <v>insert into chb_datacheck_condition (CHECKCONDITIONID,CHECKRULEID,CHECKMETHOD,SRCPROPERTY,COMPARETO,OBJVALUE,REMARK,STATUS) values ('WADFD6FB335F4CF1E0536D5C010AD0CE    ','W84807E5-EF00-D078-E050-007F010077FD','inArray','ASSET_TYPE2','==','1205','[资产/负债类别]为“1205 收/受益权”时','E');</v>
      </c>
    </row>
    <row r="513" spans="1:10" x14ac:dyDescent="0.25">
      <c r="A513" s="17">
        <v>510</v>
      </c>
      <c r="B513" s="21" t="s">
        <v>1880</v>
      </c>
      <c r="C513" s="21" t="s">
        <v>602</v>
      </c>
      <c r="D513" s="21" t="s">
        <v>1083</v>
      </c>
      <c r="E513" s="21" t="s">
        <v>910</v>
      </c>
      <c r="F513" s="21" t="s">
        <v>25</v>
      </c>
      <c r="G513" s="21" t="s">
        <v>2221</v>
      </c>
      <c r="H513" s="21" t="s">
        <v>2222</v>
      </c>
      <c r="I513" s="21" t="s">
        <v>24</v>
      </c>
      <c r="J513" s="13" t="str">
        <f t="shared" si="7"/>
        <v>insert into chb_datacheck_condition (CHECKCONDITIONID,CHECKRULEID,CHECKMETHOD,SRCPROPERTY,COMPARETO,OBJVALUE,REMARK,STATUS) values ('WADFD6FB33614CF1E0536D5C010AD0CE    ','W84807E5-EF00-D079-E050-007F010077FD','inArray','ASSET_TYPE2','==','1206','[资产/负债类别]为“1206 委托债权”时','E');</v>
      </c>
    </row>
    <row r="514" spans="1:10" x14ac:dyDescent="0.25">
      <c r="A514" s="17">
        <v>511</v>
      </c>
      <c r="B514" s="21" t="s">
        <v>1881</v>
      </c>
      <c r="C514" s="21" t="s">
        <v>603</v>
      </c>
      <c r="D514" s="21" t="s">
        <v>1083</v>
      </c>
      <c r="E514" s="21" t="s">
        <v>910</v>
      </c>
      <c r="F514" s="21" t="s">
        <v>25</v>
      </c>
      <c r="G514" s="21" t="s">
        <v>2223</v>
      </c>
      <c r="H514" s="21" t="s">
        <v>2224</v>
      </c>
      <c r="I514" s="21" t="s">
        <v>24</v>
      </c>
      <c r="J514" s="13" t="str">
        <f t="shared" ref="J514:J575" si="8">CONCATENATE("insert into chb_datacheck_condition (CHECKCONDITIONID,CHECKRULEID,CHECKMETHOD,SRCPROPERTY,COMPARETO,OBJVALUE,REMARK,STATUS) values ('",B514,"','",C514,"','",D514,"','",E514,"','",F514,"','",G514,"','",H514,"','",I514,"');")</f>
        <v>insert into chb_datacheck_condition (CHECKCONDITIONID,CHECKRULEID,CHECKMETHOD,SRCPROPERTY,COMPARETO,OBJVALUE,REMARK,STATUS) values ('WADFD6FB33634CF1E0536D5C010AD0CE    ','W84807E5-EF00-D080-E050-007F010077FD','inArray','ASSET_TYPE2','==','1207','[资产/负债类别]为“1207 应收账款”时','E');</v>
      </c>
    </row>
    <row r="515" spans="1:10" x14ac:dyDescent="0.25">
      <c r="A515" s="17">
        <v>512</v>
      </c>
      <c r="B515" s="21" t="s">
        <v>1882</v>
      </c>
      <c r="C515" s="21" t="s">
        <v>604</v>
      </c>
      <c r="D515" s="21" t="s">
        <v>1083</v>
      </c>
      <c r="E515" s="21" t="s">
        <v>910</v>
      </c>
      <c r="F515" s="21" t="s">
        <v>25</v>
      </c>
      <c r="G515" s="21" t="s">
        <v>2225</v>
      </c>
      <c r="H515" s="21" t="s">
        <v>2226</v>
      </c>
      <c r="I515" s="21" t="s">
        <v>24</v>
      </c>
      <c r="J515" s="13" t="str">
        <f t="shared" si="8"/>
        <v>insert into chb_datacheck_condition (CHECKCONDITIONID,CHECKRULEID,CHECKMETHOD,SRCPROPERTY,COMPARETO,OBJVALUE,REMARK,STATUS) values ('WADFD6FB33654CF1E0536D5C010AD0CE    ','W84807E5-EF00-D081-E050-007F010077FD','inArray','ASSET_TYPE2','==','1208','[资产/负债类别]为“1208 带回购条款的股权性融资”时','E');</v>
      </c>
    </row>
    <row r="516" spans="1:10" x14ac:dyDescent="0.25">
      <c r="A516" s="17">
        <v>513</v>
      </c>
      <c r="B516" s="21" t="s">
        <v>1883</v>
      </c>
      <c r="C516" s="21" t="s">
        <v>605</v>
      </c>
      <c r="D516" s="21" t="s">
        <v>1083</v>
      </c>
      <c r="E516" s="21" t="s">
        <v>910</v>
      </c>
      <c r="F516" s="21" t="s">
        <v>25</v>
      </c>
      <c r="G516" s="21" t="s">
        <v>2227</v>
      </c>
      <c r="H516" s="21" t="s">
        <v>2228</v>
      </c>
      <c r="I516" s="21" t="s">
        <v>24</v>
      </c>
      <c r="J516" s="13" t="str">
        <f t="shared" si="8"/>
        <v>insert into chb_datacheck_condition (CHECKCONDITIONID,CHECKRULEID,CHECKMETHOD,SRCPROPERTY,COMPARETO,OBJVALUE,REMARK,STATUS) values ('WADFD6FB33674CF1E0536D5C010AD0CE    ','W84807E5-EF00-D082-E050-007F010077FD','inArray','ASSET_TYPE2','==','1209','[资产/负债类别]为“1209 债权融资类产品”时','E');</v>
      </c>
    </row>
    <row r="517" spans="1:10" x14ac:dyDescent="0.25">
      <c r="A517" s="17">
        <v>514</v>
      </c>
      <c r="B517" s="21" t="s">
        <v>1884</v>
      </c>
      <c r="C517" s="21" t="s">
        <v>606</v>
      </c>
      <c r="D517" s="21" t="s">
        <v>1083</v>
      </c>
      <c r="E517" s="21" t="s">
        <v>910</v>
      </c>
      <c r="F517" s="21" t="s">
        <v>41</v>
      </c>
      <c r="G517" s="21" t="s">
        <v>2161</v>
      </c>
      <c r="H517" s="21" t="s">
        <v>2229</v>
      </c>
      <c r="I517" s="21" t="s">
        <v>24</v>
      </c>
      <c r="J517" s="13" t="str">
        <f t="shared" si="8"/>
        <v>insert into chb_datacheck_condition (CHECKCONDITIONID,CHECKRULEID,CHECKMETHOD,SRCPROPERTY,COMPARETO,OBJVALUE,REMARK,STATUS) values ('WADFD6FB33694CF1E0536D5C010AD0CE    ','W84807E5-EF00-D083-E050-007F010077FD','inArray','ASSET_TYPE2','!=','1202,1203,1204,1205,1206,1207,1208,1209','[资产/负债类别]不为非标资产时','E');</v>
      </c>
    </row>
    <row r="518" spans="1:10" x14ac:dyDescent="0.25">
      <c r="A518" s="17">
        <v>515</v>
      </c>
      <c r="B518" s="21" t="s">
        <v>1885</v>
      </c>
      <c r="C518" s="21" t="s">
        <v>608</v>
      </c>
      <c r="D518" s="21" t="s">
        <v>40</v>
      </c>
      <c r="E518" s="21" t="s">
        <v>910</v>
      </c>
      <c r="F518" s="21" t="s">
        <v>25</v>
      </c>
      <c r="G518" s="21" t="s">
        <v>2207</v>
      </c>
      <c r="H518" s="21" t="s">
        <v>2216</v>
      </c>
      <c r="I518" s="21" t="s">
        <v>24</v>
      </c>
      <c r="J518" s="13" t="str">
        <f t="shared" si="8"/>
        <v>insert into chb_datacheck_condition (CHECKCONDITIONID,CHECKRULEID,CHECKMETHOD,SRCPROPERTY,COMPARETO,OBJVALUE,REMARK,STATUS) values ('WADFD6FB33724CF1E0536D5C010AD0CE    ','W84807E5-EF00-D086-E050-007F010077FD','compareValue','ASSET_TYPE2','==','2201','当资产/负债类别为新增可投资资产时','E');</v>
      </c>
    </row>
    <row r="519" spans="1:10" x14ac:dyDescent="0.25">
      <c r="A519" s="17">
        <v>516</v>
      </c>
      <c r="B519" s="21" t="s">
        <v>1886</v>
      </c>
      <c r="C519" s="21" t="s">
        <v>609</v>
      </c>
      <c r="D519" s="21" t="s">
        <v>40</v>
      </c>
      <c r="E519" s="21" t="s">
        <v>910</v>
      </c>
      <c r="F519" s="21" t="s">
        <v>25</v>
      </c>
      <c r="G519" s="21" t="s">
        <v>2243</v>
      </c>
      <c r="H519" s="21" t="s">
        <v>2216</v>
      </c>
      <c r="I519" s="21" t="s">
        <v>24</v>
      </c>
      <c r="J519" s="13" t="str">
        <f t="shared" si="8"/>
        <v>insert into chb_datacheck_condition (CHECKCONDITIONID,CHECKRULEID,CHECKMETHOD,SRCPROPERTY,COMPARETO,OBJVALUE,REMARK,STATUS) values ('WADFD6FB33734CF1E0536D5C010AD0CE    ','W84807E5-EF00-D087-E050-007F010077FD','compareValue','ASSET_TYPE2','==','2202','当资产/负债类别为新增可投资资产时','E');</v>
      </c>
    </row>
    <row r="520" spans="1:10" x14ac:dyDescent="0.25">
      <c r="A520" s="17">
        <v>517</v>
      </c>
      <c r="B520" s="21" t="s">
        <v>1887</v>
      </c>
      <c r="C520" s="21" t="s">
        <v>612</v>
      </c>
      <c r="D520" s="21" t="s">
        <v>1083</v>
      </c>
      <c r="E520" s="21" t="s">
        <v>910</v>
      </c>
      <c r="F520" s="21" t="s">
        <v>25</v>
      </c>
      <c r="G520" s="21" t="s">
        <v>2217</v>
      </c>
      <c r="H520" s="21" t="s">
        <v>2218</v>
      </c>
      <c r="I520" s="21" t="s">
        <v>24</v>
      </c>
      <c r="J520" s="13" t="str">
        <f t="shared" si="8"/>
        <v>insert into chb_datacheck_condition (CHECKCONDITIONID,CHECKRULEID,CHECKMETHOD,SRCPROPERTY,COMPARETO,OBJVALUE,REMARK,STATUS) values ('WADFD6FB33754CF1E0536D5C010AD0CE    ','W84807E5-EF00-D090-E050-007F010077FD','inArray','ASSET_TYPE2','==','1202','[资产/负债类别]为“1202 信托贷款”时','E');</v>
      </c>
    </row>
    <row r="521" spans="1:10" x14ac:dyDescent="0.25">
      <c r="A521" s="17">
        <v>518</v>
      </c>
      <c r="B521" s="21" t="s">
        <v>1888</v>
      </c>
      <c r="C521" s="21" t="s">
        <v>613</v>
      </c>
      <c r="D521" s="21" t="s">
        <v>1083</v>
      </c>
      <c r="E521" s="21" t="s">
        <v>910</v>
      </c>
      <c r="F521" s="21" t="s">
        <v>25</v>
      </c>
      <c r="G521" s="21" t="s">
        <v>2219</v>
      </c>
      <c r="H521" s="21" t="s">
        <v>2300</v>
      </c>
      <c r="I521" s="21" t="s">
        <v>24</v>
      </c>
      <c r="J521" s="13" t="str">
        <f t="shared" si="8"/>
        <v>insert into chb_datacheck_condition (CHECKCONDITIONID,CHECKRULEID,CHECKMETHOD,SRCPROPERTY,COMPARETO,OBJVALUE,REMARK,STATUS) values ('WADFD6FB33774CF1E0536D5C010AD0CE    ','W84807E5-EF00-D091-E050-007F010077FD','inArray','ASSET_TYPE2','==','1203','[资产/负债类别]为“1203 委托贷款”时','E');</v>
      </c>
    </row>
    <row r="522" spans="1:10" x14ac:dyDescent="0.25">
      <c r="A522" s="17">
        <v>519</v>
      </c>
      <c r="B522" s="21" t="s">
        <v>1889</v>
      </c>
      <c r="C522" s="21" t="s">
        <v>614</v>
      </c>
      <c r="D522" s="21" t="s">
        <v>1083</v>
      </c>
      <c r="E522" s="21" t="s">
        <v>910</v>
      </c>
      <c r="F522" s="21" t="s">
        <v>25</v>
      </c>
      <c r="G522" s="21" t="s">
        <v>2220</v>
      </c>
      <c r="H522" s="21" t="s">
        <v>2301</v>
      </c>
      <c r="I522" s="21" t="s">
        <v>24</v>
      </c>
      <c r="J522" s="13" t="str">
        <f t="shared" si="8"/>
        <v>insert into chb_datacheck_condition (CHECKCONDITIONID,CHECKRULEID,CHECKMETHOD,SRCPROPERTY,COMPARETO,OBJVALUE,REMARK,STATUS) values ('WADFD6FB33794CF1E0536D5C010AD0CE    ','W84807E5-EF00-D092-E050-007F010077FD','inArray','ASSET_TYPE2','==','1204','[资产/负债类别]为“1204 信贷资产转让”时','E');</v>
      </c>
    </row>
    <row r="523" spans="1:10" x14ac:dyDescent="0.25">
      <c r="A523" s="17">
        <v>520</v>
      </c>
      <c r="B523" s="21" t="s">
        <v>1890</v>
      </c>
      <c r="C523" s="21" t="s">
        <v>615</v>
      </c>
      <c r="D523" s="21" t="s">
        <v>1083</v>
      </c>
      <c r="E523" s="21" t="s">
        <v>910</v>
      </c>
      <c r="F523" s="21" t="s">
        <v>25</v>
      </c>
      <c r="G523" s="21" t="s">
        <v>2147</v>
      </c>
      <c r="H523" s="21" t="s">
        <v>2148</v>
      </c>
      <c r="I523" s="21" t="s">
        <v>24</v>
      </c>
      <c r="J523" s="13" t="str">
        <f t="shared" si="8"/>
        <v>insert into chb_datacheck_condition (CHECKCONDITIONID,CHECKRULEID,CHECKMETHOD,SRCPROPERTY,COMPARETO,OBJVALUE,REMARK,STATUS) values ('WADFD6FB337B4CF1E0536D5C010AD0CE    ','W84807E5-EF00-D093-E050-007F010077FD','inArray','ASSET_TYPE2','==','1205','[资产/负债类别]为“1205 收/受益权”时','E');</v>
      </c>
    </row>
    <row r="524" spans="1:10" x14ac:dyDescent="0.25">
      <c r="A524" s="17">
        <v>521</v>
      </c>
      <c r="B524" s="21" t="s">
        <v>1891</v>
      </c>
      <c r="C524" s="21" t="s">
        <v>616</v>
      </c>
      <c r="D524" s="21" t="s">
        <v>1083</v>
      </c>
      <c r="E524" s="21" t="s">
        <v>910</v>
      </c>
      <c r="F524" s="21" t="s">
        <v>25</v>
      </c>
      <c r="G524" s="21" t="s">
        <v>2221</v>
      </c>
      <c r="H524" s="21" t="s">
        <v>2222</v>
      </c>
      <c r="I524" s="21" t="s">
        <v>24</v>
      </c>
      <c r="J524" s="13" t="str">
        <f t="shared" si="8"/>
        <v>insert into chb_datacheck_condition (CHECKCONDITIONID,CHECKRULEID,CHECKMETHOD,SRCPROPERTY,COMPARETO,OBJVALUE,REMARK,STATUS) values ('WADFD6FB337D4CF1E0536D5C010AD0CE    ','W84807E5-EF00-D094-E050-007F010077FD','inArray','ASSET_TYPE2','==','1206','[资产/负债类别]为“1206 委托债权”时','E');</v>
      </c>
    </row>
    <row r="525" spans="1:10" x14ac:dyDescent="0.25">
      <c r="A525" s="17">
        <v>522</v>
      </c>
      <c r="B525" s="21" t="s">
        <v>1892</v>
      </c>
      <c r="C525" s="21" t="s">
        <v>617</v>
      </c>
      <c r="D525" s="21" t="s">
        <v>1083</v>
      </c>
      <c r="E525" s="21" t="s">
        <v>910</v>
      </c>
      <c r="F525" s="21" t="s">
        <v>25</v>
      </c>
      <c r="G525" s="21" t="s">
        <v>2223</v>
      </c>
      <c r="H525" s="21" t="s">
        <v>2224</v>
      </c>
      <c r="I525" s="21" t="s">
        <v>24</v>
      </c>
      <c r="J525" s="13" t="str">
        <f t="shared" si="8"/>
        <v>insert into chb_datacheck_condition (CHECKCONDITIONID,CHECKRULEID,CHECKMETHOD,SRCPROPERTY,COMPARETO,OBJVALUE,REMARK,STATUS) values ('WADFD6FB337F4CF1E0536D5C010AD0CE    ','W84807E5-EF00-D095-E050-007F010077FD','inArray','ASSET_TYPE2','==','1207','[资产/负债类别]为“1207 应收账款”时','E');</v>
      </c>
    </row>
    <row r="526" spans="1:10" x14ac:dyDescent="0.25">
      <c r="A526" s="17">
        <v>523</v>
      </c>
      <c r="B526" s="21" t="s">
        <v>1893</v>
      </c>
      <c r="C526" s="21" t="s">
        <v>618</v>
      </c>
      <c r="D526" s="21" t="s">
        <v>1083</v>
      </c>
      <c r="E526" s="21" t="s">
        <v>910</v>
      </c>
      <c r="F526" s="21" t="s">
        <v>25</v>
      </c>
      <c r="G526" s="21" t="s">
        <v>2225</v>
      </c>
      <c r="H526" s="21" t="s">
        <v>2226</v>
      </c>
      <c r="I526" s="21" t="s">
        <v>24</v>
      </c>
      <c r="J526" s="13" t="str">
        <f t="shared" si="8"/>
        <v>insert into chb_datacheck_condition (CHECKCONDITIONID,CHECKRULEID,CHECKMETHOD,SRCPROPERTY,COMPARETO,OBJVALUE,REMARK,STATUS) values ('WADFD6FB33814CF1E0536D5C010AD0CE    ','W84807E5-EF00-D096-E050-007F010077FD','inArray','ASSET_TYPE2','==','1208','[资产/负债类别]为“1208 带回购条款的股权性融资”时','E');</v>
      </c>
    </row>
    <row r="527" spans="1:10" x14ac:dyDescent="0.25">
      <c r="A527" s="17">
        <v>524</v>
      </c>
      <c r="B527" s="21" t="s">
        <v>1894</v>
      </c>
      <c r="C527" s="21" t="s">
        <v>619</v>
      </c>
      <c r="D527" s="21" t="s">
        <v>1083</v>
      </c>
      <c r="E527" s="21" t="s">
        <v>910</v>
      </c>
      <c r="F527" s="21" t="s">
        <v>25</v>
      </c>
      <c r="G527" s="21" t="s">
        <v>2227</v>
      </c>
      <c r="H527" s="21" t="s">
        <v>2228</v>
      </c>
      <c r="I527" s="21" t="s">
        <v>24</v>
      </c>
      <c r="J527" s="13" t="str">
        <f t="shared" si="8"/>
        <v>insert into chb_datacheck_condition (CHECKCONDITIONID,CHECKRULEID,CHECKMETHOD,SRCPROPERTY,COMPARETO,OBJVALUE,REMARK,STATUS) values ('WADFD6FB33834CF1E0536D5C010AD0CE    ','W84807E5-EF00-D097-E050-007F010077FD','inArray','ASSET_TYPE2','==','1209','[资产/负债类别]为“1209 债权融资类产品”时','E');</v>
      </c>
    </row>
    <row r="528" spans="1:10" x14ac:dyDescent="0.25">
      <c r="A528" s="17">
        <v>525</v>
      </c>
      <c r="B528" s="21" t="s">
        <v>1895</v>
      </c>
      <c r="C528" s="21" t="s">
        <v>620</v>
      </c>
      <c r="D528" s="21" t="s">
        <v>1083</v>
      </c>
      <c r="E528" s="21" t="s">
        <v>910</v>
      </c>
      <c r="F528" s="21" t="s">
        <v>25</v>
      </c>
      <c r="G528" s="21" t="s">
        <v>2215</v>
      </c>
      <c r="H528" s="21" t="s">
        <v>2216</v>
      </c>
      <c r="I528" s="21" t="s">
        <v>24</v>
      </c>
      <c r="J528" s="13" t="str">
        <f t="shared" si="8"/>
        <v>insert into chb_datacheck_condition (CHECKCONDITIONID,CHECKRULEID,CHECKMETHOD,SRCPROPERTY,COMPARETO,OBJVALUE,REMARK,STATUS) values ('WADFD6FB33844CF1E0536D5C010AD0CE    ','W84807E5-EF00-D098-E050-007F010077FD','inArray','ASSET_TYPE2','==','2201,2202','当资产/负债类别为新增可投资资产时','E');</v>
      </c>
    </row>
    <row r="529" spans="1:10" x14ac:dyDescent="0.25">
      <c r="A529" s="17">
        <v>526</v>
      </c>
      <c r="B529" s="21" t="s">
        <v>1896</v>
      </c>
      <c r="C529" s="21" t="s">
        <v>621</v>
      </c>
      <c r="D529" s="21" t="s">
        <v>1083</v>
      </c>
      <c r="E529" s="21" t="s">
        <v>910</v>
      </c>
      <c r="F529" s="21" t="s">
        <v>25</v>
      </c>
      <c r="G529" s="21" t="s">
        <v>2161</v>
      </c>
      <c r="H529" s="21" t="s">
        <v>2162</v>
      </c>
      <c r="I529" s="21" t="s">
        <v>24</v>
      </c>
      <c r="J529" s="13" t="str">
        <f t="shared" si="8"/>
        <v>insert into chb_datacheck_condition (CHECKCONDITIONID,CHECKRULEID,CHECKMETHOD,SRCPROPERTY,COMPARETO,OBJVALUE,REMARK,STATUS) values ('WADFD6FB33854CF1E0536D5C010AD0CE    ','W84807E5-EF00-D099-E050-007F010077FD','inArray','ASSET_TYPE2','==','1202,1203,1204,1205,1206,1207,1208,1209','当资产/负债类别为非标准化债权类资产时','E');</v>
      </c>
    </row>
    <row r="530" spans="1:10" x14ac:dyDescent="0.25">
      <c r="A530" s="17">
        <v>527</v>
      </c>
      <c r="B530" s="21" t="s">
        <v>1897</v>
      </c>
      <c r="C530" s="21" t="s">
        <v>622</v>
      </c>
      <c r="D530" s="21" t="s">
        <v>1083</v>
      </c>
      <c r="E530" s="21" t="s">
        <v>910</v>
      </c>
      <c r="F530" s="21" t="s">
        <v>25</v>
      </c>
      <c r="G530" s="21" t="s">
        <v>2217</v>
      </c>
      <c r="H530" s="21" t="s">
        <v>2218</v>
      </c>
      <c r="I530" s="21" t="s">
        <v>24</v>
      </c>
      <c r="J530" s="13" t="str">
        <f t="shared" si="8"/>
        <v>insert into chb_datacheck_condition (CHECKCONDITIONID,CHECKRULEID,CHECKMETHOD,SRCPROPERTY,COMPARETO,OBJVALUE,REMARK,STATUS) values ('WADFD6FB338D4CF1E0536D5C010AD0CE    ','W84807E5-EF00-D100-E050-007F010077FD','inArray','ASSET_TYPE2','==','1202','[资产/负债类别]为“1202 信托贷款”时','E');</v>
      </c>
    </row>
    <row r="531" spans="1:10" x14ac:dyDescent="0.25">
      <c r="A531" s="17">
        <v>528</v>
      </c>
      <c r="B531" s="21" t="s">
        <v>1898</v>
      </c>
      <c r="C531" s="21" t="s">
        <v>623</v>
      </c>
      <c r="D531" s="21" t="s">
        <v>1083</v>
      </c>
      <c r="E531" s="21" t="s">
        <v>910</v>
      </c>
      <c r="F531" s="21" t="s">
        <v>25</v>
      </c>
      <c r="G531" s="21" t="s">
        <v>2219</v>
      </c>
      <c r="H531" s="21" t="s">
        <v>2300</v>
      </c>
      <c r="I531" s="21" t="s">
        <v>24</v>
      </c>
      <c r="J531" s="13" t="str">
        <f t="shared" si="8"/>
        <v>insert into chb_datacheck_condition (CHECKCONDITIONID,CHECKRULEID,CHECKMETHOD,SRCPROPERTY,COMPARETO,OBJVALUE,REMARK,STATUS) values ('WADFD6FB33904CF1E0536D5C010AD0CE    ','W84807E5-EF00-D101-E050-007F010077FD','inArray','ASSET_TYPE2','==','1203','[资产/负债类别]为“1203 委托贷款”时','E');</v>
      </c>
    </row>
    <row r="532" spans="1:10" x14ac:dyDescent="0.25">
      <c r="A532" s="17">
        <v>529</v>
      </c>
      <c r="B532" s="21" t="s">
        <v>1899</v>
      </c>
      <c r="C532" s="21" t="s">
        <v>624</v>
      </c>
      <c r="D532" s="21" t="s">
        <v>1083</v>
      </c>
      <c r="E532" s="21" t="s">
        <v>910</v>
      </c>
      <c r="F532" s="21" t="s">
        <v>25</v>
      </c>
      <c r="G532" s="21" t="s">
        <v>2220</v>
      </c>
      <c r="H532" s="21" t="s">
        <v>2301</v>
      </c>
      <c r="I532" s="21" t="s">
        <v>24</v>
      </c>
      <c r="J532" s="13" t="str">
        <f t="shared" si="8"/>
        <v>insert into chb_datacheck_condition (CHECKCONDITIONID,CHECKRULEID,CHECKMETHOD,SRCPROPERTY,COMPARETO,OBJVALUE,REMARK,STATUS) values ('WADFD6FB33924CF1E0536D5C010AD0CE    ','W84807E5-EF00-D102-E050-007F010077FD','inArray','ASSET_TYPE2','==','1204','[资产/负债类别]为“1204 信贷资产转让”时','E');</v>
      </c>
    </row>
    <row r="533" spans="1:10" x14ac:dyDescent="0.25">
      <c r="A533" s="17">
        <v>530</v>
      </c>
      <c r="B533" s="21" t="s">
        <v>1900</v>
      </c>
      <c r="C533" s="21" t="s">
        <v>625</v>
      </c>
      <c r="D533" s="21" t="s">
        <v>1083</v>
      </c>
      <c r="E533" s="21" t="s">
        <v>910</v>
      </c>
      <c r="F533" s="21" t="s">
        <v>25</v>
      </c>
      <c r="G533" s="21" t="s">
        <v>2147</v>
      </c>
      <c r="H533" s="21" t="s">
        <v>2148</v>
      </c>
      <c r="I533" s="21" t="s">
        <v>24</v>
      </c>
      <c r="J533" s="13" t="str">
        <f t="shared" si="8"/>
        <v>insert into chb_datacheck_condition (CHECKCONDITIONID,CHECKRULEID,CHECKMETHOD,SRCPROPERTY,COMPARETO,OBJVALUE,REMARK,STATUS) values ('WADFD6FB33944CF1E0536D5C010AD0CE    ','W84807E5-EF00-D103-E050-007F010077FD','inArray','ASSET_TYPE2','==','1205','[资产/负债类别]为“1205 收/受益权”时','E');</v>
      </c>
    </row>
    <row r="534" spans="1:10" x14ac:dyDescent="0.25">
      <c r="A534" s="17">
        <v>531</v>
      </c>
      <c r="B534" s="21" t="s">
        <v>1901</v>
      </c>
      <c r="C534" s="21" t="s">
        <v>626</v>
      </c>
      <c r="D534" s="21" t="s">
        <v>1083</v>
      </c>
      <c r="E534" s="21" t="s">
        <v>910</v>
      </c>
      <c r="F534" s="21" t="s">
        <v>25</v>
      </c>
      <c r="G534" s="21" t="s">
        <v>2221</v>
      </c>
      <c r="H534" s="21" t="s">
        <v>2222</v>
      </c>
      <c r="I534" s="21" t="s">
        <v>24</v>
      </c>
      <c r="J534" s="13" t="str">
        <f t="shared" si="8"/>
        <v>insert into chb_datacheck_condition (CHECKCONDITIONID,CHECKRULEID,CHECKMETHOD,SRCPROPERTY,COMPARETO,OBJVALUE,REMARK,STATUS) values ('WADFD6FB33964CF1E0536D5C010AD0CE    ','W84807E5-EF00-D104-E050-007F010077FD','inArray','ASSET_TYPE2','==','1206','[资产/负债类别]为“1206 委托债权”时','E');</v>
      </c>
    </row>
    <row r="535" spans="1:10" x14ac:dyDescent="0.25">
      <c r="A535" s="17">
        <v>532</v>
      </c>
      <c r="B535" s="21" t="s">
        <v>1902</v>
      </c>
      <c r="C535" s="21" t="s">
        <v>627</v>
      </c>
      <c r="D535" s="21" t="s">
        <v>1083</v>
      </c>
      <c r="E535" s="21" t="s">
        <v>910</v>
      </c>
      <c r="F535" s="21" t="s">
        <v>25</v>
      </c>
      <c r="G535" s="21" t="s">
        <v>2223</v>
      </c>
      <c r="H535" s="21" t="s">
        <v>2224</v>
      </c>
      <c r="I535" s="21" t="s">
        <v>24</v>
      </c>
      <c r="J535" s="13" t="str">
        <f t="shared" si="8"/>
        <v>insert into chb_datacheck_condition (CHECKCONDITIONID,CHECKRULEID,CHECKMETHOD,SRCPROPERTY,COMPARETO,OBJVALUE,REMARK,STATUS) values ('WADFD6FB33984CF1E0536D5C010AD0CE    ','W84807E5-EF00-D105-E050-007F010077FD','inArray','ASSET_TYPE2','==','1207','[资产/负债类别]为“1207 应收账款”时','E');</v>
      </c>
    </row>
    <row r="536" spans="1:10" x14ac:dyDescent="0.25">
      <c r="A536" s="17">
        <v>533</v>
      </c>
      <c r="B536" s="21" t="s">
        <v>1903</v>
      </c>
      <c r="C536" s="21" t="s">
        <v>628</v>
      </c>
      <c r="D536" s="21" t="s">
        <v>1083</v>
      </c>
      <c r="E536" s="21" t="s">
        <v>910</v>
      </c>
      <c r="F536" s="21" t="s">
        <v>25</v>
      </c>
      <c r="G536" s="21" t="s">
        <v>2225</v>
      </c>
      <c r="H536" s="21" t="s">
        <v>2226</v>
      </c>
      <c r="I536" s="21" t="s">
        <v>24</v>
      </c>
      <c r="J536" s="13" t="str">
        <f t="shared" si="8"/>
        <v>insert into chb_datacheck_condition (CHECKCONDITIONID,CHECKRULEID,CHECKMETHOD,SRCPROPERTY,COMPARETO,OBJVALUE,REMARK,STATUS) values ('WADFD6FB339A4CF1E0536D5C010AD0CE    ','W84807E5-EF00-D106-E050-007F010077FD','inArray','ASSET_TYPE2','==','1208','[资产/负债类别]为“1208 带回购条款的股权性融资”时','E');</v>
      </c>
    </row>
    <row r="537" spans="1:10" x14ac:dyDescent="0.25">
      <c r="A537" s="17">
        <v>534</v>
      </c>
      <c r="B537" s="21" t="s">
        <v>1904</v>
      </c>
      <c r="C537" s="21" t="s">
        <v>629</v>
      </c>
      <c r="D537" s="21" t="s">
        <v>1083</v>
      </c>
      <c r="E537" s="21" t="s">
        <v>910</v>
      </c>
      <c r="F537" s="21" t="s">
        <v>25</v>
      </c>
      <c r="G537" s="21" t="s">
        <v>2227</v>
      </c>
      <c r="H537" s="21" t="s">
        <v>2228</v>
      </c>
      <c r="I537" s="21" t="s">
        <v>24</v>
      </c>
      <c r="J537" s="13" t="str">
        <f t="shared" si="8"/>
        <v>insert into chb_datacheck_condition (CHECKCONDITIONID,CHECKRULEID,CHECKMETHOD,SRCPROPERTY,COMPARETO,OBJVALUE,REMARK,STATUS) values ('WADFD6FB339C4CF1E0536D5C010AD0CE    ','W84807E5-EF00-D107-E050-007F010077FD','inArray','ASSET_TYPE2','==','1209','[资产/负债类别]为“1209 债权融资类产品”时','E');</v>
      </c>
    </row>
    <row r="538" spans="1:10" x14ac:dyDescent="0.25">
      <c r="A538" s="17">
        <v>535</v>
      </c>
      <c r="B538" s="21" t="s">
        <v>1905</v>
      </c>
      <c r="C538" s="21" t="s">
        <v>630</v>
      </c>
      <c r="D538" s="21" t="s">
        <v>1083</v>
      </c>
      <c r="E538" s="21" t="s">
        <v>910</v>
      </c>
      <c r="F538" s="21" t="s">
        <v>25</v>
      </c>
      <c r="G538" s="21" t="s">
        <v>2215</v>
      </c>
      <c r="H538" s="21" t="s">
        <v>2216</v>
      </c>
      <c r="I538" s="21" t="s">
        <v>24</v>
      </c>
      <c r="J538" s="13" t="str">
        <f t="shared" si="8"/>
        <v>insert into chb_datacheck_condition (CHECKCONDITIONID,CHECKRULEID,CHECKMETHOD,SRCPROPERTY,COMPARETO,OBJVALUE,REMARK,STATUS) values ('WADFD6FB339D4CF1E0536D5C010AD0CE    ','W84807E5-EF00-D108-E050-007F010077FD','inArray','ASSET_TYPE2','==','2201,2202','当资产/负债类别为新增可投资资产时','E');</v>
      </c>
    </row>
    <row r="539" spans="1:10" x14ac:dyDescent="0.25">
      <c r="A539" s="17">
        <v>536</v>
      </c>
      <c r="B539" s="21" t="s">
        <v>1906</v>
      </c>
      <c r="C539" s="21" t="s">
        <v>633</v>
      </c>
      <c r="D539" s="21" t="s">
        <v>1083</v>
      </c>
      <c r="E539" s="21" t="s">
        <v>910</v>
      </c>
      <c r="F539" s="21" t="s">
        <v>25</v>
      </c>
      <c r="G539" s="21" t="s">
        <v>2172</v>
      </c>
      <c r="H539" s="21" t="s">
        <v>2173</v>
      </c>
      <c r="I539" s="21" t="s">
        <v>24</v>
      </c>
      <c r="J539" s="13" t="str">
        <f t="shared" si="8"/>
        <v>insert into chb_datacheck_condition (CHECKCONDITIONID,CHECKRULEID,CHECKMETHOD,SRCPROPERTY,COMPARETO,OBJVALUE,REMARK,STATUS) values ('WADFD6FB33A74CF1E0536D5C010AD0CE    ','W84807E5-EF00-D111-E050-007F010077FD','inArray','ASSET_TYPE2','==','1301','[资产/负债类别]为“1301 股权”时','E');</v>
      </c>
    </row>
    <row r="540" spans="1:10" x14ac:dyDescent="0.25">
      <c r="A540" s="17">
        <v>537</v>
      </c>
      <c r="B540" s="21" t="s">
        <v>1907</v>
      </c>
      <c r="C540" s="21" t="s">
        <v>634</v>
      </c>
      <c r="D540" s="21" t="s">
        <v>1083</v>
      </c>
      <c r="E540" s="21" t="s">
        <v>910</v>
      </c>
      <c r="F540" s="21" t="s">
        <v>25</v>
      </c>
      <c r="G540" s="21" t="s">
        <v>2350</v>
      </c>
      <c r="H540" s="21" t="s">
        <v>2351</v>
      </c>
      <c r="I540" s="21" t="s">
        <v>24</v>
      </c>
      <c r="J540" s="13" t="str">
        <f t="shared" si="8"/>
        <v>insert into chb_datacheck_condition (CHECKCONDITIONID,CHECKRULEID,CHECKMETHOD,SRCPROPERTY,COMPARETO,OBJVALUE,REMARK,STATUS) values ('WADFD6FB33A94CF1E0536D5C010AD0CE    ','W84807E5-EF00-D112-E050-007F010077FD','inArray','ASSET_TYPE2','==','1302,1305','[资产/负债类别]不为“1301 股权”时','E');</v>
      </c>
    </row>
    <row r="541" spans="1:10" x14ac:dyDescent="0.25">
      <c r="A541" s="17">
        <v>538</v>
      </c>
      <c r="B541" s="21" t="s">
        <v>1908</v>
      </c>
      <c r="C541" s="21" t="s">
        <v>636</v>
      </c>
      <c r="D541" s="21" t="s">
        <v>1083</v>
      </c>
      <c r="E541" s="21" t="s">
        <v>910</v>
      </c>
      <c r="F541" s="21" t="s">
        <v>25</v>
      </c>
      <c r="G541" s="21" t="s">
        <v>2172</v>
      </c>
      <c r="H541" s="21" t="s">
        <v>2173</v>
      </c>
      <c r="I541" s="21" t="s">
        <v>24</v>
      </c>
      <c r="J541" s="13" t="str">
        <f t="shared" si="8"/>
        <v>insert into chb_datacheck_condition (CHECKCONDITIONID,CHECKRULEID,CHECKMETHOD,SRCPROPERTY,COMPARETO,OBJVALUE,REMARK,STATUS) values ('WADFD6FB33AB4CF1E0536D5C010AD0CE    ','W84807E5-EF00-D114-E050-007F010077FD','inArray','ASSET_TYPE2','==','1301','[资产/负债类别]为“1301 股权”时','E');</v>
      </c>
    </row>
    <row r="542" spans="1:10" x14ac:dyDescent="0.25">
      <c r="A542" s="17">
        <v>539</v>
      </c>
      <c r="B542" s="21" t="s">
        <v>1909</v>
      </c>
      <c r="C542" s="21" t="s">
        <v>637</v>
      </c>
      <c r="D542" s="21" t="s">
        <v>1083</v>
      </c>
      <c r="E542" s="21" t="s">
        <v>910</v>
      </c>
      <c r="F542" s="21" t="s">
        <v>25</v>
      </c>
      <c r="G542" s="21" t="s">
        <v>2170</v>
      </c>
      <c r="H542" s="21" t="s">
        <v>2171</v>
      </c>
      <c r="I542" s="21" t="s">
        <v>24</v>
      </c>
      <c r="J542" s="13" t="str">
        <f t="shared" si="8"/>
        <v>insert into chb_datacheck_condition (CHECKCONDITIONID,CHECKRULEID,CHECKMETHOD,SRCPROPERTY,COMPARETO,OBJVALUE,REMARK,STATUS) values ('WADFD6FB33AD4CF1E0536D5C010AD0CE    ','W84807E5-EF00-D115-E050-007F010077FD','inArray','ASSET_TYPE2','==','1305','[资产/负债类别]为“1305 股票(一级市场)”时','E');</v>
      </c>
    </row>
    <row r="543" spans="1:10" x14ac:dyDescent="0.25">
      <c r="A543" s="17">
        <v>540</v>
      </c>
      <c r="B543" s="21" t="s">
        <v>1910</v>
      </c>
      <c r="C543" s="21" t="s">
        <v>638</v>
      </c>
      <c r="D543" s="21" t="s">
        <v>1083</v>
      </c>
      <c r="E543" s="21" t="s">
        <v>910</v>
      </c>
      <c r="F543" s="21" t="s">
        <v>25</v>
      </c>
      <c r="G543" s="21" t="s">
        <v>2174</v>
      </c>
      <c r="H543" s="21" t="s">
        <v>2175</v>
      </c>
      <c r="I543" s="21" t="s">
        <v>24</v>
      </c>
      <c r="J543" s="13" t="str">
        <f t="shared" si="8"/>
        <v>insert into chb_datacheck_condition (CHECKCONDITIONID,CHECKRULEID,CHECKMETHOD,SRCPROPERTY,COMPARETO,OBJVALUE,REMARK,STATUS) values ('WADFD6FB33AF4CF1E0536D5C010AD0CE    ','W84807E5-EF00-D116-E050-007F010077FD','inArray','ASSET_TYPE2','==','1302','[资产/负债类别]为“1302 股票(二级市场)”时','E');</v>
      </c>
    </row>
    <row r="544" spans="1:10" x14ac:dyDescent="0.25">
      <c r="A544" s="17">
        <v>541</v>
      </c>
      <c r="B544" s="21" t="s">
        <v>1911</v>
      </c>
      <c r="C544" s="21" t="s">
        <v>639</v>
      </c>
      <c r="D544" s="21" t="s">
        <v>1083</v>
      </c>
      <c r="E544" s="21" t="s">
        <v>910</v>
      </c>
      <c r="F544" s="21" t="s">
        <v>25</v>
      </c>
      <c r="G544" s="21" t="s">
        <v>2361</v>
      </c>
      <c r="H544" s="21" t="s">
        <v>2235</v>
      </c>
      <c r="I544" s="21" t="s">
        <v>24</v>
      </c>
      <c r="J544" s="13" t="str">
        <f t="shared" si="8"/>
        <v>insert into chb_datacheck_condition (CHECKCONDITIONID,CHECKRULEID,CHECKMETHOD,SRCPROPERTY,COMPARETO,OBJVALUE,REMARK,STATUS) values ('WADFD6FB33B14CF1E0536D5C010AD0CE    ','W84807E5-EF00-D117-E050-007F010077FD','inArray','ASSET_TYPE2','==','1299,1599,2299','[资产/负债类别]不为“1399 其他权益类投资”时','E');</v>
      </c>
    </row>
    <row r="545" spans="1:10" x14ac:dyDescent="0.25">
      <c r="A545" s="17">
        <v>542</v>
      </c>
      <c r="B545" s="21" t="s">
        <v>1912</v>
      </c>
      <c r="C545" s="21" t="s">
        <v>641</v>
      </c>
      <c r="D545" s="21" t="s">
        <v>1083</v>
      </c>
      <c r="E545" s="21" t="s">
        <v>910</v>
      </c>
      <c r="F545" s="21" t="s">
        <v>25</v>
      </c>
      <c r="G545" s="21" t="s">
        <v>2083</v>
      </c>
      <c r="H545" s="21" t="s">
        <v>2084</v>
      </c>
      <c r="I545" s="21" t="s">
        <v>24</v>
      </c>
      <c r="J545" s="13" t="str">
        <f t="shared" si="8"/>
        <v>insert into chb_datacheck_condition (CHECKCONDITIONID,CHECKRULEID,CHECKMETHOD,SRCPROPERTY,COMPARETO,OBJVALUE,REMARK,STATUS) values ('WADFD6FB33B44CF1E0536D5C010AD0CE    ','W84807E5-EF00-D119-E050-007F010077FD','inArray','ASSET_TYPE2','==','1401,1402,1403,1404,1405,1406,1499','当资产/负债类别为金融衍生品时','E');</v>
      </c>
    </row>
    <row r="546" spans="1:10" x14ac:dyDescent="0.25">
      <c r="A546" s="17">
        <v>543</v>
      </c>
      <c r="B546" s="21" t="s">
        <v>1913</v>
      </c>
      <c r="C546" s="21" t="s">
        <v>642</v>
      </c>
      <c r="D546" s="21" t="s">
        <v>1083</v>
      </c>
      <c r="E546" s="21" t="s">
        <v>910</v>
      </c>
      <c r="F546" s="21" t="s">
        <v>25</v>
      </c>
      <c r="G546" s="21" t="s">
        <v>2083</v>
      </c>
      <c r="H546" s="21" t="s">
        <v>2084</v>
      </c>
      <c r="I546" s="21" t="s">
        <v>24</v>
      </c>
      <c r="J546" s="13" t="str">
        <f t="shared" si="8"/>
        <v>insert into chb_datacheck_condition (CHECKCONDITIONID,CHECKRULEID,CHECKMETHOD,SRCPROPERTY,COMPARETO,OBJVALUE,REMARK,STATUS) values ('WADFD6FB33B54CF1E0536D5C010AD0CE    ','W84807E5-EF00-D120-E050-007F010077FD','inArray','ASSET_TYPE2','==','1401,1402,1403,1404,1405,1406,1499','当资产/负债类别为金融衍生品时','E');</v>
      </c>
    </row>
    <row r="547" spans="1:10" x14ac:dyDescent="0.25">
      <c r="A547" s="17">
        <v>544</v>
      </c>
      <c r="B547" s="21" t="s">
        <v>1914</v>
      </c>
      <c r="C547" s="21" t="s">
        <v>643</v>
      </c>
      <c r="D547" s="21" t="s">
        <v>1083</v>
      </c>
      <c r="E547" s="21" t="s">
        <v>910</v>
      </c>
      <c r="F547" s="21" t="s">
        <v>25</v>
      </c>
      <c r="G547" s="21" t="s">
        <v>2236</v>
      </c>
      <c r="H547" s="21" t="s">
        <v>2237</v>
      </c>
      <c r="I547" s="21" t="s">
        <v>24</v>
      </c>
      <c r="J547" s="13" t="str">
        <f t="shared" si="8"/>
        <v>insert into chb_datacheck_condition (CHECKCONDITIONID,CHECKRULEID,CHECKMETHOD,SRCPROPERTY,COMPARETO,OBJVALUE,REMARK,STATUS) values ('WADFD6FB33B74CF1E0536D5C010AD0CE    ','W84807E5-EF00-D122-E050-007F010077FD','inArray','ASSET_TYPE2','==','1705','[资产/负债类别]为“1705 其他资产管理计划”时','E');</v>
      </c>
    </row>
    <row r="548" spans="1:10" x14ac:dyDescent="0.25">
      <c r="A548" s="17">
        <v>545</v>
      </c>
      <c r="B548" s="21" t="s">
        <v>1915</v>
      </c>
      <c r="C548" s="21" t="s">
        <v>644</v>
      </c>
      <c r="D548" s="21" t="s">
        <v>1083</v>
      </c>
      <c r="E548" s="21" t="s">
        <v>910</v>
      </c>
      <c r="F548" s="21" t="s">
        <v>41</v>
      </c>
      <c r="G548" s="21" t="s">
        <v>2238</v>
      </c>
      <c r="H548" s="21" t="s">
        <v>2239</v>
      </c>
      <c r="I548" s="21" t="s">
        <v>24</v>
      </c>
      <c r="J548" s="13" t="str">
        <f t="shared" si="8"/>
        <v>insert into chb_datacheck_condition (CHECKCONDITIONID,CHECKRULEID,CHECKMETHOD,SRCPROPERTY,COMPARETO,OBJVALUE,REMARK,STATUS) values ('WADFD6FB33B84CF1E0536D5C010AD0CE    ','W84807E5-EF00-D123-E050-007F010077FD','inArray','ASSET_TYPE2','!=','1705,2601,2602,2604,2605,2606,2607,2610,2611,2612,2613,2614,2616,2617,2618,2619,2620,2699','资产/负债类别不为1705 其他资产管理计划时','E');</v>
      </c>
    </row>
    <row r="549" spans="1:10" x14ac:dyDescent="0.25">
      <c r="A549" s="17">
        <v>546</v>
      </c>
      <c r="B549" s="21" t="s">
        <v>1916</v>
      </c>
      <c r="C549" s="21" t="s">
        <v>646</v>
      </c>
      <c r="D549" s="21" t="s">
        <v>1083</v>
      </c>
      <c r="E549" s="21" t="s">
        <v>910</v>
      </c>
      <c r="F549" s="21" t="s">
        <v>25</v>
      </c>
      <c r="G549" s="21" t="s">
        <v>2106</v>
      </c>
      <c r="H549" s="21" t="s">
        <v>2107</v>
      </c>
      <c r="I549" s="21" t="s">
        <v>24</v>
      </c>
      <c r="J549" s="13" t="str">
        <f t="shared" si="8"/>
        <v>insert into chb_datacheck_condition (CHECKCONDITIONID,CHECKRULEID,CHECKMETHOD,SRCPROPERTY,COMPARETO,OBJVALUE,REMARK,STATUS) values ('WADFD6FB33BA4CF1E0536D5C010AD0CE    ','W84807E5-EF00-D125-E050-007F010077FD','inArray','ASSET_TYPE2','==','2601,2602,2604,2605,2606,2607,2610,2611,2612,2613,2614,2616,2617,2618,2619,2620,2699','当资产/负债类别为私募基金时','E');</v>
      </c>
    </row>
    <row r="550" spans="1:10" x14ac:dyDescent="0.25">
      <c r="A550" s="17">
        <v>547</v>
      </c>
      <c r="B550" s="21" t="s">
        <v>1917</v>
      </c>
      <c r="C550" s="21" t="s">
        <v>647</v>
      </c>
      <c r="D550" s="21" t="s">
        <v>40</v>
      </c>
      <c r="E550" s="21" t="s">
        <v>1132</v>
      </c>
      <c r="F550" s="21" t="s">
        <v>25</v>
      </c>
      <c r="G550" s="21" t="s">
        <v>2202</v>
      </c>
      <c r="H550" s="21" t="s">
        <v>2201</v>
      </c>
      <c r="I550" s="21" t="s">
        <v>24</v>
      </c>
      <c r="J550" s="13" t="str">
        <f t="shared" si="8"/>
        <v>insert into chb_datacheck_condition (CHECKCONDITIONID,CHECKRULEID,CHECKMETHOD,SRCPROPERTY,COMPARETO,OBJVALUE,REMARK,STATUS) values ('WADFD6FB33F44CF1E0536D5C010AD0CE    ','W84807E5-EF00-D150-E050-007F010077FD','compareValue','GUA_TYPE','==','03','当“担保方式”选择“抵押”或“质押”时','E');</v>
      </c>
    </row>
    <row r="551" spans="1:10" x14ac:dyDescent="0.25">
      <c r="A551" s="17">
        <v>548</v>
      </c>
      <c r="B551" s="21" t="s">
        <v>1918</v>
      </c>
      <c r="C551" s="21" t="s">
        <v>647</v>
      </c>
      <c r="D551" s="21" t="s">
        <v>1083</v>
      </c>
      <c r="E551" s="21" t="s">
        <v>910</v>
      </c>
      <c r="F551" s="21" t="s">
        <v>25</v>
      </c>
      <c r="G551" s="21" t="s">
        <v>2156</v>
      </c>
      <c r="H551" s="21" t="s">
        <v>2160</v>
      </c>
      <c r="I551" s="21" t="s">
        <v>24</v>
      </c>
      <c r="J551" s="13" t="str">
        <f t="shared" si="8"/>
        <v>insert into chb_datacheck_condition (CHECKCONDITIONID,CHECKRULEID,CHECKMETHOD,SRCPROPERTY,COMPARETO,OBJVALUE,REMARK,STATUS) values ('WADFD6FB33F34CF1E0536D5C010AD0CE    ','W84807E5-EF00-D150-E050-007F010077FD','inArray','ASSET_TYPE2','==','1299','当资产/负债类别为1299其他非标准化债权类投资时','E');</v>
      </c>
    </row>
    <row r="552" spans="1:10" x14ac:dyDescent="0.25">
      <c r="A552" s="17">
        <v>549</v>
      </c>
      <c r="B552" s="21" t="s">
        <v>1919</v>
      </c>
      <c r="C552" s="21" t="s">
        <v>648</v>
      </c>
      <c r="D552" s="21" t="s">
        <v>40</v>
      </c>
      <c r="E552" s="21" t="s">
        <v>1132</v>
      </c>
      <c r="F552" s="21" t="s">
        <v>25</v>
      </c>
      <c r="G552" s="21" t="s">
        <v>2121</v>
      </c>
      <c r="H552" s="21" t="s">
        <v>2201</v>
      </c>
      <c r="I552" s="21" t="s">
        <v>24</v>
      </c>
      <c r="J552" s="13" t="str">
        <f t="shared" si="8"/>
        <v>insert into chb_datacheck_condition (CHECKCONDITIONID,CHECKRULEID,CHECKMETHOD,SRCPROPERTY,COMPARETO,OBJVALUE,REMARK,STATUS) values ('WADFD6FB33F64CF1E0536D5C010AD0CE    ','W84807E5-EF00-D151-E050-007F010077FD','compareValue','GUA_TYPE','==','04','当“担保方式”选择“抵押”或“质押”时','E');</v>
      </c>
    </row>
    <row r="553" spans="1:10" x14ac:dyDescent="0.25">
      <c r="A553" s="17">
        <v>550</v>
      </c>
      <c r="B553" s="21" t="s">
        <v>1920</v>
      </c>
      <c r="C553" s="21" t="s">
        <v>648</v>
      </c>
      <c r="D553" s="21" t="s">
        <v>1083</v>
      </c>
      <c r="E553" s="21" t="s">
        <v>910</v>
      </c>
      <c r="F553" s="21" t="s">
        <v>25</v>
      </c>
      <c r="G553" s="21" t="s">
        <v>2156</v>
      </c>
      <c r="H553" s="21" t="s">
        <v>2160</v>
      </c>
      <c r="I553" s="21" t="s">
        <v>24</v>
      </c>
      <c r="J553" s="13" t="str">
        <f t="shared" si="8"/>
        <v>insert into chb_datacheck_condition (CHECKCONDITIONID,CHECKRULEID,CHECKMETHOD,SRCPROPERTY,COMPARETO,OBJVALUE,REMARK,STATUS) values ('WADFD6FB33F54CF1E0536D5C010AD0CE    ','W84807E5-EF00-D151-E050-007F010077FD','inArray','ASSET_TYPE2','==','1299','当资产/负债类别为1299其他非标准化债权类投资时','E');</v>
      </c>
    </row>
    <row r="554" spans="1:10" x14ac:dyDescent="0.25">
      <c r="A554" s="17">
        <v>551</v>
      </c>
      <c r="B554" s="21" t="s">
        <v>1921</v>
      </c>
      <c r="C554" s="21" t="s">
        <v>649</v>
      </c>
      <c r="D554" s="21" t="s">
        <v>1083</v>
      </c>
      <c r="E554" s="21" t="s">
        <v>910</v>
      </c>
      <c r="F554" s="21" t="s">
        <v>25</v>
      </c>
      <c r="G554" s="21" t="s">
        <v>2156</v>
      </c>
      <c r="H554" s="21" t="s">
        <v>2160</v>
      </c>
      <c r="I554" s="21" t="s">
        <v>24</v>
      </c>
      <c r="J554" s="13" t="str">
        <f t="shared" si="8"/>
        <v>insert into chb_datacheck_condition (CHECKCONDITIONID,CHECKRULEID,CHECKMETHOD,SRCPROPERTY,COMPARETO,OBJVALUE,REMARK,STATUS) values ('WADFD6FB33F94CF1E0536D5C010AD0CE    ','W84807E5-EF00-D153-E050-007F010077FD','inArray','ASSET_TYPE2','==','1299','当资产/负债类别为1299其他非标准化债权类投资时','E');</v>
      </c>
    </row>
    <row r="555" spans="1:10" x14ac:dyDescent="0.25">
      <c r="A555" s="17">
        <v>552</v>
      </c>
      <c r="B555" s="21" t="s">
        <v>1922</v>
      </c>
      <c r="C555" s="21" t="s">
        <v>649</v>
      </c>
      <c r="D555" s="21" t="s">
        <v>1083</v>
      </c>
      <c r="E555" s="21" t="s">
        <v>1132</v>
      </c>
      <c r="F555" s="21" t="s">
        <v>41</v>
      </c>
      <c r="G555" s="21" t="s">
        <v>2200</v>
      </c>
      <c r="H555" s="21" t="s">
        <v>2240</v>
      </c>
      <c r="I555" s="21" t="s">
        <v>24</v>
      </c>
      <c r="J555" s="13" t="str">
        <f t="shared" si="8"/>
        <v>insert into chb_datacheck_condition (CHECKCONDITIONID,CHECKRULEID,CHECKMETHOD,SRCPROPERTY,COMPARETO,OBJVALUE,REMARK,STATUS) values ('WADFD6FB33FB4CF1E0536D5C010AD0CE    ','W84807E5-EF00-D153-E050-007F010077FD','inArray','GUA_TYPE','!=','03,04','当“担保方式”不是“抵押”或“质押”时','E');</v>
      </c>
    </row>
    <row r="556" spans="1:10" x14ac:dyDescent="0.25">
      <c r="A556" s="17">
        <v>553</v>
      </c>
      <c r="B556" s="21" t="s">
        <v>1923</v>
      </c>
      <c r="C556" s="21" t="s">
        <v>650</v>
      </c>
      <c r="D556" s="21" t="s">
        <v>40</v>
      </c>
      <c r="E556" s="21" t="s">
        <v>1132</v>
      </c>
      <c r="F556" s="21" t="s">
        <v>25</v>
      </c>
      <c r="G556" s="21" t="s">
        <v>2202</v>
      </c>
      <c r="H556" s="21" t="s">
        <v>2201</v>
      </c>
      <c r="I556" s="21" t="s">
        <v>24</v>
      </c>
      <c r="J556" s="13" t="str">
        <f t="shared" si="8"/>
        <v>insert into chb_datacheck_condition (CHECKCONDITIONID,CHECKRULEID,CHECKMETHOD,SRCPROPERTY,COMPARETO,OBJVALUE,REMARK,STATUS) values ('WADFD6FB33FF4CF1E0536D5C010AD0CE    ','W84807E5-EF00-D156-E050-007F010077FD','compareValue','GUA_TYPE','==','03','当“担保方式”选择“抵押”或“质押”时','E');</v>
      </c>
    </row>
    <row r="557" spans="1:10" x14ac:dyDescent="0.25">
      <c r="A557" s="17">
        <v>554</v>
      </c>
      <c r="B557" s="21" t="s">
        <v>1924</v>
      </c>
      <c r="C557" s="21" t="s">
        <v>650</v>
      </c>
      <c r="D557" s="21" t="s">
        <v>1083</v>
      </c>
      <c r="E557" s="21" t="s">
        <v>910</v>
      </c>
      <c r="F557" s="21" t="s">
        <v>25</v>
      </c>
      <c r="G557" s="21" t="s">
        <v>2156</v>
      </c>
      <c r="H557" s="21" t="s">
        <v>2160</v>
      </c>
      <c r="I557" s="21" t="s">
        <v>24</v>
      </c>
      <c r="J557" s="13" t="str">
        <f t="shared" si="8"/>
        <v>insert into chb_datacheck_condition (CHECKCONDITIONID,CHECKRULEID,CHECKMETHOD,SRCPROPERTY,COMPARETO,OBJVALUE,REMARK,STATUS) values ('WADFD6FB33FE4CF1E0536D5C010AD0CE    ','W84807E5-EF00-D156-E050-007F010077FD','inArray','ASSET_TYPE2','==','1299','当资产/负债类别为1299其他非标准化债权类投资时','E');</v>
      </c>
    </row>
    <row r="558" spans="1:10" x14ac:dyDescent="0.25">
      <c r="A558" s="17">
        <v>555</v>
      </c>
      <c r="B558" s="21" t="s">
        <v>1925</v>
      </c>
      <c r="C558" s="21" t="s">
        <v>651</v>
      </c>
      <c r="D558" s="21" t="s">
        <v>40</v>
      </c>
      <c r="E558" s="21" t="s">
        <v>1132</v>
      </c>
      <c r="F558" s="21" t="s">
        <v>25</v>
      </c>
      <c r="G558" s="21" t="s">
        <v>2121</v>
      </c>
      <c r="H558" s="21" t="s">
        <v>2201</v>
      </c>
      <c r="I558" s="21" t="s">
        <v>24</v>
      </c>
      <c r="J558" s="13" t="str">
        <f t="shared" si="8"/>
        <v>insert into chb_datacheck_condition (CHECKCONDITIONID,CHECKRULEID,CHECKMETHOD,SRCPROPERTY,COMPARETO,OBJVALUE,REMARK,STATUS) values ('WADFD6FB34014CF1E0536D5C010AD0CE    ','W84807E5-EF00-D157-E050-007F010077FD','compareValue','GUA_TYPE','==','04','当“担保方式”选择“抵押”或“质押”时','E');</v>
      </c>
    </row>
    <row r="559" spans="1:10" x14ac:dyDescent="0.25">
      <c r="A559" s="17">
        <v>556</v>
      </c>
      <c r="B559" s="21" t="s">
        <v>1926</v>
      </c>
      <c r="C559" s="21" t="s">
        <v>651</v>
      </c>
      <c r="D559" s="21" t="s">
        <v>1083</v>
      </c>
      <c r="E559" s="21" t="s">
        <v>910</v>
      </c>
      <c r="F559" s="21" t="s">
        <v>25</v>
      </c>
      <c r="G559" s="21" t="s">
        <v>2156</v>
      </c>
      <c r="H559" s="21" t="s">
        <v>2160</v>
      </c>
      <c r="I559" s="21" t="s">
        <v>24</v>
      </c>
      <c r="J559" s="13" t="str">
        <f t="shared" si="8"/>
        <v>insert into chb_datacheck_condition (CHECKCONDITIONID,CHECKRULEID,CHECKMETHOD,SRCPROPERTY,COMPARETO,OBJVALUE,REMARK,STATUS) values ('WADFD6FB34004CF1E0536D5C010AD0CE    ','W84807E5-EF00-D157-E050-007F010077FD','inArray','ASSET_TYPE2','==','1299','当资产/负债类别为1299其他非标准化债权类投资时','E');</v>
      </c>
    </row>
    <row r="560" spans="1:10" x14ac:dyDescent="0.25">
      <c r="A560" s="17">
        <v>557</v>
      </c>
      <c r="B560" s="21" t="s">
        <v>1927</v>
      </c>
      <c r="C560" s="21" t="s">
        <v>652</v>
      </c>
      <c r="D560" s="21" t="s">
        <v>1083</v>
      </c>
      <c r="E560" s="21" t="s">
        <v>1132</v>
      </c>
      <c r="F560" s="21" t="s">
        <v>41</v>
      </c>
      <c r="G560" s="21" t="s">
        <v>2200</v>
      </c>
      <c r="H560" s="21" t="s">
        <v>2203</v>
      </c>
      <c r="I560" s="21" t="s">
        <v>24</v>
      </c>
      <c r="J560" s="13" t="str">
        <f t="shared" si="8"/>
        <v>insert into chb_datacheck_condition (CHECKCONDITIONID,CHECKRULEID,CHECKMETHOD,SRCPROPERTY,COMPARETO,OBJVALUE,REMARK,STATUS) values ('WADFD6FB34044CF1E0536D5C010AD0CE    ','W84807E5-EF00-D158-E050-007F010077FD','inArray','GUA_TYPE','!=','03,04','“担保方式”不是“抵押”或“质押”时','E');</v>
      </c>
    </row>
    <row r="561" spans="1:10" x14ac:dyDescent="0.25">
      <c r="A561" s="17">
        <v>558</v>
      </c>
      <c r="B561" s="21" t="s">
        <v>1928</v>
      </c>
      <c r="C561" s="21" t="s">
        <v>652</v>
      </c>
      <c r="D561" s="21" t="s">
        <v>1083</v>
      </c>
      <c r="E561" s="21" t="s">
        <v>910</v>
      </c>
      <c r="F561" s="21" t="s">
        <v>25</v>
      </c>
      <c r="G561" s="21" t="s">
        <v>2156</v>
      </c>
      <c r="H561" s="21" t="s">
        <v>2160</v>
      </c>
      <c r="I561" s="21" t="s">
        <v>24</v>
      </c>
      <c r="J561" s="13" t="str">
        <f t="shared" si="8"/>
        <v>insert into chb_datacheck_condition (CHECKCONDITIONID,CHECKRULEID,CHECKMETHOD,SRCPROPERTY,COMPARETO,OBJVALUE,REMARK,STATUS) values ('WADFD6FB34024CF1E0536D5C010AD0CE    ','W84807E5-EF00-D158-E050-007F010077FD','inArray','ASSET_TYPE2','==','1299','当资产/负债类别为1299其他非标准化债权类投资时','E');</v>
      </c>
    </row>
    <row r="562" spans="1:10" x14ac:dyDescent="0.25">
      <c r="A562" s="17">
        <v>559</v>
      </c>
      <c r="B562" s="21" t="s">
        <v>1929</v>
      </c>
      <c r="C562" s="21" t="s">
        <v>653</v>
      </c>
      <c r="D562" s="21" t="s">
        <v>62</v>
      </c>
      <c r="E562" s="21" t="s">
        <v>1132</v>
      </c>
      <c r="F562" s="21"/>
      <c r="G562" s="21" t="s">
        <v>26</v>
      </c>
      <c r="H562" s="21" t="s">
        <v>2163</v>
      </c>
      <c r="I562" s="21" t="s">
        <v>24</v>
      </c>
      <c r="J562" s="13" t="str">
        <f t="shared" si="8"/>
        <v>insert into chb_datacheck_condition (CHECKCONDITIONID,CHECKRULEID,CHECKMETHOD,SRCPROPERTY,COMPARETO,OBJVALUE,REMARK,STATUS) values ('WADFD6FB34064CF1E0536D5C010AD0CE    ','W84807E5-EF00-D159-E050-007F010077FD','lessThanCharLength','GUA_TYPE','','0','“担保方式”为空时','E');</v>
      </c>
    </row>
    <row r="563" spans="1:10" x14ac:dyDescent="0.25">
      <c r="A563" s="17">
        <v>560</v>
      </c>
      <c r="B563" s="21" t="s">
        <v>1930</v>
      </c>
      <c r="C563" s="21" t="s">
        <v>653</v>
      </c>
      <c r="D563" s="21" t="s">
        <v>1083</v>
      </c>
      <c r="E563" s="21" t="s">
        <v>910</v>
      </c>
      <c r="F563" s="21" t="s">
        <v>25</v>
      </c>
      <c r="G563" s="21" t="s">
        <v>2156</v>
      </c>
      <c r="H563" s="21" t="s">
        <v>2160</v>
      </c>
      <c r="I563" s="21" t="s">
        <v>24</v>
      </c>
      <c r="J563" s="13" t="str">
        <f t="shared" si="8"/>
        <v>insert into chb_datacheck_condition (CHECKCONDITIONID,CHECKRULEID,CHECKMETHOD,SRCPROPERTY,COMPARETO,OBJVALUE,REMARK,STATUS) values ('WADFD6FB34054CF1E0536D5C010AD0CE    ','W84807E5-EF00-D159-E050-007F010077FD','inArray','ASSET_TYPE2','==','1299','当资产/负债类别为1299其他非标准化债权类投资时','E');</v>
      </c>
    </row>
    <row r="564" spans="1:10" x14ac:dyDescent="0.25">
      <c r="A564" s="17">
        <v>561</v>
      </c>
      <c r="B564" s="21" t="s">
        <v>1931</v>
      </c>
      <c r="C564" s="21" t="s">
        <v>654</v>
      </c>
      <c r="D564" s="21" t="s">
        <v>40</v>
      </c>
      <c r="E564" s="21" t="s">
        <v>1132</v>
      </c>
      <c r="F564" s="21" t="s">
        <v>25</v>
      </c>
      <c r="G564" s="21" t="s">
        <v>53</v>
      </c>
      <c r="H564" s="21" t="s">
        <v>2204</v>
      </c>
      <c r="I564" s="21" t="s">
        <v>24</v>
      </c>
      <c r="J564" s="13" t="str">
        <f t="shared" si="8"/>
        <v>insert into chb_datacheck_condition (CHECKCONDITIONID,CHECKRULEID,CHECKMETHOD,SRCPROPERTY,COMPARETO,OBJVALUE,REMARK,STATUS) values ('WADFD6FB34084CF1E0536D5C010AD0CE    ','W84807E5-EF00-D161-E050-007F010077FD','compareValue','GUA_TYPE','==','01','当“担保方式”选择“信用担保”或“第三方保证”时','E');</v>
      </c>
    </row>
    <row r="565" spans="1:10" x14ac:dyDescent="0.25">
      <c r="A565" s="17">
        <v>562</v>
      </c>
      <c r="B565" s="21" t="s">
        <v>1932</v>
      </c>
      <c r="C565" s="21" t="s">
        <v>654</v>
      </c>
      <c r="D565" s="21" t="s">
        <v>1083</v>
      </c>
      <c r="E565" s="21" t="s">
        <v>1075</v>
      </c>
      <c r="F565" s="21" t="s">
        <v>25</v>
      </c>
      <c r="G565" s="21" t="s">
        <v>2158</v>
      </c>
      <c r="H565" s="21" t="s">
        <v>2114</v>
      </c>
      <c r="I565" s="21" t="s">
        <v>24</v>
      </c>
      <c r="J565" s="13" t="str">
        <f t="shared" si="8"/>
        <v>insert into chb_datacheck_condition (CHECKCONDITIONID,CHECKRULEID,CHECKMETHOD,SRCPROPERTY,COMPARETO,OBJVALUE,REMARK,STATUS) values ('WADFD6FB34074CF1E0536D5C010AD0CE    ','W84807E5-EF00-D161-E050-007F010077FD','inArray','ASSET_TYPE','==','14','当资产/负债类别为各类资产的其他项时','E');</v>
      </c>
    </row>
    <row r="566" spans="1:10" x14ac:dyDescent="0.25">
      <c r="A566" s="17">
        <v>563</v>
      </c>
      <c r="B566" s="21" t="s">
        <v>1933</v>
      </c>
      <c r="C566" s="21" t="s">
        <v>655</v>
      </c>
      <c r="D566" s="21" t="s">
        <v>1083</v>
      </c>
      <c r="E566" s="21" t="s">
        <v>1075</v>
      </c>
      <c r="F566" s="21" t="s">
        <v>25</v>
      </c>
      <c r="G566" s="21" t="s">
        <v>2158</v>
      </c>
      <c r="H566" s="21" t="s">
        <v>2114</v>
      </c>
      <c r="I566" s="21" t="s">
        <v>24</v>
      </c>
      <c r="J566" s="13" t="str">
        <f t="shared" si="8"/>
        <v>insert into chb_datacheck_condition (CHECKCONDITIONID,CHECKRULEID,CHECKMETHOD,SRCPROPERTY,COMPARETO,OBJVALUE,REMARK,STATUS) values ('WADFD6FB34094CF1E0536D5C010AD0CE    ','W84807E5-EF00-D162-E050-007F010077FD','inArray','ASSET_TYPE','==','14','当资产/负债类别为各类资产的其他项时','E');</v>
      </c>
    </row>
    <row r="567" spans="1:10" x14ac:dyDescent="0.25">
      <c r="A567" s="17">
        <v>564</v>
      </c>
      <c r="B567" s="21" t="s">
        <v>1934</v>
      </c>
      <c r="C567" s="21" t="s">
        <v>655</v>
      </c>
      <c r="D567" s="21" t="s">
        <v>40</v>
      </c>
      <c r="E567" s="21" t="s">
        <v>1132</v>
      </c>
      <c r="F567" s="21" t="s">
        <v>25</v>
      </c>
      <c r="G567" s="21" t="s">
        <v>54</v>
      </c>
      <c r="H567" s="21" t="s">
        <v>2204</v>
      </c>
      <c r="I567" s="21" t="s">
        <v>24</v>
      </c>
      <c r="J567" s="13" t="str">
        <f t="shared" si="8"/>
        <v>insert into chb_datacheck_condition (CHECKCONDITIONID,CHECKRULEID,CHECKMETHOD,SRCPROPERTY,COMPARETO,OBJVALUE,REMARK,STATUS) values ('WADFD6FB340A4CF1E0536D5C010AD0CE    ','W84807E5-EF00-D162-E050-007F010077FD','compareValue','GUA_TYPE','==','02','当“担保方式”选择“信用担保”或“第三方保证”时','E');</v>
      </c>
    </row>
    <row r="568" spans="1:10" x14ac:dyDescent="0.25">
      <c r="A568" s="17">
        <v>565</v>
      </c>
      <c r="B568" s="21" t="s">
        <v>1935</v>
      </c>
      <c r="C568" s="21" t="s">
        <v>656</v>
      </c>
      <c r="D568" s="21" t="s">
        <v>1083</v>
      </c>
      <c r="E568" s="21" t="s">
        <v>1132</v>
      </c>
      <c r="F568" s="21" t="s">
        <v>41</v>
      </c>
      <c r="G568" s="21" t="s">
        <v>2205</v>
      </c>
      <c r="H568" s="21" t="s">
        <v>2206</v>
      </c>
      <c r="I568" s="21" t="s">
        <v>24</v>
      </c>
      <c r="J568" s="13" t="str">
        <f t="shared" si="8"/>
        <v>insert into chb_datacheck_condition (CHECKCONDITIONID,CHECKRULEID,CHECKMETHOD,SRCPROPERTY,COMPARETO,OBJVALUE,REMARK,STATUS) values ('WADFD6FB340D4CF1E0536D5C010AD0CE    ','W84807E5-EF00-D163-E050-007F010077FD','inArray','GUA_TYPE','!=','01,02','“担保方式”不是“信用担保”或“第三方保证”时','E');</v>
      </c>
    </row>
    <row r="569" spans="1:10" x14ac:dyDescent="0.25">
      <c r="A569" s="17">
        <v>566</v>
      </c>
      <c r="B569" s="21" t="s">
        <v>1936</v>
      </c>
      <c r="C569" s="21" t="s">
        <v>656</v>
      </c>
      <c r="D569" s="21" t="s">
        <v>1083</v>
      </c>
      <c r="E569" s="21" t="s">
        <v>1075</v>
      </c>
      <c r="F569" s="21" t="s">
        <v>25</v>
      </c>
      <c r="G569" s="21" t="s">
        <v>2158</v>
      </c>
      <c r="H569" s="21" t="s">
        <v>2114</v>
      </c>
      <c r="I569" s="21" t="s">
        <v>24</v>
      </c>
      <c r="J569" s="13" t="str">
        <f t="shared" si="8"/>
        <v>insert into chb_datacheck_condition (CHECKCONDITIONID,CHECKRULEID,CHECKMETHOD,SRCPROPERTY,COMPARETO,OBJVALUE,REMARK,STATUS) values ('WADFD6FB340B4CF1E0536D5C010AD0CE    ','W84807E5-EF00-D163-E050-007F010077FD','inArray','ASSET_TYPE','==','14','当资产/负债类别为各类资产的其他项时','E');</v>
      </c>
    </row>
    <row r="570" spans="1:10" x14ac:dyDescent="0.25">
      <c r="A570" s="17">
        <v>567</v>
      </c>
      <c r="B570" s="21" t="s">
        <v>1937</v>
      </c>
      <c r="C570" s="21" t="s">
        <v>657</v>
      </c>
      <c r="D570" s="21" t="s">
        <v>62</v>
      </c>
      <c r="E570" s="21" t="s">
        <v>1132</v>
      </c>
      <c r="F570" s="21"/>
      <c r="G570" s="21" t="s">
        <v>26</v>
      </c>
      <c r="H570" s="21" t="s">
        <v>2163</v>
      </c>
      <c r="I570" s="21" t="s">
        <v>24</v>
      </c>
      <c r="J570" s="13" t="str">
        <f t="shared" si="8"/>
        <v>insert into chb_datacheck_condition (CHECKCONDITIONID,CHECKRULEID,CHECKMETHOD,SRCPROPERTY,COMPARETO,OBJVALUE,REMARK,STATUS) values ('WADFD6FB340F4CF1E0536D5C010AD0CE    ','W84807E5-EF00-D164-E050-007F010077FD','lessThanCharLength','GUA_TYPE','','0','“担保方式”为空时','E');</v>
      </c>
    </row>
    <row r="571" spans="1:10" x14ac:dyDescent="0.25">
      <c r="A571" s="17">
        <v>568</v>
      </c>
      <c r="B571" s="21" t="s">
        <v>1938</v>
      </c>
      <c r="C571" s="21" t="s">
        <v>657</v>
      </c>
      <c r="D571" s="21" t="s">
        <v>1083</v>
      </c>
      <c r="E571" s="21" t="s">
        <v>910</v>
      </c>
      <c r="F571" s="21" t="s">
        <v>25</v>
      </c>
      <c r="G571" s="21" t="s">
        <v>2089</v>
      </c>
      <c r="H571" s="21" t="s">
        <v>2090</v>
      </c>
      <c r="I571" s="21" t="s">
        <v>24</v>
      </c>
      <c r="J571" s="13" t="str">
        <f t="shared" si="8"/>
        <v>insert into chb_datacheck_condition (CHECKCONDITIONID,CHECKRULEID,CHECKMETHOD,SRCPROPERTY,COMPARETO,OBJVALUE,REMARK,STATUS) values ('WADFD6FB340E4CF1E0536D5C010AD0CE    ','W84807E5-EF00-D164-E050-007F010077FD','inArray','ASSET_TYPE2','==','2000','当资产/负债类别为其他（负债）类资产时','E');</v>
      </c>
    </row>
    <row r="572" spans="1:10" x14ac:dyDescent="0.25">
      <c r="A572" s="17">
        <v>569</v>
      </c>
      <c r="B572" s="21" t="s">
        <v>1939</v>
      </c>
      <c r="C572" s="21" t="s">
        <v>658</v>
      </c>
      <c r="D572" s="21" t="s">
        <v>40</v>
      </c>
      <c r="E572" s="21" t="s">
        <v>1132</v>
      </c>
      <c r="F572" s="21" t="s">
        <v>25</v>
      </c>
      <c r="G572" s="21" t="s">
        <v>53</v>
      </c>
      <c r="H572" s="21" t="s">
        <v>2204</v>
      </c>
      <c r="I572" s="21" t="s">
        <v>24</v>
      </c>
      <c r="J572" s="13" t="str">
        <f t="shared" si="8"/>
        <v>insert into chb_datacheck_condition (CHECKCONDITIONID,CHECKRULEID,CHECKMETHOD,SRCPROPERTY,COMPARETO,OBJVALUE,REMARK,STATUS) values ('WADFD6FB34114CF1E0536D5C010AD0CE    ','W84807E5-EF00-D165-E050-007F010077FD','compareValue','GUA_TYPE','==','01','当“担保方式”选择“信用担保”或“第三方保证”时','E');</v>
      </c>
    </row>
    <row r="573" spans="1:10" x14ac:dyDescent="0.25">
      <c r="A573" s="17">
        <v>570</v>
      </c>
      <c r="B573" s="21" t="s">
        <v>1940</v>
      </c>
      <c r="C573" s="21" t="s">
        <v>658</v>
      </c>
      <c r="D573" s="21" t="s">
        <v>1083</v>
      </c>
      <c r="E573" s="21" t="s">
        <v>910</v>
      </c>
      <c r="F573" s="21" t="s">
        <v>25</v>
      </c>
      <c r="G573" s="21" t="s">
        <v>2156</v>
      </c>
      <c r="H573" s="21" t="s">
        <v>2160</v>
      </c>
      <c r="I573" s="21" t="s">
        <v>24</v>
      </c>
      <c r="J573" s="13" t="str">
        <f t="shared" si="8"/>
        <v>insert into chb_datacheck_condition (CHECKCONDITIONID,CHECKRULEID,CHECKMETHOD,SRCPROPERTY,COMPARETO,OBJVALUE,REMARK,STATUS) values ('WADFD6FB34104CF1E0536D5C010AD0CE    ','W84807E5-EF00-D165-E050-007F010077FD','inArray','ASSET_TYPE2','==','1299','当资产/负债类别为1299其他非标准化债权类投资时','E');</v>
      </c>
    </row>
    <row r="574" spans="1:10" x14ac:dyDescent="0.25">
      <c r="A574" s="17">
        <v>571</v>
      </c>
      <c r="B574" s="21" t="s">
        <v>1941</v>
      </c>
      <c r="C574" s="21" t="s">
        <v>659</v>
      </c>
      <c r="D574" s="21" t="s">
        <v>1083</v>
      </c>
      <c r="E574" s="21" t="s">
        <v>910</v>
      </c>
      <c r="F574" s="21" t="s">
        <v>25</v>
      </c>
      <c r="G574" s="21" t="s">
        <v>2156</v>
      </c>
      <c r="H574" s="21" t="s">
        <v>2160</v>
      </c>
      <c r="I574" s="21" t="s">
        <v>24</v>
      </c>
      <c r="J574" s="13" t="str">
        <f t="shared" si="8"/>
        <v>insert into chb_datacheck_condition (CHECKCONDITIONID,CHECKRULEID,CHECKMETHOD,SRCPROPERTY,COMPARETO,OBJVALUE,REMARK,STATUS) values ('WADFD6FB34124CF1E0536D5C010AD0CE    ','W84807E5-EF00-D166-E050-007F010077FD','inArray','ASSET_TYPE2','==','1299','当资产/负债类别为1299其他非标准化债权类投资时','E');</v>
      </c>
    </row>
    <row r="575" spans="1:10" x14ac:dyDescent="0.25">
      <c r="A575" s="17">
        <v>572</v>
      </c>
      <c r="B575" s="21" t="s">
        <v>1942</v>
      </c>
      <c r="C575" s="21" t="s">
        <v>659</v>
      </c>
      <c r="D575" s="21" t="s">
        <v>40</v>
      </c>
      <c r="E575" s="21" t="s">
        <v>1132</v>
      </c>
      <c r="F575" s="21" t="s">
        <v>25</v>
      </c>
      <c r="G575" s="21" t="s">
        <v>54</v>
      </c>
      <c r="H575" s="21" t="s">
        <v>2204</v>
      </c>
      <c r="I575" s="21" t="s">
        <v>24</v>
      </c>
      <c r="J575" s="13" t="str">
        <f t="shared" si="8"/>
        <v>insert into chb_datacheck_condition (CHECKCONDITIONID,CHECKRULEID,CHECKMETHOD,SRCPROPERTY,COMPARETO,OBJVALUE,REMARK,STATUS) values ('WADFD6FB34134CF1E0536D5C010AD0CE    ','W84807E5-EF00-D166-E050-007F010077FD','compareValue','GUA_TYPE','==','02','当“担保方式”选择“信用担保”或“第三方保证”时','E');</v>
      </c>
    </row>
    <row r="576" spans="1:10" x14ac:dyDescent="0.25">
      <c r="A576" s="17">
        <v>573</v>
      </c>
      <c r="B576" s="21" t="s">
        <v>1943</v>
      </c>
      <c r="C576" s="21" t="s">
        <v>660</v>
      </c>
      <c r="D576" s="21" t="s">
        <v>1083</v>
      </c>
      <c r="E576" s="21" t="s">
        <v>1132</v>
      </c>
      <c r="F576" s="21" t="s">
        <v>25</v>
      </c>
      <c r="G576" s="21" t="s">
        <v>2241</v>
      </c>
      <c r="H576" s="21" t="s">
        <v>2206</v>
      </c>
      <c r="I576" s="21" t="s">
        <v>24</v>
      </c>
      <c r="J576" s="13" t="str">
        <f t="shared" ref="J576:J635" si="9">CONCATENATE("insert into chb_datacheck_condition (CHECKCONDITIONID,CHECKRULEID,CHECKMETHOD,SRCPROPERTY,COMPARETO,OBJVALUE,REMARK,STATUS) values ('",B576,"','",C576,"','",D576,"','",E576,"','",F576,"','",G576,"','",H576,"','",I576,"');")</f>
        <v>insert into chb_datacheck_condition (CHECKCONDITIONID,CHECKRULEID,CHECKMETHOD,SRCPROPERTY,COMPARETO,OBJVALUE,REMARK,STATUS) values ('WADFD6FB34184CF1E0536D5C010AD0CE    ','W84807E5-EF00-D168-E050-007F010077FD','inArray','GUA_TYPE','==','03,04,05,99','“担保方式”不是“信用担保”或“第三方保证”时','E');</v>
      </c>
    </row>
    <row r="577" spans="1:10" x14ac:dyDescent="0.25">
      <c r="A577" s="17">
        <v>574</v>
      </c>
      <c r="B577" s="21" t="s">
        <v>1944</v>
      </c>
      <c r="C577" s="21" t="s">
        <v>660</v>
      </c>
      <c r="D577" s="21" t="s">
        <v>1083</v>
      </c>
      <c r="E577" s="21" t="s">
        <v>910</v>
      </c>
      <c r="F577" s="21" t="s">
        <v>25</v>
      </c>
      <c r="G577" s="21" t="s">
        <v>2156</v>
      </c>
      <c r="H577" s="21" t="s">
        <v>2160</v>
      </c>
      <c r="I577" s="21" t="s">
        <v>24</v>
      </c>
      <c r="J577" s="13" t="str">
        <f t="shared" si="9"/>
        <v>insert into chb_datacheck_condition (CHECKCONDITIONID,CHECKRULEID,CHECKMETHOD,SRCPROPERTY,COMPARETO,OBJVALUE,REMARK,STATUS) values ('WADFD6FB34164CF1E0536D5C010AD0CE    ','W84807E5-EF00-D168-E050-007F010077FD','inArray','ASSET_TYPE2','==','1299','当资产/负债类别为1299其他非标准化债权类投资时','E');</v>
      </c>
    </row>
    <row r="578" spans="1:10" s="20" customFormat="1" x14ac:dyDescent="0.25">
      <c r="A578" s="17">
        <v>575</v>
      </c>
      <c r="B578" s="21" t="s">
        <v>661</v>
      </c>
      <c r="C578" s="21" t="s">
        <v>661</v>
      </c>
      <c r="D578" s="21" t="s">
        <v>1083</v>
      </c>
      <c r="E578" s="21" t="s">
        <v>910</v>
      </c>
      <c r="F578" s="21" t="s">
        <v>25</v>
      </c>
      <c r="G578" s="21" t="s">
        <v>2234</v>
      </c>
      <c r="H578" s="21" t="s">
        <v>2242</v>
      </c>
      <c r="I578" s="21" t="s">
        <v>24</v>
      </c>
      <c r="J578" s="19" t="str">
        <f t="shared" si="9"/>
        <v>insert into chb_datacheck_condition (CHECKCONDITIONID,CHECKRULEID,CHECKMETHOD,SRCPROPERTY,COMPARETO,OBJVALUE,REMARK,STATUS) values ('W84807E5-EF00-D171-E050-007F010077FD','W84807E5-EF00-D171-E050-007F010077FD','inArray','ASSET_TYPE2','==','1399','[资产/负债类别]为“1399 其他权益类投资”时','E');</v>
      </c>
    </row>
    <row r="579" spans="1:10" s="20" customFormat="1" x14ac:dyDescent="0.25">
      <c r="A579" s="17">
        <v>576</v>
      </c>
      <c r="B579" s="21" t="s">
        <v>1945</v>
      </c>
      <c r="C579" s="21" t="s">
        <v>664</v>
      </c>
      <c r="D579" s="21" t="s">
        <v>1083</v>
      </c>
      <c r="E579" s="21" t="s">
        <v>910</v>
      </c>
      <c r="F579" s="21" t="s">
        <v>25</v>
      </c>
      <c r="G579" s="21" t="s">
        <v>2161</v>
      </c>
      <c r="H579" s="21" t="s">
        <v>2162</v>
      </c>
      <c r="I579" s="21" t="s">
        <v>24</v>
      </c>
      <c r="J579" s="19" t="str">
        <f t="shared" si="9"/>
        <v>insert into chb_datacheck_condition (CHECKCONDITIONID,CHECKRULEID,CHECKMETHOD,SRCPROPERTY,COMPARETO,OBJVALUE,REMARK,STATUS) values ('WADFD6FB32244CF1E0536D5C010AD0CE    ','W84807E5-EF13-D920-E050-007F010077FD','inArray','ASSET_TYPE2','==','1202,1203,1204,1205,1206,1207,1208,1209','当资产/负债类别为非标准化债权类资产时','E');</v>
      </c>
    </row>
    <row r="580" spans="1:10" s="20" customFormat="1" x14ac:dyDescent="0.25">
      <c r="A580" s="17">
        <v>577</v>
      </c>
      <c r="B580" s="21" t="s">
        <v>1946</v>
      </c>
      <c r="C580" s="21" t="s">
        <v>665</v>
      </c>
      <c r="D580" s="21" t="s">
        <v>1083</v>
      </c>
      <c r="E580" s="21" t="s">
        <v>910</v>
      </c>
      <c r="F580" s="21" t="s">
        <v>41</v>
      </c>
      <c r="G580" s="21" t="s">
        <v>2161</v>
      </c>
      <c r="H580" s="21" t="s">
        <v>2345</v>
      </c>
      <c r="I580" s="21" t="s">
        <v>24</v>
      </c>
      <c r="J580" s="19" t="str">
        <f t="shared" si="9"/>
        <v>insert into chb_datacheck_condition (CHECKCONDITIONID,CHECKRULEID,CHECKMETHOD,SRCPROPERTY,COMPARETO,OBJVALUE,REMARK,STATUS) values ('WADFD6FB32394CF1E0536D5C010AD0CE    ','W84807E5-EF21-D920-E050-007F010077FD','inArray','ASSET_TYPE2','!=','1202,1203,1204,1205,1206,1207,1208,1209','当资产/负债类别不为非标准化债权类资产时','E');</v>
      </c>
    </row>
    <row r="581" spans="1:10" x14ac:dyDescent="0.25">
      <c r="A581" s="17">
        <v>578</v>
      </c>
      <c r="B581" s="21" t="s">
        <v>1947</v>
      </c>
      <c r="C581" s="21" t="s">
        <v>668</v>
      </c>
      <c r="D581" s="21" t="s">
        <v>1083</v>
      </c>
      <c r="E581" s="21" t="s">
        <v>910</v>
      </c>
      <c r="F581" s="21" t="s">
        <v>25</v>
      </c>
      <c r="G581" s="21" t="s">
        <v>2207</v>
      </c>
      <c r="H581" s="21" t="s">
        <v>2346</v>
      </c>
      <c r="I581" s="21" t="s">
        <v>24</v>
      </c>
      <c r="J581" s="13" t="str">
        <f t="shared" si="9"/>
        <v>insert into chb_datacheck_condition (CHECKCONDITIONID,CHECKRULEID,CHECKMETHOD,SRCPROPERTY,COMPARETO,OBJVALUE,REMARK,STATUS) values ('WADFD6FB323F4CF1E0536D5C010AD0CE    ','W84807E5-EF24-D920-E050-007F010077FD','inArray','ASSET_TYPE2','==','2201','[资产/负债类别]为“2201 信贷资产收益权转让”时','E');</v>
      </c>
    </row>
    <row r="582" spans="1:10" x14ac:dyDescent="0.25">
      <c r="A582" s="17">
        <v>579</v>
      </c>
      <c r="B582" s="21" t="s">
        <v>1948</v>
      </c>
      <c r="C582" s="21" t="s">
        <v>669</v>
      </c>
      <c r="D582" s="21" t="s">
        <v>1083</v>
      </c>
      <c r="E582" s="21" t="s">
        <v>910</v>
      </c>
      <c r="F582" s="21" t="s">
        <v>25</v>
      </c>
      <c r="G582" s="21" t="s">
        <v>2243</v>
      </c>
      <c r="H582" s="21" t="s">
        <v>2244</v>
      </c>
      <c r="I582" s="21" t="s">
        <v>24</v>
      </c>
      <c r="J582" s="13" t="str">
        <f t="shared" si="9"/>
        <v>insert into chb_datacheck_condition (CHECKCONDITIONID,CHECKRULEID,CHECKMETHOD,SRCPROPERTY,COMPARETO,OBJVALUE,REMARK,STATUS) values ('WADFD6FB32414CF1E0536D5C010AD0CE    ','W84807E5-EF25-D920-E050-007F010077FD','inArray','ASSET_TYPE2','==','2202','[资产/负债类别]为“2202 小微企业信贷资产流转和收益权转让”时','E');</v>
      </c>
    </row>
    <row r="583" spans="1:10" x14ac:dyDescent="0.25">
      <c r="A583" s="17">
        <v>580</v>
      </c>
      <c r="B583" s="21" t="s">
        <v>1949</v>
      </c>
      <c r="C583" s="21" t="s">
        <v>671</v>
      </c>
      <c r="D583" s="21" t="s">
        <v>1083</v>
      </c>
      <c r="E583" s="21" t="s">
        <v>910</v>
      </c>
      <c r="F583" s="21" t="s">
        <v>25</v>
      </c>
      <c r="G583" s="21" t="s">
        <v>2161</v>
      </c>
      <c r="H583" s="21" t="s">
        <v>2162</v>
      </c>
      <c r="I583" s="21" t="s">
        <v>24</v>
      </c>
      <c r="J583" s="13" t="str">
        <f t="shared" si="9"/>
        <v>insert into chb_datacheck_condition (CHECKCONDITIONID,CHECKRULEID,CHECKMETHOD,SRCPROPERTY,COMPARETO,OBJVALUE,REMARK,STATUS) values ('WADFD6FB32434CF1E0536D5C010AD0CE    ','W84807E5-EF27-D920-E050-007F010077FD','inArray','ASSET_TYPE2','==','1202,1203,1204,1205,1206,1207,1208,1209','当资产/负债类别为非标准化债权类资产时','E');</v>
      </c>
    </row>
    <row r="584" spans="1:10" x14ac:dyDescent="0.25">
      <c r="A584" s="17">
        <v>581</v>
      </c>
      <c r="B584" s="21" t="s">
        <v>1950</v>
      </c>
      <c r="C584" s="21" t="s">
        <v>672</v>
      </c>
      <c r="D584" s="21" t="s">
        <v>1083</v>
      </c>
      <c r="E584" s="21" t="s">
        <v>910</v>
      </c>
      <c r="F584" s="21" t="s">
        <v>41</v>
      </c>
      <c r="G584" s="21" t="s">
        <v>2161</v>
      </c>
      <c r="H584" s="21" t="s">
        <v>2345</v>
      </c>
      <c r="I584" s="21" t="s">
        <v>24</v>
      </c>
      <c r="J584" s="13" t="str">
        <f t="shared" si="9"/>
        <v>insert into chb_datacheck_condition (CHECKCONDITIONID,CHECKRULEID,CHECKMETHOD,SRCPROPERTY,COMPARETO,OBJVALUE,REMARK,STATUS) values ('WADFD6FB32534CF1E0536D5C010AD0CE    ','W84807E5-EF35-D920-E050-007F010077FD','inArray','ASSET_TYPE2','!=','1202,1203,1204,1205,1206,1207,1208,1209','当资产/负债类别不为非标准化债权类资产时','E');</v>
      </c>
    </row>
    <row r="585" spans="1:10" x14ac:dyDescent="0.25">
      <c r="A585" s="17">
        <v>582</v>
      </c>
      <c r="B585" s="21" t="s">
        <v>1951</v>
      </c>
      <c r="C585" s="21" t="s">
        <v>674</v>
      </c>
      <c r="D585" s="21" t="s">
        <v>1083</v>
      </c>
      <c r="E585" s="21" t="s">
        <v>910</v>
      </c>
      <c r="F585" s="21" t="s">
        <v>25</v>
      </c>
      <c r="G585" s="21" t="s">
        <v>2161</v>
      </c>
      <c r="H585" s="21" t="s">
        <v>2162</v>
      </c>
      <c r="I585" s="21" t="s">
        <v>24</v>
      </c>
      <c r="J585" s="13" t="str">
        <f t="shared" si="9"/>
        <v>insert into chb_datacheck_condition (CHECKCONDITIONID,CHECKRULEID,CHECKMETHOD,SRCPROPERTY,COMPARETO,OBJVALUE,REMARK,STATUS) values ('WADFD6FB325E4CF1E0536D5C010AD0CE    ','W84807E5-EF37-D920-E050-007F010077FD','inArray','ASSET_TYPE2','==','1202,1203,1204,1205,1206,1207,1208,1209','当资产/负债类别为非标准化债权类资产时','E');</v>
      </c>
    </row>
    <row r="586" spans="1:10" x14ac:dyDescent="0.25">
      <c r="A586" s="17">
        <v>583</v>
      </c>
      <c r="B586" s="21" t="s">
        <v>1952</v>
      </c>
      <c r="C586" s="21" t="s">
        <v>675</v>
      </c>
      <c r="D586" s="21" t="s">
        <v>1083</v>
      </c>
      <c r="E586" s="21" t="s">
        <v>910</v>
      </c>
      <c r="F586" s="21" t="s">
        <v>41</v>
      </c>
      <c r="G586" s="21" t="s">
        <v>2161</v>
      </c>
      <c r="H586" s="21" t="s">
        <v>2345</v>
      </c>
      <c r="I586" s="21" t="s">
        <v>24</v>
      </c>
      <c r="J586" s="13" t="str">
        <f t="shared" si="9"/>
        <v>insert into chb_datacheck_condition (CHECKCONDITIONID,CHECKRULEID,CHECKMETHOD,SRCPROPERTY,COMPARETO,OBJVALUE,REMARK,STATUS) values ('WADFD6FB326C4CF1E0536D5C010AD0CE    ','W84807E5-EF45-D920-E050-007F010077FD','inArray','ASSET_TYPE2','!=','1202,1203,1204,1205,1206,1207,1208,1209','当资产/负债类别不为非标准化债权类资产时','E');</v>
      </c>
    </row>
    <row r="587" spans="1:10" x14ac:dyDescent="0.25">
      <c r="A587" s="17">
        <v>584</v>
      </c>
      <c r="B587" s="21" t="s">
        <v>1953</v>
      </c>
      <c r="C587" s="21" t="s">
        <v>677</v>
      </c>
      <c r="D587" s="21" t="s">
        <v>1083</v>
      </c>
      <c r="E587" s="21" t="s">
        <v>910</v>
      </c>
      <c r="F587" s="21" t="s">
        <v>25</v>
      </c>
      <c r="G587" s="21" t="s">
        <v>2161</v>
      </c>
      <c r="H587" s="21" t="s">
        <v>2162</v>
      </c>
      <c r="I587" s="21" t="s">
        <v>24</v>
      </c>
      <c r="J587" s="13" t="str">
        <f t="shared" si="9"/>
        <v>insert into chb_datacheck_condition (CHECKCONDITIONID,CHECKRULEID,CHECKMETHOD,SRCPROPERTY,COMPARETO,OBJVALUE,REMARK,STATUS) values ('WADFD6FB32764CF1E0536D5C010AD0CE    ','W84807E5-EF47-D920-E050-007F010077FD','inArray','ASSET_TYPE2','==','1202,1203,1204,1205,1206,1207,1208,1209','当资产/负债类别为非标准化债权类资产时','E');</v>
      </c>
    </row>
    <row r="588" spans="1:10" x14ac:dyDescent="0.25">
      <c r="A588" s="17">
        <v>585</v>
      </c>
      <c r="B588" s="21" t="s">
        <v>1954</v>
      </c>
      <c r="C588" s="21" t="s">
        <v>678</v>
      </c>
      <c r="D588" s="21" t="s">
        <v>1083</v>
      </c>
      <c r="E588" s="21" t="s">
        <v>910</v>
      </c>
      <c r="F588" s="21" t="s">
        <v>41</v>
      </c>
      <c r="G588" s="21" t="s">
        <v>2161</v>
      </c>
      <c r="H588" s="21" t="s">
        <v>2345</v>
      </c>
      <c r="I588" s="21" t="s">
        <v>24</v>
      </c>
      <c r="J588" s="13" t="str">
        <f t="shared" si="9"/>
        <v>insert into chb_datacheck_condition (CHECKCONDITIONID,CHECKRULEID,CHECKMETHOD,SRCPROPERTY,COMPARETO,OBJVALUE,REMARK,STATUS) values ('WADFD6FB32874CF1E0536D5C010AD0CE    ','W84807E5-EF55-D920-E050-007F010077FD','inArray','ASSET_TYPE2','!=','1202,1203,1204,1205,1206,1207,1208,1209','当资产/负债类别不为非标准化债权类资产时','E');</v>
      </c>
    </row>
    <row r="589" spans="1:10" x14ac:dyDescent="0.25">
      <c r="A589" s="17">
        <v>586</v>
      </c>
      <c r="B589" s="21" t="s">
        <v>1955</v>
      </c>
      <c r="C589" s="21" t="s">
        <v>680</v>
      </c>
      <c r="D589" s="21" t="s">
        <v>1083</v>
      </c>
      <c r="E589" s="21" t="s">
        <v>910</v>
      </c>
      <c r="F589" s="21" t="s">
        <v>25</v>
      </c>
      <c r="G589" s="21" t="s">
        <v>2161</v>
      </c>
      <c r="H589" s="21" t="s">
        <v>2162</v>
      </c>
      <c r="I589" s="21" t="s">
        <v>24</v>
      </c>
      <c r="J589" s="13" t="str">
        <f t="shared" si="9"/>
        <v>insert into chb_datacheck_condition (CHECKCONDITIONID,CHECKRULEID,CHECKMETHOD,SRCPROPERTY,COMPARETO,OBJVALUE,REMARK,STATUS) values ('WADFD6FB32A84CF1E0536D5C010AD0CE    ','W84807E5-EF66-D920-E050-007F010077FD','inArray','ASSET_TYPE2','==','1202,1203,1204,1205,1206,1207,1208,1209','当资产/负债类别为非标准化债权类资产时','E');</v>
      </c>
    </row>
    <row r="590" spans="1:10" x14ac:dyDescent="0.25">
      <c r="A590" s="17">
        <v>587</v>
      </c>
      <c r="B590" s="21" t="s">
        <v>1956</v>
      </c>
      <c r="C590" s="21" t="s">
        <v>681</v>
      </c>
      <c r="D590" s="21" t="s">
        <v>1083</v>
      </c>
      <c r="E590" s="21" t="s">
        <v>910</v>
      </c>
      <c r="F590" s="21" t="s">
        <v>41</v>
      </c>
      <c r="G590" s="21" t="s">
        <v>2161</v>
      </c>
      <c r="H590" s="21" t="s">
        <v>2345</v>
      </c>
      <c r="I590" s="21" t="s">
        <v>24</v>
      </c>
      <c r="J590" s="13" t="str">
        <f t="shared" si="9"/>
        <v>insert into chb_datacheck_condition (CHECKCONDITIONID,CHECKRULEID,CHECKMETHOD,SRCPROPERTY,COMPARETO,OBJVALUE,REMARK,STATUS) values ('WADFD6FB32BD4CF1E0536D5C010AD0CE    ','W84807E5-EF74-D920-E050-007F010077FD','inArray','ASSET_TYPE2','!=','1202,1203,1204,1205,1206,1207,1208,1209','当资产/负债类别不为非标准化债权类资产时','E');</v>
      </c>
    </row>
    <row r="591" spans="1:10" x14ac:dyDescent="0.25">
      <c r="A591" s="17">
        <v>588</v>
      </c>
      <c r="B591" s="21" t="s">
        <v>1957</v>
      </c>
      <c r="C591" s="21" t="s">
        <v>683</v>
      </c>
      <c r="D591" s="21" t="s">
        <v>40</v>
      </c>
      <c r="E591" s="21" t="s">
        <v>1402</v>
      </c>
      <c r="F591" s="21" t="s">
        <v>25</v>
      </c>
      <c r="G591" s="21" t="s">
        <v>53</v>
      </c>
      <c r="H591" s="21" t="s">
        <v>2245</v>
      </c>
      <c r="I591" s="21" t="s">
        <v>24</v>
      </c>
      <c r="J591" s="13" t="str">
        <f t="shared" si="9"/>
        <v>insert into chb_datacheck_condition (CHECKCONDITIONID,CHECKRULEID,CHECKMETHOD,SRCPROPERTY,COMPARETO,OBJVALUE,REMARK,STATUS) values ('WADFD6FB32C04CF1E0536D5C010AD0CE    ','W84807E5-EF76-D920-E050-007F010077FD','compareValue','FLOAT_FACTOR_FLAG','==','01','当“是否有浮动因子”选择“是”时','E');</v>
      </c>
    </row>
    <row r="592" spans="1:10" x14ac:dyDescent="0.25">
      <c r="A592" s="17">
        <v>589</v>
      </c>
      <c r="B592" s="21" t="s">
        <v>1958</v>
      </c>
      <c r="C592" s="21" t="s">
        <v>684</v>
      </c>
      <c r="D592" s="21" t="s">
        <v>40</v>
      </c>
      <c r="E592" s="21" t="s">
        <v>1402</v>
      </c>
      <c r="F592" s="21" t="s">
        <v>25</v>
      </c>
      <c r="G592" s="21" t="s">
        <v>54</v>
      </c>
      <c r="H592" s="21" t="s">
        <v>2246</v>
      </c>
      <c r="I592" s="21" t="s">
        <v>24</v>
      </c>
      <c r="J592" s="13" t="str">
        <f t="shared" si="9"/>
        <v>insert into chb_datacheck_condition (CHECKCONDITIONID,CHECKRULEID,CHECKMETHOD,SRCPROPERTY,COMPARETO,OBJVALUE,REMARK,STATUS) values ('WADFD6FB32C14CF1E0536D5C010AD0CE    ','W84807E5-EF77-D920-E050-007F010077FD','compareValue','FLOAT_FACTOR_FLAG','==','02','当“是否有浮动因子”为“否”或为空时','E');</v>
      </c>
    </row>
    <row r="593" spans="1:10" x14ac:dyDescent="0.25">
      <c r="A593" s="17">
        <v>590</v>
      </c>
      <c r="B593" s="21" t="s">
        <v>1959</v>
      </c>
      <c r="C593" s="21" t="s">
        <v>685</v>
      </c>
      <c r="D593" s="21" t="s">
        <v>1083</v>
      </c>
      <c r="E593" s="21" t="s">
        <v>910</v>
      </c>
      <c r="F593" s="21" t="s">
        <v>25</v>
      </c>
      <c r="G593" s="21" t="s">
        <v>2215</v>
      </c>
      <c r="H593" s="21" t="s">
        <v>2216</v>
      </c>
      <c r="I593" s="21" t="s">
        <v>24</v>
      </c>
      <c r="J593" s="13" t="str">
        <f t="shared" si="9"/>
        <v>insert into chb_datacheck_condition (CHECKCONDITIONID,CHECKRULEID,CHECKMETHOD,SRCPROPERTY,COMPARETO,OBJVALUE,REMARK,STATUS) values ('WADFD6FB32C34CF1E0536D5C010AD0CE    ','W84807E5-EF78-D920-E050-007F010077FD','inArray','ASSET_TYPE2','==','2201,2202','当资产/负债类别为新增可投资资产时','E');</v>
      </c>
    </row>
    <row r="594" spans="1:10" x14ac:dyDescent="0.25">
      <c r="A594" s="17">
        <v>591</v>
      </c>
      <c r="B594" s="21" t="s">
        <v>1960</v>
      </c>
      <c r="C594" s="21" t="s">
        <v>687</v>
      </c>
      <c r="D594" s="21" t="s">
        <v>1083</v>
      </c>
      <c r="E594" s="21" t="s">
        <v>910</v>
      </c>
      <c r="F594" s="21" t="s">
        <v>25</v>
      </c>
      <c r="G594" s="21" t="s">
        <v>2215</v>
      </c>
      <c r="H594" s="21" t="s">
        <v>2216</v>
      </c>
      <c r="I594" s="21" t="s">
        <v>24</v>
      </c>
      <c r="J594" s="13" t="str">
        <f t="shared" si="9"/>
        <v>insert into chb_datacheck_condition (CHECKCONDITIONID,CHECKRULEID,CHECKMETHOD,SRCPROPERTY,COMPARETO,OBJVALUE,REMARK,STATUS) values ('WADFD6FB32C54CF1E0536D5C010AD0CE    ','W84807E5-EF80-D920-E050-007F010077FD','inArray','ASSET_TYPE2','==','2201,2202','当资产/负债类别为新增可投资资产时','E');</v>
      </c>
    </row>
    <row r="595" spans="1:10" x14ac:dyDescent="0.25">
      <c r="A595" s="17">
        <v>592</v>
      </c>
      <c r="B595" s="21" t="s">
        <v>1961</v>
      </c>
      <c r="C595" s="21" t="s">
        <v>689</v>
      </c>
      <c r="D595" s="21" t="s">
        <v>1083</v>
      </c>
      <c r="E595" s="21" t="s">
        <v>910</v>
      </c>
      <c r="F595" s="21" t="s">
        <v>25</v>
      </c>
      <c r="G595" s="21" t="s">
        <v>2217</v>
      </c>
      <c r="H595" s="21" t="s">
        <v>2218</v>
      </c>
      <c r="I595" s="21" t="s">
        <v>24</v>
      </c>
      <c r="J595" s="13" t="str">
        <f t="shared" si="9"/>
        <v>insert into chb_datacheck_condition (CHECKCONDITIONID,CHECKRULEID,CHECKMETHOD,SRCPROPERTY,COMPARETO,OBJVALUE,REMARK,STATUS) values ('WADFD6FB32C64CF1E0536D5C010AD0CE    ','W84807E5-EF82-D920-E050-007F010077FD','inArray','ASSET_TYPE2','==','1202','[资产/负债类别]为“1202 信托贷款”时','E');</v>
      </c>
    </row>
    <row r="596" spans="1:10" x14ac:dyDescent="0.25">
      <c r="A596" s="17">
        <v>593</v>
      </c>
      <c r="B596" s="21" t="s">
        <v>1962</v>
      </c>
      <c r="C596" s="21" t="s">
        <v>690</v>
      </c>
      <c r="D596" s="21" t="s">
        <v>1083</v>
      </c>
      <c r="E596" s="21" t="s">
        <v>910</v>
      </c>
      <c r="F596" s="21" t="s">
        <v>25</v>
      </c>
      <c r="G596" s="21" t="s">
        <v>2219</v>
      </c>
      <c r="H596" s="21" t="s">
        <v>2300</v>
      </c>
      <c r="I596" s="21" t="s">
        <v>24</v>
      </c>
      <c r="J596" s="13" t="str">
        <f t="shared" si="9"/>
        <v>insert into chb_datacheck_condition (CHECKCONDITIONID,CHECKRULEID,CHECKMETHOD,SRCPROPERTY,COMPARETO,OBJVALUE,REMARK,STATUS) values ('WADFD6FB32C94CF1E0536D5C010AD0CE    ','W84807E5-EF83-D920-E050-007F010077FD','inArray','ASSET_TYPE2','==','1203','[资产/负债类别]为“1203 委托贷款”时','E');</v>
      </c>
    </row>
    <row r="597" spans="1:10" x14ac:dyDescent="0.25">
      <c r="A597" s="17">
        <v>594</v>
      </c>
      <c r="B597" s="21" t="s">
        <v>1963</v>
      </c>
      <c r="C597" s="21" t="s">
        <v>691</v>
      </c>
      <c r="D597" s="21" t="s">
        <v>1083</v>
      </c>
      <c r="E597" s="21" t="s">
        <v>910</v>
      </c>
      <c r="F597" s="21" t="s">
        <v>25</v>
      </c>
      <c r="G597" s="21" t="s">
        <v>2220</v>
      </c>
      <c r="H597" s="21" t="s">
        <v>2301</v>
      </c>
      <c r="I597" s="21" t="s">
        <v>24</v>
      </c>
      <c r="J597" s="13" t="str">
        <f t="shared" si="9"/>
        <v>insert into chb_datacheck_condition (CHECKCONDITIONID,CHECKRULEID,CHECKMETHOD,SRCPROPERTY,COMPARETO,OBJVALUE,REMARK,STATUS) values ('WADFD6FB32CB4CF1E0536D5C010AD0CE    ','W84807E5-EF84-D920-E050-007F010077FD','inArray','ASSET_TYPE2','==','1204','[资产/负债类别]为“1204 信贷资产转让”时','E');</v>
      </c>
    </row>
    <row r="598" spans="1:10" x14ac:dyDescent="0.25">
      <c r="A598" s="17">
        <v>595</v>
      </c>
      <c r="B598" s="21" t="s">
        <v>1964</v>
      </c>
      <c r="C598" s="21" t="s">
        <v>692</v>
      </c>
      <c r="D598" s="21" t="s">
        <v>1083</v>
      </c>
      <c r="E598" s="21" t="s">
        <v>910</v>
      </c>
      <c r="F598" s="21" t="s">
        <v>25</v>
      </c>
      <c r="G598" s="21" t="s">
        <v>2147</v>
      </c>
      <c r="H598" s="21" t="s">
        <v>2148</v>
      </c>
      <c r="I598" s="21" t="s">
        <v>24</v>
      </c>
      <c r="J598" s="13" t="str">
        <f t="shared" si="9"/>
        <v>insert into chb_datacheck_condition (CHECKCONDITIONID,CHECKRULEID,CHECKMETHOD,SRCPROPERTY,COMPARETO,OBJVALUE,REMARK,STATUS) values ('WADFD6FB32CD4CF1E0536D5C010AD0CE    ','W84807E5-EF85-D920-E050-007F010077FD','inArray','ASSET_TYPE2','==','1205','[资产/负债类别]为“1205 收/受益权”时','E');</v>
      </c>
    </row>
    <row r="599" spans="1:10" x14ac:dyDescent="0.25">
      <c r="A599" s="17">
        <v>596</v>
      </c>
      <c r="B599" s="21" t="s">
        <v>1965</v>
      </c>
      <c r="C599" s="21" t="s">
        <v>693</v>
      </c>
      <c r="D599" s="21" t="s">
        <v>1083</v>
      </c>
      <c r="E599" s="21" t="s">
        <v>910</v>
      </c>
      <c r="F599" s="21" t="s">
        <v>25</v>
      </c>
      <c r="G599" s="21" t="s">
        <v>2221</v>
      </c>
      <c r="H599" s="21" t="s">
        <v>2222</v>
      </c>
      <c r="I599" s="21" t="s">
        <v>24</v>
      </c>
      <c r="J599" s="13" t="str">
        <f t="shared" si="9"/>
        <v>insert into chb_datacheck_condition (CHECKCONDITIONID,CHECKRULEID,CHECKMETHOD,SRCPROPERTY,COMPARETO,OBJVALUE,REMARK,STATUS) values ('WADFD6FB32CF4CF1E0536D5C010AD0CE    ','W84807E5-EF86-D920-E050-007F010077FD','inArray','ASSET_TYPE2','==','1206','[资产/负债类别]为“1206 委托债权”时','E');</v>
      </c>
    </row>
    <row r="600" spans="1:10" x14ac:dyDescent="0.25">
      <c r="A600" s="17">
        <v>597</v>
      </c>
      <c r="B600" s="21" t="s">
        <v>1966</v>
      </c>
      <c r="C600" s="21" t="s">
        <v>694</v>
      </c>
      <c r="D600" s="21" t="s">
        <v>1083</v>
      </c>
      <c r="E600" s="21" t="s">
        <v>910</v>
      </c>
      <c r="F600" s="21" t="s">
        <v>25</v>
      </c>
      <c r="G600" s="21" t="s">
        <v>2223</v>
      </c>
      <c r="H600" s="21" t="s">
        <v>2224</v>
      </c>
      <c r="I600" s="21" t="s">
        <v>24</v>
      </c>
      <c r="J600" s="13" t="str">
        <f t="shared" si="9"/>
        <v>insert into chb_datacheck_condition (CHECKCONDITIONID,CHECKRULEID,CHECKMETHOD,SRCPROPERTY,COMPARETO,OBJVALUE,REMARK,STATUS) values ('WADFD6FB32D14CF1E0536D5C010AD0CE    ','W84807E5-EF87-D920-E050-007F010077FD','inArray','ASSET_TYPE2','==','1207','[资产/负债类别]为“1207 应收账款”时','E');</v>
      </c>
    </row>
    <row r="601" spans="1:10" x14ac:dyDescent="0.25">
      <c r="A601" s="17">
        <v>598</v>
      </c>
      <c r="B601" s="21" t="s">
        <v>1967</v>
      </c>
      <c r="C601" s="21" t="s">
        <v>695</v>
      </c>
      <c r="D601" s="21" t="s">
        <v>1083</v>
      </c>
      <c r="E601" s="21" t="s">
        <v>910</v>
      </c>
      <c r="F601" s="21" t="s">
        <v>25</v>
      </c>
      <c r="G601" s="21" t="s">
        <v>2225</v>
      </c>
      <c r="H601" s="21" t="s">
        <v>2226</v>
      </c>
      <c r="I601" s="21" t="s">
        <v>24</v>
      </c>
      <c r="J601" s="13" t="str">
        <f t="shared" si="9"/>
        <v>insert into chb_datacheck_condition (CHECKCONDITIONID,CHECKRULEID,CHECKMETHOD,SRCPROPERTY,COMPARETO,OBJVALUE,REMARK,STATUS) values ('WADFD6FB32D34CF1E0536D5C010AD0CE    ','W84807E5-EF88-D920-E050-007F010077FD','inArray','ASSET_TYPE2','==','1208','[资产/负债类别]为“1208 带回购条款的股权性融资”时','E');</v>
      </c>
    </row>
    <row r="602" spans="1:10" x14ac:dyDescent="0.25">
      <c r="A602" s="17">
        <v>599</v>
      </c>
      <c r="B602" s="21" t="s">
        <v>1968</v>
      </c>
      <c r="C602" s="21" t="s">
        <v>696</v>
      </c>
      <c r="D602" s="21" t="s">
        <v>1083</v>
      </c>
      <c r="E602" s="21" t="s">
        <v>910</v>
      </c>
      <c r="F602" s="21" t="s">
        <v>25</v>
      </c>
      <c r="G602" s="21" t="s">
        <v>2227</v>
      </c>
      <c r="H602" s="21" t="s">
        <v>2228</v>
      </c>
      <c r="I602" s="21" t="s">
        <v>24</v>
      </c>
      <c r="J602" s="13" t="str">
        <f t="shared" si="9"/>
        <v>insert into chb_datacheck_condition (CHECKCONDITIONID,CHECKRULEID,CHECKMETHOD,SRCPROPERTY,COMPARETO,OBJVALUE,REMARK,STATUS) values ('WADFD6FB32D54CF1E0536D5C010AD0CE    ','W84807E5-EF89-D920-E050-007F010077FD','inArray','ASSET_TYPE2','==','1209','[资产/负债类别]为“1209 债权融资类产品”时','E');</v>
      </c>
    </row>
    <row r="603" spans="1:10" x14ac:dyDescent="0.25">
      <c r="A603" s="17">
        <v>600</v>
      </c>
      <c r="B603" s="21" t="s">
        <v>1969</v>
      </c>
      <c r="C603" s="21" t="s">
        <v>697</v>
      </c>
      <c r="D603" s="21" t="s">
        <v>1083</v>
      </c>
      <c r="E603" s="21" t="s">
        <v>910</v>
      </c>
      <c r="F603" s="21" t="s">
        <v>41</v>
      </c>
      <c r="G603" s="21" t="s">
        <v>2161</v>
      </c>
      <c r="H603" s="21" t="s">
        <v>2229</v>
      </c>
      <c r="I603" s="21" t="s">
        <v>24</v>
      </c>
      <c r="J603" s="13" t="str">
        <f t="shared" si="9"/>
        <v>insert into chb_datacheck_condition (CHECKCONDITIONID,CHECKRULEID,CHECKMETHOD,SRCPROPERTY,COMPARETO,OBJVALUE,REMARK,STATUS) values ('WADFD6FB32D74CF1E0536D5C010AD0CE    ','W84807E5-EF90-D920-E050-007F010077FD','inArray','ASSET_TYPE2','!=','1202,1203,1204,1205,1206,1207,1208,1209','[资产/负债类别]不为非标资产时','E');</v>
      </c>
    </row>
    <row r="604" spans="1:10" x14ac:dyDescent="0.25">
      <c r="A604" s="17">
        <v>601</v>
      </c>
      <c r="B604" s="21" t="s">
        <v>1970</v>
      </c>
      <c r="C604" s="21" t="s">
        <v>699</v>
      </c>
      <c r="D604" s="21" t="s">
        <v>1083</v>
      </c>
      <c r="E604" s="21" t="s">
        <v>910</v>
      </c>
      <c r="F604" s="21" t="s">
        <v>25</v>
      </c>
      <c r="G604" s="21" t="s">
        <v>2215</v>
      </c>
      <c r="H604" s="21" t="s">
        <v>2216</v>
      </c>
      <c r="I604" s="21" t="s">
        <v>24</v>
      </c>
      <c r="J604" s="13" t="str">
        <f t="shared" si="9"/>
        <v>insert into chb_datacheck_condition (CHECKCONDITIONID,CHECKRULEID,CHECKMETHOD,SRCPROPERTY,COMPARETO,OBJVALUE,REMARK,STATUS) values ('WADFD6FB32E04CF1E0536D5C010AD0CE    ','W84807E5-EF92-D920-E050-007F010077FD','inArray','ASSET_TYPE2','==','2201,2202','当资产/负债类别为新增可投资资产时','E');</v>
      </c>
    </row>
    <row r="605" spans="1:10" x14ac:dyDescent="0.25">
      <c r="A605" s="17">
        <v>602</v>
      </c>
      <c r="B605" s="21" t="s">
        <v>1971</v>
      </c>
      <c r="C605" s="21" t="s">
        <v>700</v>
      </c>
      <c r="D605" s="21" t="s">
        <v>1083</v>
      </c>
      <c r="E605" s="21" t="s">
        <v>910</v>
      </c>
      <c r="F605" s="21" t="s">
        <v>25</v>
      </c>
      <c r="G605" s="21" t="s">
        <v>2215</v>
      </c>
      <c r="H605" s="21" t="s">
        <v>2216</v>
      </c>
      <c r="I605" s="21" t="s">
        <v>24</v>
      </c>
      <c r="J605" s="13" t="str">
        <f t="shared" si="9"/>
        <v>insert into chb_datacheck_condition (CHECKCONDITIONID,CHECKRULEID,CHECKMETHOD,SRCPROPERTY,COMPARETO,OBJVALUE,REMARK,STATUS) values ('WADFD6FB32E24CF1E0536D5C010AD0CE    ','W84807E5-EF94-D920-E050-007F010077FD','inArray','ASSET_TYPE2','==','2201,2202','当资产/负债类别为新增可投资资产时','E');</v>
      </c>
    </row>
    <row r="606" spans="1:10" x14ac:dyDescent="0.25">
      <c r="A606" s="17">
        <v>603</v>
      </c>
      <c r="B606" s="21" t="s">
        <v>1972</v>
      </c>
      <c r="C606" s="21" t="s">
        <v>701</v>
      </c>
      <c r="D606" s="21" t="s">
        <v>1083</v>
      </c>
      <c r="E606" s="21" t="s">
        <v>910</v>
      </c>
      <c r="F606" s="21" t="s">
        <v>25</v>
      </c>
      <c r="G606" s="21" t="s">
        <v>2161</v>
      </c>
      <c r="H606" s="21" t="s">
        <v>2162</v>
      </c>
      <c r="I606" s="21" t="s">
        <v>24</v>
      </c>
      <c r="J606" s="13" t="str">
        <f t="shared" si="9"/>
        <v>insert into chb_datacheck_condition (CHECKCONDITIONID,CHECKRULEID,CHECKMETHOD,SRCPROPERTY,COMPARETO,OBJVALUE,REMARK,STATUS) values ('WADFD6FB32E34CF1E0536D5C010AD0CE    ','W84807E5-EF95-D920-E050-007F010077FD','inArray','ASSET_TYPE2','==','1202,1203,1204,1205,1206,1207,1208,1209','当资产/负债类别为非标准化债权类资产时','E');</v>
      </c>
    </row>
    <row r="607" spans="1:10" x14ac:dyDescent="0.25">
      <c r="A607" s="17">
        <v>604</v>
      </c>
      <c r="B607" s="21" t="s">
        <v>1973</v>
      </c>
      <c r="C607" s="21" t="s">
        <v>702</v>
      </c>
      <c r="D607" s="21" t="s">
        <v>1083</v>
      </c>
      <c r="E607" s="21" t="s">
        <v>910</v>
      </c>
      <c r="F607" s="21" t="s">
        <v>25</v>
      </c>
      <c r="G607" s="21" t="s">
        <v>2161</v>
      </c>
      <c r="H607" s="21" t="s">
        <v>2162</v>
      </c>
      <c r="I607" s="21" t="s">
        <v>24</v>
      </c>
      <c r="J607" s="13" t="str">
        <f t="shared" si="9"/>
        <v>insert into chb_datacheck_condition (CHECKCONDITIONID,CHECKRULEID,CHECKMETHOD,SRCPROPERTY,COMPARETO,OBJVALUE,REMARK,STATUS) values ('WADFD6FB32E34CF1E0536D5C011AD0CE    ','W84807E5-EF95-D920-E050-107F010077FD','inArray','ASSET_TYPE2','==','1202,1203,1204,1205,1206,1207,1208,1209','当资产/负债类别为非标准化债权类资产时','E');</v>
      </c>
    </row>
    <row r="608" spans="1:10" x14ac:dyDescent="0.25">
      <c r="A608" s="17">
        <v>605</v>
      </c>
      <c r="B608" s="21" t="s">
        <v>1975</v>
      </c>
      <c r="C608" s="21" t="s">
        <v>703</v>
      </c>
      <c r="D608" s="21" t="s">
        <v>40</v>
      </c>
      <c r="E608" s="21" t="s">
        <v>1132</v>
      </c>
      <c r="F608" s="21" t="s">
        <v>25</v>
      </c>
      <c r="G608" s="21" t="s">
        <v>2202</v>
      </c>
      <c r="H608" s="21" t="s">
        <v>2201</v>
      </c>
      <c r="I608" s="21" t="s">
        <v>24</v>
      </c>
      <c r="J608" s="13" t="str">
        <f t="shared" si="9"/>
        <v>insert into chb_datacheck_condition (CHECKCONDITIONID,CHECKRULEID,CHECKMETHOD,SRCPROPERTY,COMPARETO,OBJVALUE,REMARK,STATUS) values ('WADFD6FB32E44CF1E0536D5C010AD0CE    ','W84807E5-EF95-D921-E050-007F010077FD','compareValue','GUA_TYPE','==','03','当“担保方式”选择“抵押”或“质押”时','E');</v>
      </c>
    </row>
    <row r="609" spans="1:10" x14ac:dyDescent="0.25">
      <c r="A609" s="17">
        <v>606</v>
      </c>
      <c r="B609" s="21" t="s">
        <v>1974</v>
      </c>
      <c r="C609" s="21" t="s">
        <v>703</v>
      </c>
      <c r="D609" s="21" t="s">
        <v>1083</v>
      </c>
      <c r="E609" s="21" t="s">
        <v>910</v>
      </c>
      <c r="F609" s="21" t="s">
        <v>25</v>
      </c>
      <c r="G609" s="21" t="s">
        <v>2076</v>
      </c>
      <c r="H609" s="21" t="s">
        <v>2077</v>
      </c>
      <c r="I609" s="21" t="s">
        <v>24</v>
      </c>
      <c r="J609" s="13" t="str">
        <f t="shared" si="9"/>
        <v>insert into chb_datacheck_condition (CHECKCONDITIONID,CHECKRULEID,CHECKMETHOD,SRCPROPERTY,COMPARETO,OBJVALUE,REMARK,STATUS) values ('WADFD6FB32E54CF1E0536D5C010AD0CE    ','W84807E5-EF95-D921-E050-007F010077FD','inArray','ASSET_TYPE2','==','1202,1203,1204,1205,1206,1207,1208,1209,2201,2202','当资产/负债类别为非标准化债权类资产/新增可投资资产时','E');</v>
      </c>
    </row>
    <row r="610" spans="1:10" x14ac:dyDescent="0.25">
      <c r="A610" s="17">
        <v>607</v>
      </c>
      <c r="B610" s="21" t="s">
        <v>2302</v>
      </c>
      <c r="C610" s="21" t="s">
        <v>704</v>
      </c>
      <c r="D610" s="21" t="s">
        <v>1083</v>
      </c>
      <c r="E610" s="21" t="s">
        <v>910</v>
      </c>
      <c r="F610" s="21" t="s">
        <v>25</v>
      </c>
      <c r="G610" s="21" t="s">
        <v>2076</v>
      </c>
      <c r="H610" s="21" t="s">
        <v>2077</v>
      </c>
      <c r="I610" s="21" t="s">
        <v>24</v>
      </c>
      <c r="J610" s="13" t="str">
        <f t="shared" si="9"/>
        <v>insert into chb_datacheck_condition (CHECKCONDITIONID,CHECKRULEID,CHECKMETHOD,SRCPROPERTY,COMPARETO,OBJVALUE,REMARK,STATUS) values ('WH4807E5-EF96-D920-E050-007F010077FD','W84807E5-EF96-D920-E050-007F010077FD','inArray','ASSET_TYPE2','==','1202,1203,1204,1205,1206,1207,1208,1209,2201,2202','当资产/负债类别为非标准化债权类资产/新增可投资资产时','E');</v>
      </c>
    </row>
    <row r="611" spans="1:10" x14ac:dyDescent="0.25">
      <c r="A611" s="17">
        <v>608</v>
      </c>
      <c r="B611" s="21" t="s">
        <v>704</v>
      </c>
      <c r="C611" s="21" t="s">
        <v>704</v>
      </c>
      <c r="D611" s="21" t="s">
        <v>40</v>
      </c>
      <c r="E611" s="21" t="s">
        <v>1132</v>
      </c>
      <c r="F611" s="21" t="s">
        <v>25</v>
      </c>
      <c r="G611" s="21" t="s">
        <v>2121</v>
      </c>
      <c r="H611" s="21" t="s">
        <v>2201</v>
      </c>
      <c r="I611" s="21" t="s">
        <v>24</v>
      </c>
      <c r="J611" s="13" t="str">
        <f t="shared" si="9"/>
        <v>insert into chb_datacheck_condition (CHECKCONDITIONID,CHECKRULEID,CHECKMETHOD,SRCPROPERTY,COMPARETO,OBJVALUE,REMARK,STATUS) values ('W84807E5-EF96-D920-E050-007F010077FD','W84807E5-EF96-D920-E050-007F010077FD','compareValue','GUA_TYPE','==','04','当“担保方式”选择“抵押”或“质押”时','E');</v>
      </c>
    </row>
    <row r="612" spans="1:10" x14ac:dyDescent="0.25">
      <c r="A612" s="17">
        <v>609</v>
      </c>
      <c r="B612" s="21" t="s">
        <v>1976</v>
      </c>
      <c r="C612" s="21" t="s">
        <v>705</v>
      </c>
      <c r="D612" s="21" t="s">
        <v>1083</v>
      </c>
      <c r="E612" s="21" t="s">
        <v>910</v>
      </c>
      <c r="F612" s="21" t="s">
        <v>25</v>
      </c>
      <c r="G612" s="21" t="s">
        <v>2076</v>
      </c>
      <c r="H612" s="21" t="s">
        <v>2077</v>
      </c>
      <c r="I612" s="21" t="s">
        <v>24</v>
      </c>
      <c r="J612" s="13" t="str">
        <f t="shared" si="9"/>
        <v>insert into chb_datacheck_condition (CHECKCONDITIONID,CHECKRULEID,CHECKMETHOD,SRCPROPERTY,COMPARETO,OBJVALUE,REMARK,STATUS) values ('WADFD6FB32E94CF1E0536D5C010AD0CE    ','W84807E5-EF98-D920-E050-007F010077FD','inArray','ASSET_TYPE2','==','1202,1203,1204,1205,1206,1207,1208,1209,2201,2202','当资产/负债类别为非标准化债权类资产/新增可投资资产时','E');</v>
      </c>
    </row>
    <row r="613" spans="1:10" x14ac:dyDescent="0.25">
      <c r="A613" s="17">
        <v>610</v>
      </c>
      <c r="B613" s="21" t="s">
        <v>1977</v>
      </c>
      <c r="C613" s="21" t="s">
        <v>705</v>
      </c>
      <c r="D613" s="21" t="s">
        <v>2405</v>
      </c>
      <c r="E613" s="21" t="s">
        <v>2401</v>
      </c>
      <c r="F613" s="21" t="s">
        <v>41</v>
      </c>
      <c r="G613" s="21" t="s">
        <v>2200</v>
      </c>
      <c r="H613" s="21" t="s">
        <v>2240</v>
      </c>
      <c r="I613" s="21" t="s">
        <v>24</v>
      </c>
      <c r="J613" s="13" t="str">
        <f t="shared" si="9"/>
        <v>insert into chb_datacheck_condition (CHECKCONDITIONID,CHECKRULEID,CHECKMETHOD,SRCPROPERTY,COMPARETO,OBJVALUE,REMARK,STATUS) values ('WADFD6FB32EB4CF1E0536D5C010AD0CE    ','W84807E5-EF98-D920-E050-007F010077FD','inArray','GUA_TYPE','!=','03,04','当“担保方式”不是“抵押”或“质押”时','E');</v>
      </c>
    </row>
    <row r="614" spans="1:10" x14ac:dyDescent="0.25">
      <c r="A614" s="17">
        <v>611</v>
      </c>
      <c r="B614" s="21" t="s">
        <v>1978</v>
      </c>
      <c r="C614" s="21" t="s">
        <v>706</v>
      </c>
      <c r="D614" s="21" t="s">
        <v>1083</v>
      </c>
      <c r="E614" s="21" t="s">
        <v>910</v>
      </c>
      <c r="F614" s="21" t="s">
        <v>25</v>
      </c>
      <c r="G614" s="21" t="s">
        <v>2103</v>
      </c>
      <c r="H614" s="21" t="s">
        <v>2075</v>
      </c>
      <c r="I614" s="21" t="s">
        <v>24</v>
      </c>
      <c r="J614" s="13" t="str">
        <f t="shared" si="9"/>
        <v>insert into chb_datacheck_condition (CHECKCONDITIONID,CHECKRULEID,CHECKMETHOD,SRCPROPERTY,COMPARETO,OBJVALUE,REMARK,STATUS) values ('W84807E5-DF38-D920-E050-007F111177FD','W84817E5-DF81-D920-E050-007F010077FD','inArray','ASSET_TYPE2','==','2801,2802,2803,2804,2805,2806,2899','当资产/负债类别为委外投资时','E');</v>
      </c>
    </row>
    <row r="615" spans="1:10" x14ac:dyDescent="0.25">
      <c r="A615" s="17">
        <v>612</v>
      </c>
      <c r="B615" s="21" t="s">
        <v>1979</v>
      </c>
      <c r="C615" s="21" t="s">
        <v>707</v>
      </c>
      <c r="D615" s="21" t="s">
        <v>1083</v>
      </c>
      <c r="E615" s="21" t="s">
        <v>910</v>
      </c>
      <c r="F615" s="21" t="s">
        <v>25</v>
      </c>
      <c r="G615" s="21" t="s">
        <v>2103</v>
      </c>
      <c r="H615" s="21" t="s">
        <v>2075</v>
      </c>
      <c r="I615" s="21" t="s">
        <v>24</v>
      </c>
      <c r="J615" s="13" t="str">
        <f t="shared" si="9"/>
        <v>insert into chb_datacheck_condition (CHECKCONDITIONID,CHECKRULEID,CHECKMETHOD,SRCPROPERTY,COMPARETO,OBJVALUE,REMARK,STATUS) values ('W84807E5-DF38-D920-E050-007F112077FD','W84827E5-DF35-D920-E050-007F010077FD','inArray','ASSET_TYPE2','==','2801,2802,2803,2804,2805,2806,2899','当资产/负债类别为委外投资时','E');</v>
      </c>
    </row>
    <row r="616" spans="1:10" x14ac:dyDescent="0.25">
      <c r="A616" s="17">
        <v>613</v>
      </c>
      <c r="B616" s="21" t="s">
        <v>1980</v>
      </c>
      <c r="C616" s="21" t="s">
        <v>708</v>
      </c>
      <c r="D616" s="21" t="s">
        <v>1083</v>
      </c>
      <c r="E616" s="21" t="s">
        <v>910</v>
      </c>
      <c r="F616" s="21" t="s">
        <v>25</v>
      </c>
      <c r="G616" s="21" t="s">
        <v>2063</v>
      </c>
      <c r="H616" s="21" t="s">
        <v>2064</v>
      </c>
      <c r="I616" s="21" t="s">
        <v>24</v>
      </c>
      <c r="J616" s="13" t="str">
        <f t="shared" si="9"/>
        <v>insert into chb_datacheck_condition (CHECKCONDITIONID,CHECKRULEID,CHECKMETHOD,SRCPROPERTY,COMPARETO,OBJVALUE,REMARK,STATUS) values ('W84807E5-DF38-D920-E050-007F112077FE','W84827E5-DF35-D920-E050-007F010077FE','inArray','ASSET_TYPE2','==','1101,1110,1109,1102,1111,1112,1113,1114,1115,1116,1117,2101,2501,2502','当资产/负债类别为债券类资产/理财直接融资工具/同业存单时','E');</v>
      </c>
    </row>
    <row r="617" spans="1:10" x14ac:dyDescent="0.25">
      <c r="A617" s="17">
        <v>614</v>
      </c>
      <c r="B617" s="21" t="s">
        <v>1981</v>
      </c>
      <c r="C617" s="21" t="s">
        <v>709</v>
      </c>
      <c r="D617" s="21" t="s">
        <v>1083</v>
      </c>
      <c r="E617" s="21" t="s">
        <v>1075</v>
      </c>
      <c r="F617" s="21" t="s">
        <v>41</v>
      </c>
      <c r="G617" s="21" t="s">
        <v>2247</v>
      </c>
      <c r="H617" s="21" t="s">
        <v>2248</v>
      </c>
      <c r="I617" s="21" t="s">
        <v>24</v>
      </c>
      <c r="J617" s="13" t="str">
        <f t="shared" si="9"/>
        <v>insert into chb_datacheck_condition (CHECKCONDITIONID,CHECKRULEID,CHECKMETHOD,SRCPROPERTY,COMPARETO,OBJVALUE,REMARK,STATUS) values ('W84807E5-DF38-D920-E050-007F112077FF','W84827E5-DF35-D920-E050-007F010077FF','inArray','ASSET_TYPE','!=','03,06,08,10,15,19,16','当资产负债类别不为债券，同业存单，理财直融工具，权益类资产，QDII债券资产，QDII股票/基金类资产，公募基金/私募基金,委外投资时','E');</v>
      </c>
    </row>
    <row r="618" spans="1:10" x14ac:dyDescent="0.25">
      <c r="A618" s="17">
        <v>615</v>
      </c>
      <c r="B618" s="21" t="s">
        <v>1982</v>
      </c>
      <c r="C618" s="21" t="s">
        <v>710</v>
      </c>
      <c r="D618" s="21" t="s">
        <v>1083</v>
      </c>
      <c r="E618" s="21" t="s">
        <v>910</v>
      </c>
      <c r="F618" s="21" t="s">
        <v>25</v>
      </c>
      <c r="G618" s="21" t="s">
        <v>2033</v>
      </c>
      <c r="H618" s="21" t="s">
        <v>2034</v>
      </c>
      <c r="I618" s="21" t="s">
        <v>24</v>
      </c>
      <c r="J618" s="13" t="str">
        <f t="shared" si="9"/>
        <v>insert into chb_datacheck_condition (CHECKCONDITIONID,CHECKRULEID,CHECKMETHOD,SRCPROPERTY,COMPARETO,OBJVALUE,REMARK,STATUS) values ('W84807E5-DF38-D920-E050-007F112077FG','W84827E5-DF35-D920-E050-007F010077FG','inArray','ASSET_TYPE2','==','1002,1003,1004,1005','当资产/负债类别为本行/他行存款||大额存单时','E');</v>
      </c>
    </row>
    <row r="619" spans="1:10" x14ac:dyDescent="0.25">
      <c r="A619" s="17">
        <v>616</v>
      </c>
      <c r="B619" s="21" t="s">
        <v>1983</v>
      </c>
      <c r="C619" s="21" t="s">
        <v>711</v>
      </c>
      <c r="D619" s="21" t="s">
        <v>1083</v>
      </c>
      <c r="E619" s="21" t="s">
        <v>1075</v>
      </c>
      <c r="F619" s="21" t="s">
        <v>41</v>
      </c>
      <c r="G619" s="21" t="s">
        <v>2249</v>
      </c>
      <c r="H619" s="21" t="s">
        <v>2250</v>
      </c>
      <c r="I619" s="21" t="s">
        <v>24</v>
      </c>
      <c r="J619" s="13" t="str">
        <f t="shared" si="9"/>
        <v>insert into chb_datacheck_condition (CHECKCONDITIONID,CHECKRULEID,CHECKMETHOD,SRCPROPERTY,COMPARETO,OBJVALUE,REMARK,STATUS) values ('W84807E5-DF38-D920-E050-007F112077FH','W84827E5-DF35-D920-E050-007F010077FH','inArray','ASSET_TYPE','!=','01,04,05,12,16,14','当资产负债类别不为现金及银行存款时','E');</v>
      </c>
    </row>
    <row r="620" spans="1:10" x14ac:dyDescent="0.25">
      <c r="A620" s="17">
        <v>617</v>
      </c>
      <c r="B620" s="21" t="s">
        <v>1984</v>
      </c>
      <c r="C620" s="21" t="s">
        <v>712</v>
      </c>
      <c r="D620" s="21" t="s">
        <v>1083</v>
      </c>
      <c r="E620" s="21" t="s">
        <v>1075</v>
      </c>
      <c r="F620" s="21" t="s">
        <v>41</v>
      </c>
      <c r="G620" s="21" t="s">
        <v>2251</v>
      </c>
      <c r="H620" s="21" t="s">
        <v>2252</v>
      </c>
      <c r="I620" s="21" t="s">
        <v>24</v>
      </c>
      <c r="J620" s="13" t="str">
        <f t="shared" si="9"/>
        <v>insert into chb_datacheck_condition (CHECKCONDITIONID,CHECKRULEID,CHECKMETHOD,SRCPROPERTY,COMPARETO,OBJVALUE,REMARK,STATUS) values ('W84807E5-DF38-D920-E050-007F112077FJ','W84827E5-DF35-D920-E050-007F010077FJ','inArray','ASSET_TYPE','!=','03,04,07,08,10,12,13,18,15,19,16,17,14,06','当资产负债类别不为债券、理财直融工具、同业存单,新增可投资资产以及非标准化债权类资产,金融衍生品,股票/基金,商品类资产,委外资产,资管计划,权益类资产,另类资产,其他负债,其他时','E');</v>
      </c>
    </row>
    <row r="621" spans="1:10" x14ac:dyDescent="0.25">
      <c r="A621" s="17">
        <v>618</v>
      </c>
      <c r="B621" s="21" t="s">
        <v>1985</v>
      </c>
      <c r="C621" s="21" t="s">
        <v>714</v>
      </c>
      <c r="D621" s="21" t="s">
        <v>1083</v>
      </c>
      <c r="E621" s="21" t="s">
        <v>910</v>
      </c>
      <c r="F621" s="21" t="s">
        <v>25</v>
      </c>
      <c r="G621" s="21" t="s">
        <v>2033</v>
      </c>
      <c r="H621" s="21" t="s">
        <v>2034</v>
      </c>
      <c r="I621" s="21" t="s">
        <v>24</v>
      </c>
      <c r="J621" s="13" t="str">
        <f t="shared" si="9"/>
        <v>insert into chb_datacheck_condition (CHECKCONDITIONID,CHECKRULEID,CHECKMETHOD,SRCPROPERTY,COMPARETO,OBJVALUE,REMARK,STATUS) values ('W84807E5-DF38-D920-E050-007F112077FL','W84827E5-DF35-D920-E050-007F010077FL','inArray','ASSET_TYPE2','==','1002,1003,1004,1005','当资产/负债类别为本行/他行存款||大额存单时','E');</v>
      </c>
    </row>
    <row r="622" spans="1:10" x14ac:dyDescent="0.25">
      <c r="A622" s="17">
        <v>619</v>
      </c>
      <c r="B622" s="21" t="s">
        <v>1986</v>
      </c>
      <c r="C622" s="21" t="s">
        <v>715</v>
      </c>
      <c r="D622" s="21" t="s">
        <v>1083</v>
      </c>
      <c r="E622" s="21" t="s">
        <v>910</v>
      </c>
      <c r="F622" s="21" t="s">
        <v>25</v>
      </c>
      <c r="G622" s="21" t="s">
        <v>2033</v>
      </c>
      <c r="H622" s="21" t="s">
        <v>2034</v>
      </c>
      <c r="I622" s="21" t="s">
        <v>24</v>
      </c>
      <c r="J622" s="13" t="str">
        <f t="shared" si="9"/>
        <v>insert into chb_datacheck_condition (CHECKCONDITIONID,CHECKRULEID,CHECKMETHOD,SRCPROPERTY,COMPARETO,OBJVALUE,REMARK,STATUS) values ('W84807E5-DF38-D920-E050-007F112077FM','W84827E5-DF35-D920-E050-007F010077FM','inArray','ASSET_TYPE2','==','1002,1003,1004,1005','当资产/负债类别为本行/他行存款||大额存单时','E');</v>
      </c>
    </row>
    <row r="623" spans="1:10" x14ac:dyDescent="0.25">
      <c r="A623" s="17">
        <v>620</v>
      </c>
      <c r="B623" s="21" t="s">
        <v>1987</v>
      </c>
      <c r="C623" s="21" t="s">
        <v>716</v>
      </c>
      <c r="D623" s="21" t="s">
        <v>1083</v>
      </c>
      <c r="E623" s="21" t="s">
        <v>910</v>
      </c>
      <c r="F623" s="21" t="s">
        <v>25</v>
      </c>
      <c r="G623" s="21" t="s">
        <v>2045</v>
      </c>
      <c r="H623" s="21" t="s">
        <v>2046</v>
      </c>
      <c r="I623" s="21" t="s">
        <v>24</v>
      </c>
      <c r="J623" s="13" t="str">
        <f t="shared" si="9"/>
        <v>insert into chb_datacheck_condition (CHECKCONDITIONID,CHECKRULEID,CHECKMETHOD,SRCPROPERTY,COMPARETO,OBJVALUE,REMARK,STATUS) values ('W84807E5-DF38-D920-E050-007F112077FO','W84827E5-DF35-D920-E050-007F010077FO','inArray','ASSET_TYPE2','==','1901,1902,1107,1108','当资产/负债类别为拆放同业及买入返售/同业拆入及卖出回购时','E');</v>
      </c>
    </row>
    <row r="624" spans="1:10" x14ac:dyDescent="0.25">
      <c r="A624" s="17">
        <v>621</v>
      </c>
      <c r="B624" s="21" t="s">
        <v>1988</v>
      </c>
      <c r="C624" s="21" t="s">
        <v>717</v>
      </c>
      <c r="D624" s="21" t="s">
        <v>1083</v>
      </c>
      <c r="E624" s="21" t="s">
        <v>910</v>
      </c>
      <c r="F624" s="21" t="s">
        <v>25</v>
      </c>
      <c r="G624" s="21" t="s">
        <v>2045</v>
      </c>
      <c r="H624" s="21" t="s">
        <v>2046</v>
      </c>
      <c r="I624" s="21" t="s">
        <v>24</v>
      </c>
      <c r="J624" s="13" t="str">
        <f t="shared" si="9"/>
        <v>insert into chb_datacheck_condition (CHECKCONDITIONID,CHECKRULEID,CHECKMETHOD,SRCPROPERTY,COMPARETO,OBJVALUE,REMARK,STATUS) values ('W84807E5-DF38-D920-E050-007F112077FP','W84827E5-DF35-D920-E050-007F010077FP','inArray','ASSET_TYPE2','==','1901,1902,1107,1108','当资产/负债类别为拆放同业及买入返售/同业拆入及卖出回购时','E');</v>
      </c>
    </row>
    <row r="625" spans="1:10" x14ac:dyDescent="0.25">
      <c r="A625" s="17">
        <v>622</v>
      </c>
      <c r="B625" s="21" t="s">
        <v>1989</v>
      </c>
      <c r="C625" s="21" t="s">
        <v>718</v>
      </c>
      <c r="D625" s="21" t="s">
        <v>1083</v>
      </c>
      <c r="E625" s="21" t="s">
        <v>910</v>
      </c>
      <c r="F625" s="21" t="s">
        <v>25</v>
      </c>
      <c r="G625" s="21" t="s">
        <v>2076</v>
      </c>
      <c r="H625" s="21" t="s">
        <v>2077</v>
      </c>
      <c r="I625" s="21" t="s">
        <v>24</v>
      </c>
      <c r="J625" s="13" t="str">
        <f t="shared" si="9"/>
        <v>insert into chb_datacheck_condition (CHECKCONDITIONID,CHECKRULEID,CHECKMETHOD,SRCPROPERTY,COMPARETO,OBJVALUE,REMARK,STATUS) values ('W84807E5-DF38-D920-E050-007F112077FQ','W84827E5-DF35-D920-E050-007F010077FQ','inArray','ASSET_TYPE2','==','1202,1203,1204,1205,1206,1207,1208,1209,2201,2202','当资产/负债类别为非标准化债权类资产/新增可投资资产时','E');</v>
      </c>
    </row>
    <row r="626" spans="1:10" x14ac:dyDescent="0.25">
      <c r="A626" s="17">
        <v>623</v>
      </c>
      <c r="B626" s="21" t="s">
        <v>1990</v>
      </c>
      <c r="C626" s="21" t="s">
        <v>719</v>
      </c>
      <c r="D626" s="21" t="s">
        <v>1083</v>
      </c>
      <c r="E626" s="21" t="s">
        <v>910</v>
      </c>
      <c r="F626" s="21" t="s">
        <v>25</v>
      </c>
      <c r="G626" s="21" t="s">
        <v>2076</v>
      </c>
      <c r="H626" s="21" t="s">
        <v>2077</v>
      </c>
      <c r="I626" s="21" t="s">
        <v>24</v>
      </c>
      <c r="J626" s="13" t="str">
        <f t="shared" si="9"/>
        <v>insert into chb_datacheck_condition (CHECKCONDITIONID,CHECKRULEID,CHECKMETHOD,SRCPROPERTY,COMPARETO,OBJVALUE,REMARK,STATUS) values ('W84807E5-DF38-D920-E050-007F112077FR','W84827E5-DF35-D920-E050-007F010077FR','inArray','ASSET_TYPE2','==','1202,1203,1204,1205,1206,1207,1208,1209,2201,2202','当资产/负债类别为非标准化债权类资产/新增可投资资产时','E');</v>
      </c>
    </row>
    <row r="627" spans="1:10" x14ac:dyDescent="0.25">
      <c r="A627" s="17">
        <v>624</v>
      </c>
      <c r="B627" s="21" t="s">
        <v>1991</v>
      </c>
      <c r="C627" s="21" t="s">
        <v>720</v>
      </c>
      <c r="D627" s="21" t="s">
        <v>1083</v>
      </c>
      <c r="E627" s="21" t="s">
        <v>910</v>
      </c>
      <c r="F627" s="21" t="s">
        <v>25</v>
      </c>
      <c r="G627" s="21" t="s">
        <v>2188</v>
      </c>
      <c r="H627" s="21" t="s">
        <v>2189</v>
      </c>
      <c r="I627" s="21" t="s">
        <v>24</v>
      </c>
      <c r="J627" s="13" t="str">
        <f t="shared" si="9"/>
        <v>insert into chb_datacheck_condition (CHECKCONDITIONID,CHECKRULEID,CHECKMETHOD,SRCPROPERTY,COMPARETO,OBJVALUE,REMARK,STATUS) values ('W84807E5-DF38-D920-E050-007F112077FS','W84827E5-DF35-D920-E050-007F010077FS','inArray','ASSET_TYPE2','==','1201,1210','当资产/负债类别为票据类/信用证类资产时','E');</v>
      </c>
    </row>
    <row r="628" spans="1:10" x14ac:dyDescent="0.25">
      <c r="A628" s="17">
        <v>625</v>
      </c>
      <c r="B628" s="21" t="s">
        <v>1992</v>
      </c>
      <c r="C628" s="21" t="s">
        <v>721</v>
      </c>
      <c r="D628" s="21" t="s">
        <v>1083</v>
      </c>
      <c r="E628" s="21" t="s">
        <v>910</v>
      </c>
      <c r="F628" s="21" t="s">
        <v>25</v>
      </c>
      <c r="G628" s="21" t="s">
        <v>2188</v>
      </c>
      <c r="H628" s="21" t="s">
        <v>2189</v>
      </c>
      <c r="I628" s="21" t="s">
        <v>24</v>
      </c>
      <c r="J628" s="13" t="str">
        <f t="shared" si="9"/>
        <v>insert into chb_datacheck_condition (CHECKCONDITIONID,CHECKRULEID,CHECKMETHOD,SRCPROPERTY,COMPARETO,OBJVALUE,REMARK,STATUS) values ('W84807E5-DF38-D920-E050-007F112077FT','W84827E5-DF35-D920-E050-007F010077FT','inArray','ASSET_TYPE2','==','1201,1210','当资产/负债类别为票据类/信用证类资产时','E');</v>
      </c>
    </row>
    <row r="629" spans="1:10" x14ac:dyDescent="0.25">
      <c r="A629" s="17">
        <v>626</v>
      </c>
      <c r="B629" s="21" t="s">
        <v>1993</v>
      </c>
      <c r="C629" s="21" t="s">
        <v>722</v>
      </c>
      <c r="D629" s="21" t="s">
        <v>1083</v>
      </c>
      <c r="E629" s="21" t="s">
        <v>910</v>
      </c>
      <c r="F629" s="21" t="s">
        <v>25</v>
      </c>
      <c r="G629" s="21" t="s">
        <v>2068</v>
      </c>
      <c r="H629" s="21" t="s">
        <v>2069</v>
      </c>
      <c r="I629" s="21" t="s">
        <v>24</v>
      </c>
      <c r="J629" s="13" t="str">
        <f t="shared" si="9"/>
        <v>insert into chb_datacheck_condition (CHECKCONDITIONID,CHECKRULEID,CHECKMETHOD,SRCPROPERTY,COMPARETO,OBJVALUE,REMARK,STATUS) values ('W84807E5-DF38-D920-E050-007F112077FU','W84827E5-DF35-D920-E050-007F010077FU','inArray','ASSET_TYPE2','==','1501','当资产/负债类别为QDII债券资产时','E');</v>
      </c>
    </row>
    <row r="630" spans="1:10" x14ac:dyDescent="0.25">
      <c r="A630" s="17">
        <v>627</v>
      </c>
      <c r="B630" s="21" t="s">
        <v>1994</v>
      </c>
      <c r="C630" s="21" t="s">
        <v>723</v>
      </c>
      <c r="D630" s="21" t="s">
        <v>1083</v>
      </c>
      <c r="E630" s="21" t="s">
        <v>910</v>
      </c>
      <c r="F630" s="21" t="s">
        <v>25</v>
      </c>
      <c r="G630" s="21" t="s">
        <v>2068</v>
      </c>
      <c r="H630" s="21" t="s">
        <v>2069</v>
      </c>
      <c r="I630" s="21" t="s">
        <v>24</v>
      </c>
      <c r="J630" s="13" t="str">
        <f t="shared" si="9"/>
        <v>insert into chb_datacheck_condition (CHECKCONDITIONID,CHECKRULEID,CHECKMETHOD,SRCPROPERTY,COMPARETO,OBJVALUE,REMARK,STATUS) values ('W84807E5-DF38-D920-E050-007F112077FV','W84827E5-DF35-D920-E050-007F010077FV','inArray','ASSET_TYPE2','==','1501','当资产/负债类别为QDII债券资产时','E');</v>
      </c>
    </row>
    <row r="631" spans="1:10" x14ac:dyDescent="0.25">
      <c r="A631" s="17">
        <v>628</v>
      </c>
      <c r="B631" s="21" t="s">
        <v>1995</v>
      </c>
      <c r="C631" s="21" t="s">
        <v>724</v>
      </c>
      <c r="D631" s="21" t="s">
        <v>1083</v>
      </c>
      <c r="E631" s="21" t="s">
        <v>910</v>
      </c>
      <c r="F631" s="21" t="s">
        <v>25</v>
      </c>
      <c r="G631" s="21" t="s">
        <v>2081</v>
      </c>
      <c r="H631" s="21" t="s">
        <v>2082</v>
      </c>
      <c r="I631" s="21" t="s">
        <v>24</v>
      </c>
      <c r="J631" s="13" t="str">
        <f t="shared" si="9"/>
        <v>insert into chb_datacheck_condition (CHECKCONDITIONID,CHECKRULEID,CHECKMETHOD,SRCPROPERTY,COMPARETO,OBJVALUE,REMARK,STATUS) values ('W84807E5-DF38-D920-E050-007F112077FW','W84827E5-DF35-D920-E050-007F010077FW','inArray','ASSET_TYPE2','==','1503','当资产/负债类别为QDII结构性票据类资产时','E');</v>
      </c>
    </row>
    <row r="632" spans="1:10" x14ac:dyDescent="0.25">
      <c r="A632" s="17">
        <v>629</v>
      </c>
      <c r="B632" s="21" t="s">
        <v>1996</v>
      </c>
      <c r="C632" s="21" t="s">
        <v>725</v>
      </c>
      <c r="D632" s="21" t="s">
        <v>1083</v>
      </c>
      <c r="E632" s="21" t="s">
        <v>910</v>
      </c>
      <c r="F632" s="21" t="s">
        <v>25</v>
      </c>
      <c r="G632" s="21" t="s">
        <v>2081</v>
      </c>
      <c r="H632" s="21" t="s">
        <v>2082</v>
      </c>
      <c r="I632" s="21" t="s">
        <v>24</v>
      </c>
      <c r="J632" s="13" t="str">
        <f t="shared" si="9"/>
        <v>insert into chb_datacheck_condition (CHECKCONDITIONID,CHECKRULEID,CHECKMETHOD,SRCPROPERTY,COMPARETO,OBJVALUE,REMARK,STATUS) values ('W84807E5-DF38-D920-E050-007F112077FX','W84827E5-DF35-D920-E050-007F010077FX','inArray','ASSET_TYPE2','==','1503','当资产/负债类别为QDII结构性票据类资产时','E');</v>
      </c>
    </row>
    <row r="633" spans="1:10" x14ac:dyDescent="0.25">
      <c r="A633" s="17">
        <v>630</v>
      </c>
      <c r="B633" s="21" t="s">
        <v>1997</v>
      </c>
      <c r="C633" s="21" t="s">
        <v>726</v>
      </c>
      <c r="D633" s="21" t="s">
        <v>1083</v>
      </c>
      <c r="E633" s="21" t="s">
        <v>910</v>
      </c>
      <c r="F633" s="21" t="s">
        <v>25</v>
      </c>
      <c r="G633" s="21" t="s">
        <v>2085</v>
      </c>
      <c r="H633" s="21" t="s">
        <v>2086</v>
      </c>
      <c r="I633" s="21" t="s">
        <v>24</v>
      </c>
      <c r="J633" s="13" t="str">
        <f t="shared" si="9"/>
        <v>insert into chb_datacheck_condition (CHECKCONDITIONID,CHECKRULEID,CHECKMETHOD,SRCPROPERTY,COMPARETO,OBJVALUE,REMARK,STATUS) values ('W84807E5-DF38-D920-E050-007F112077FY','W84827E5-DF35-D920-E050-007F010077FY','inArray','ASSET_TYPE2','==','2301,2302,2303,2304,2305,1603','当资产/负债类别为另类资产时','E');</v>
      </c>
    </row>
    <row r="634" spans="1:10" x14ac:dyDescent="0.25">
      <c r="A634" s="17">
        <v>631</v>
      </c>
      <c r="B634" s="21" t="s">
        <v>1998</v>
      </c>
      <c r="C634" s="21" t="s">
        <v>727</v>
      </c>
      <c r="D634" s="21" t="s">
        <v>1083</v>
      </c>
      <c r="E634" s="21" t="s">
        <v>910</v>
      </c>
      <c r="F634" s="21" t="s">
        <v>25</v>
      </c>
      <c r="G634" s="21" t="s">
        <v>2085</v>
      </c>
      <c r="H634" s="21" t="s">
        <v>2086</v>
      </c>
      <c r="I634" s="21" t="s">
        <v>24</v>
      </c>
      <c r="J634" s="13" t="str">
        <f t="shared" si="9"/>
        <v>insert into chb_datacheck_condition (CHECKCONDITIONID,CHECKRULEID,CHECKMETHOD,SRCPROPERTY,COMPARETO,OBJVALUE,REMARK,STATUS) values ('W84807E5-DF38-D920-E050-007F112077FZ','W84827E5-DF35-D920-E050-007F010077FZ','inArray','ASSET_TYPE2','==','2301,2302,2303,2304,2305,1603','当资产/负债类别为另类资产时','E');</v>
      </c>
    </row>
    <row r="635" spans="1:10" x14ac:dyDescent="0.25">
      <c r="A635" s="17">
        <v>632</v>
      </c>
      <c r="B635" s="21" t="s">
        <v>1999</v>
      </c>
      <c r="C635" s="21" t="s">
        <v>728</v>
      </c>
      <c r="D635" s="21" t="s">
        <v>1083</v>
      </c>
      <c r="E635" s="21" t="s">
        <v>910</v>
      </c>
      <c r="F635" s="21" t="s">
        <v>25</v>
      </c>
      <c r="G635" s="21" t="s">
        <v>2188</v>
      </c>
      <c r="H635" s="21" t="s">
        <v>2189</v>
      </c>
      <c r="I635" s="21" t="s">
        <v>24</v>
      </c>
      <c r="J635" s="13" t="str">
        <f t="shared" si="9"/>
        <v>insert into chb_datacheck_condition (CHECKCONDITIONID,CHECKRULEID,CHECKMETHOD,SRCPROPERTY,COMPARETO,OBJVALUE,REMARK,STATUS) values ('W84807E5-DF38-D920-E050-007F112077GG','W84827E5-DF35-D920-E050-007F010077GG','inArray','ASSET_TYPE2','==','1201,1210','当资产/负债类别为票据类/信用证类资产时','E');</v>
      </c>
    </row>
    <row r="636" spans="1:10" x14ac:dyDescent="0.25">
      <c r="A636" s="17">
        <v>633</v>
      </c>
      <c r="B636" s="21" t="s">
        <v>2000</v>
      </c>
      <c r="C636" s="21" t="s">
        <v>729</v>
      </c>
      <c r="D636" s="21" t="s">
        <v>1083</v>
      </c>
      <c r="E636" s="21" t="s">
        <v>910</v>
      </c>
      <c r="F636" s="21" t="s">
        <v>25</v>
      </c>
      <c r="G636" s="21" t="s">
        <v>2113</v>
      </c>
      <c r="H636" s="21" t="s">
        <v>2114</v>
      </c>
      <c r="I636" s="21" t="s">
        <v>24</v>
      </c>
      <c r="J636" s="13" t="str">
        <f t="shared" ref="J636:J697" si="10">CONCATENATE("insert into chb_datacheck_condition (CHECKCONDITIONID,CHECKRULEID,CHECKMETHOD,SRCPROPERTY,COMPARETO,OBJVALUE,REMARK,STATUS) values ('",B636,"','",C636,"','",D636,"','",E636,"','",F636,"','",G636,"','",H636,"','",I636,"');")</f>
        <v>insert into chb_datacheck_condition (CHECKCONDITIONID,CHECKRULEID,CHECKMETHOD,SRCPROPERTY,COMPARETO,OBJVALUE,REMARK,STATUS) values ('W84807E5-DF38-D920-E050-007F112077JA','W84827E5-DF35-D920-E050-007F010077JA','inArray','ASSET_TYPE2','==','1299,1399,1599,2299','当资产/负债类别为各类资产的其他项时','E');</v>
      </c>
    </row>
    <row r="637" spans="1:10" x14ac:dyDescent="0.25">
      <c r="A637" s="17">
        <v>634</v>
      </c>
      <c r="B637" s="21" t="s">
        <v>2001</v>
      </c>
      <c r="C637" s="21" t="s">
        <v>730</v>
      </c>
      <c r="D637" s="21" t="s">
        <v>1083</v>
      </c>
      <c r="E637" s="21" t="s">
        <v>910</v>
      </c>
      <c r="F637" s="21" t="s">
        <v>25</v>
      </c>
      <c r="G637" s="21" t="s">
        <v>2113</v>
      </c>
      <c r="H637" s="21" t="s">
        <v>2114</v>
      </c>
      <c r="I637" s="21" t="s">
        <v>24</v>
      </c>
      <c r="J637" s="13" t="str">
        <f t="shared" si="10"/>
        <v>insert into chb_datacheck_condition (CHECKCONDITIONID,CHECKRULEID,CHECKMETHOD,SRCPROPERTY,COMPARETO,OBJVALUE,REMARK,STATUS) values ('W84807E5-DF38-D920-E050-007F112077JB','W84827E5-DF35-D920-E050-007F010077JB','inArray','ASSET_TYPE2','==','1299,1399,1599,2299','当资产/负债类别为各类资产的其他项时','E');</v>
      </c>
    </row>
    <row r="638" spans="1:10" s="30" customFormat="1" x14ac:dyDescent="0.25">
      <c r="A638" s="17">
        <v>635</v>
      </c>
      <c r="B638" s="21" t="s">
        <v>2002</v>
      </c>
      <c r="C638" s="21" t="s">
        <v>731</v>
      </c>
      <c r="D638" s="21" t="s">
        <v>1083</v>
      </c>
      <c r="E638" s="21" t="s">
        <v>910</v>
      </c>
      <c r="F638" s="21" t="s">
        <v>41</v>
      </c>
      <c r="G638" s="21" t="s">
        <v>2253</v>
      </c>
      <c r="H638" s="21" t="s">
        <v>2254</v>
      </c>
      <c r="I638" s="21" t="s">
        <v>2378</v>
      </c>
      <c r="J638" s="2" t="str">
        <f t="shared" si="10"/>
        <v>insert into chb_datacheck_condition (CHECKCONDITIONID,CHECKRULEID,CHECKMETHOD,SRCPROPERTY,COMPARETO,OBJVALUE,REMARK,STATUS) values ('W84807E5-DF38-D920-E050-007F112077JC','W84827E5-DF35-D920-E050-007F010077JC','inArray','ASSET_TYPE2','!=','1299,1399,1599,2299,1002,1003,1004,1005,1901,1902,1107,1108,1202,1203,1204,1205,1206,1207,1208,1209,2201,2202,1201,1210,1501,1503,2301,2302,2303,2304,2305,1603,1504,1506','当资产负债类别不为现金及银行存款/拆放同业及买入返售/同业拆入及卖出回购/新增可投资资产以及非标准化债权类资产/非标准化债权类投资/QDII债券类资产/QDII结构性票据/另类资产/其他/QDII拆出/逆回购时','D');</v>
      </c>
    </row>
    <row r="639" spans="1:10" s="30" customFormat="1" x14ac:dyDescent="0.25">
      <c r="A639" s="17">
        <v>636</v>
      </c>
      <c r="B639" s="21" t="s">
        <v>2003</v>
      </c>
      <c r="C639" s="21" t="s">
        <v>732</v>
      </c>
      <c r="D639" s="21" t="s">
        <v>1083</v>
      </c>
      <c r="E639" s="21" t="s">
        <v>910</v>
      </c>
      <c r="F639" s="21" t="s">
        <v>41</v>
      </c>
      <c r="G639" s="21" t="s">
        <v>2253</v>
      </c>
      <c r="H639" s="21" t="s">
        <v>2254</v>
      </c>
      <c r="I639" s="21" t="s">
        <v>2381</v>
      </c>
      <c r="J639" s="2" t="str">
        <f t="shared" si="10"/>
        <v>insert into chb_datacheck_condition (CHECKCONDITIONID,CHECKRULEID,CHECKMETHOD,SRCPROPERTY,COMPARETO,OBJVALUE,REMARK,STATUS) values ('W84807E5-DF38-D920-E050-007F112077JD','W84827E5-DF35-D920-E050-007F010077JD','inArray','ASSET_TYPE2','!=','1299,1399,1599,2299,1002,1003,1004,1005,1901,1902,1107,1108,1202,1203,1204,1205,1206,1207,1208,1209,2201,2202,1201,1210,1501,1503,2301,2302,2303,2304,2305,1603,1504,1506','当资产负债类别不为现金及银行存款/拆放同业及买入返售/同业拆入及卖出回购/新增可投资资产以及非标准化债权类资产/非标准化债权类投资/QDII债券类资产/QDII结构性票据/另类资产/其他/QDII拆出/逆回购时','D');</v>
      </c>
    </row>
    <row r="640" spans="1:10" x14ac:dyDescent="0.25">
      <c r="A640" s="17">
        <v>637</v>
      </c>
      <c r="B640" s="21" t="s">
        <v>2004</v>
      </c>
      <c r="C640" s="21" t="s">
        <v>733</v>
      </c>
      <c r="D640" s="21" t="s">
        <v>1083</v>
      </c>
      <c r="E640" s="21" t="s">
        <v>910</v>
      </c>
      <c r="F640" s="21" t="s">
        <v>25</v>
      </c>
      <c r="G640" s="21" t="s">
        <v>2056</v>
      </c>
      <c r="H640" s="21" t="s">
        <v>2057</v>
      </c>
      <c r="I640" s="21" t="s">
        <v>24</v>
      </c>
      <c r="J640" s="13" t="str">
        <f t="shared" si="10"/>
        <v>insert into chb_datacheck_condition (CHECKCONDITIONID,CHECKRULEID,CHECKMETHOD,SRCPROPERTY,COMPARETO,OBJVALUE,REMARK,STATUS) values ('W84807E5-DF38-D920-E050-007F112077JE','W84827E5-DF35-D920-E050-007F010077JE','inArray','ASSET_TYPE2','==','1504,1506','当资产/负债类别为QDII拆出/逆回购资产时','E');</v>
      </c>
    </row>
    <row r="641" spans="1:10" x14ac:dyDescent="0.25">
      <c r="A641" s="17">
        <v>638</v>
      </c>
      <c r="B641" s="21" t="s">
        <v>2005</v>
      </c>
      <c r="C641" s="21" t="s">
        <v>734</v>
      </c>
      <c r="D641" s="21" t="s">
        <v>1083</v>
      </c>
      <c r="E641" s="21" t="s">
        <v>910</v>
      </c>
      <c r="F641" s="21" t="s">
        <v>25</v>
      </c>
      <c r="G641" s="21" t="s">
        <v>2056</v>
      </c>
      <c r="H641" s="21" t="s">
        <v>2057</v>
      </c>
      <c r="I641" s="21" t="s">
        <v>24</v>
      </c>
      <c r="J641" s="13" t="str">
        <f t="shared" si="10"/>
        <v>insert into chb_datacheck_condition (CHECKCONDITIONID,CHECKRULEID,CHECKMETHOD,SRCPROPERTY,COMPARETO,OBJVALUE,REMARK,STATUS) values ('W84807E5-DF38-D920-E050-007F112077JF','W84827E5-DF35-D920-E050-007F010077JF','inArray','ASSET_TYPE2','==','1504,1506','当资产/负债类别为QDII拆出/逆回购资产时','E');</v>
      </c>
    </row>
    <row r="642" spans="1:10" x14ac:dyDescent="0.25">
      <c r="A642" s="17">
        <v>639</v>
      </c>
      <c r="B642" s="21" t="s">
        <v>2006</v>
      </c>
      <c r="C642" s="21" t="s">
        <v>735</v>
      </c>
      <c r="D642" s="21" t="s">
        <v>1083</v>
      </c>
      <c r="E642" s="21" t="s">
        <v>910</v>
      </c>
      <c r="F642" s="21" t="s">
        <v>25</v>
      </c>
      <c r="G642" s="21" t="s">
        <v>2033</v>
      </c>
      <c r="H642" s="21" t="s">
        <v>2034</v>
      </c>
      <c r="I642" s="21" t="s">
        <v>24</v>
      </c>
      <c r="J642" s="13" t="str">
        <f t="shared" si="10"/>
        <v>insert into chb_datacheck_condition (CHECKCONDITIONID,CHECKRULEID,CHECKMETHOD,SRCPROPERTY,COMPARETO,OBJVALUE,REMARK,STATUS) values ('W84807E5-DF38-D920-E050-007F112077JG','W84827E5-DF35-D920-E050-007F010077JG','inArray','ASSET_TYPE2','==','1002,1003,1004,1005','当资产/负债类别为本行/他行存款||大额存单时','E');</v>
      </c>
    </row>
    <row r="643" spans="1:10" x14ac:dyDescent="0.25">
      <c r="A643" s="17">
        <v>640</v>
      </c>
      <c r="B643" s="21" t="s">
        <v>2007</v>
      </c>
      <c r="C643" s="21" t="s">
        <v>736</v>
      </c>
      <c r="D643" s="21" t="s">
        <v>1083</v>
      </c>
      <c r="E643" s="21" t="s">
        <v>910</v>
      </c>
      <c r="F643" s="21" t="s">
        <v>25</v>
      </c>
      <c r="G643" s="21" t="s">
        <v>2045</v>
      </c>
      <c r="H643" s="21" t="s">
        <v>2046</v>
      </c>
      <c r="I643" s="21" t="s">
        <v>24</v>
      </c>
      <c r="J643" s="13" t="str">
        <f t="shared" si="10"/>
        <v>insert into chb_datacheck_condition (CHECKCONDITIONID,CHECKRULEID,CHECKMETHOD,SRCPROPERTY,COMPARETO,OBJVALUE,REMARK,STATUS) values ('W84807E5-DF38-D920-E050-007F112077JH','W84827E5-DF35-D920-E050-007F010077JH','inArray','ASSET_TYPE2','==','1901,1902,1107,1108','当资产/负债类别为拆放同业及买入返售/同业拆入及卖出回购时','E');</v>
      </c>
    </row>
    <row r="644" spans="1:10" x14ac:dyDescent="0.25">
      <c r="A644" s="17">
        <v>641</v>
      </c>
      <c r="B644" s="21" t="s">
        <v>2008</v>
      </c>
      <c r="C644" s="21" t="s">
        <v>737</v>
      </c>
      <c r="D644" s="21" t="s">
        <v>1083</v>
      </c>
      <c r="E644" s="21" t="s">
        <v>910</v>
      </c>
      <c r="F644" s="21" t="s">
        <v>25</v>
      </c>
      <c r="G644" s="21" t="s">
        <v>2076</v>
      </c>
      <c r="H644" s="21" t="s">
        <v>2077</v>
      </c>
      <c r="I644" s="21" t="s">
        <v>24</v>
      </c>
      <c r="J644" s="13" t="str">
        <f t="shared" si="10"/>
        <v>insert into chb_datacheck_condition (CHECKCONDITIONID,CHECKRULEID,CHECKMETHOD,SRCPROPERTY,COMPARETO,OBJVALUE,REMARK,STATUS) values ('W84807E5-DF38-D920-E050-007F112077JI','W84827E5-DF35-D920-E050-007F010077JI','inArray','ASSET_TYPE2','==','1202,1203,1204,1205,1206,1207,1208,1209,2201,2202','当资产/负债类别为非标准化债权类资产/新增可投资资产时','E');</v>
      </c>
    </row>
    <row r="645" spans="1:10" x14ac:dyDescent="0.25">
      <c r="A645" s="17">
        <v>642</v>
      </c>
      <c r="B645" s="21" t="s">
        <v>2009</v>
      </c>
      <c r="C645" s="21" t="s">
        <v>737</v>
      </c>
      <c r="D645" s="21" t="s">
        <v>40</v>
      </c>
      <c r="E645" s="21" t="s">
        <v>1032</v>
      </c>
      <c r="F645" s="21" t="s">
        <v>25</v>
      </c>
      <c r="G645" s="21" t="s">
        <v>53</v>
      </c>
      <c r="H645" s="21" t="s">
        <v>2150</v>
      </c>
      <c r="I645" s="21" t="s">
        <v>24</v>
      </c>
      <c r="J645" s="13" t="str">
        <f t="shared" si="10"/>
        <v>insert into chb_datacheck_condition (CHECKCONDITIONID,CHECKRULEID,CHECKMETHOD,SRCPROPERTY,COMPARETO,OBJVALUE,REMARK,STATUS) values ('W84807E5-DF38-D920-E050-107F112077JI','W84827E5-DF35-D920-E050-007F010077JI','compareValue','RATE_FLAG','==','01','“是否有预期收益率”选择“01 是”','E');</v>
      </c>
    </row>
    <row r="646" spans="1:10" x14ac:dyDescent="0.25">
      <c r="A646" s="17">
        <v>643</v>
      </c>
      <c r="B646" s="21" t="s">
        <v>2010</v>
      </c>
      <c r="C646" s="21" t="s">
        <v>738</v>
      </c>
      <c r="D646" s="21" t="s">
        <v>1083</v>
      </c>
      <c r="E646" s="21" t="s">
        <v>910</v>
      </c>
      <c r="F646" s="21" t="s">
        <v>25</v>
      </c>
      <c r="G646" s="21" t="s">
        <v>2188</v>
      </c>
      <c r="H646" s="21" t="s">
        <v>2189</v>
      </c>
      <c r="I646" s="21" t="s">
        <v>24</v>
      </c>
      <c r="J646" s="13" t="str">
        <f t="shared" si="10"/>
        <v>insert into chb_datacheck_condition (CHECKCONDITIONID,CHECKRULEID,CHECKMETHOD,SRCPROPERTY,COMPARETO,OBJVALUE,REMARK,STATUS) values ('W84807E5-DF38-D920-E050-007F112077JJ','W84827E5-DF35-D920-E050-007F010077JJ','inArray','ASSET_TYPE2','==','1201,1210','当资产/负债类别为票据类/信用证类资产时','E');</v>
      </c>
    </row>
    <row r="647" spans="1:10" x14ac:dyDescent="0.25">
      <c r="A647" s="17">
        <v>644</v>
      </c>
      <c r="B647" s="21" t="s">
        <v>2011</v>
      </c>
      <c r="C647" s="21" t="s">
        <v>739</v>
      </c>
      <c r="D647" s="21" t="s">
        <v>1083</v>
      </c>
      <c r="E647" s="21" t="s">
        <v>910</v>
      </c>
      <c r="F647" s="21" t="s">
        <v>25</v>
      </c>
      <c r="G647" s="21" t="s">
        <v>2068</v>
      </c>
      <c r="H647" s="21" t="s">
        <v>2069</v>
      </c>
      <c r="I647" s="21" t="s">
        <v>24</v>
      </c>
      <c r="J647" s="13" t="str">
        <f t="shared" si="10"/>
        <v>insert into chb_datacheck_condition (CHECKCONDITIONID,CHECKRULEID,CHECKMETHOD,SRCPROPERTY,COMPARETO,OBJVALUE,REMARK,STATUS) values ('W84807E5-DF38-D920-E050-007F112077JK','W84827E5-DF35-D920-E050-007F010077JK','inArray','ASSET_TYPE2','==','1501','当资产/负债类别为QDII债券资产时','E');</v>
      </c>
    </row>
    <row r="648" spans="1:10" x14ac:dyDescent="0.25">
      <c r="A648" s="17">
        <v>646</v>
      </c>
      <c r="B648" s="21" t="s">
        <v>2012</v>
      </c>
      <c r="C648" s="21" t="s">
        <v>740</v>
      </c>
      <c r="D648" s="21" t="s">
        <v>1083</v>
      </c>
      <c r="E648" s="21" t="s">
        <v>910</v>
      </c>
      <c r="F648" s="21" t="s">
        <v>25</v>
      </c>
      <c r="G648" s="21" t="s">
        <v>2113</v>
      </c>
      <c r="H648" s="21" t="s">
        <v>2114</v>
      </c>
      <c r="I648" s="21" t="s">
        <v>24</v>
      </c>
      <c r="J648" s="13" t="str">
        <f t="shared" si="10"/>
        <v>insert into chb_datacheck_condition (CHECKCONDITIONID,CHECKRULEID,CHECKMETHOD,SRCPROPERTY,COMPARETO,OBJVALUE,REMARK,STATUS) values ('W84807E5-DF38-D920-E050-007F112077JN','W84827E5-DF35-D920-E050-007F010077JN','inArray','ASSET_TYPE2','==','1299,1399,1599,2299','当资产/负债类别为各类资产的其他项时','E');</v>
      </c>
    </row>
    <row r="649" spans="1:10" x14ac:dyDescent="0.25">
      <c r="A649" s="17">
        <v>647</v>
      </c>
      <c r="B649" s="21" t="s">
        <v>2013</v>
      </c>
      <c r="C649" s="21" t="s">
        <v>740</v>
      </c>
      <c r="D649" s="21" t="s">
        <v>1083</v>
      </c>
      <c r="E649" s="21" t="s">
        <v>1032</v>
      </c>
      <c r="F649" s="21" t="s">
        <v>25</v>
      </c>
      <c r="G649" s="21" t="s">
        <v>53</v>
      </c>
      <c r="H649" s="21" t="s">
        <v>2255</v>
      </c>
      <c r="I649" s="21" t="s">
        <v>24</v>
      </c>
      <c r="J649" s="13" t="str">
        <f t="shared" si="10"/>
        <v>insert into chb_datacheck_condition (CHECKCONDITIONID,CHECKRULEID,CHECKMETHOD,SRCPROPERTY,COMPARETO,OBJVALUE,REMARK,STATUS) values ('W84807E5-DF38-D920-E050-107F112077JN','W84827E5-DF35-D920-E050-007F010077JN','inArray','RATE_FLAG','==','01','是否有预期收益率为是时','E');</v>
      </c>
    </row>
    <row r="650" spans="1:10" x14ac:dyDescent="0.25">
      <c r="A650" s="17">
        <v>648</v>
      </c>
      <c r="B650" s="21" t="s">
        <v>2014</v>
      </c>
      <c r="C650" s="21" t="s">
        <v>741</v>
      </c>
      <c r="D650" s="21" t="s">
        <v>1083</v>
      </c>
      <c r="E650" s="21" t="s">
        <v>1075</v>
      </c>
      <c r="F650" s="21" t="s">
        <v>41</v>
      </c>
      <c r="G650" s="21" t="s">
        <v>2256</v>
      </c>
      <c r="H650" s="21" t="s">
        <v>2257</v>
      </c>
      <c r="I650" s="21" t="s">
        <v>24</v>
      </c>
      <c r="J650" s="13" t="str">
        <f t="shared" si="10"/>
        <v>insert into chb_datacheck_condition (CHECKCONDITIONID,CHECKRULEID,CHECKMETHOD,SRCPROPERTY,COMPARETO,OBJVALUE,REMARK,STATUS) values ('W84807E5-DF38-D920-E050-007F112077JO','W84827E5-DF35-D920-E050-007F010077JO','inArray','ASSET_TYPE','!=','01,02,04,05,08,09,11,13,18,17,14','当资产/负债类别不为现金及银行存款/拆放同业及买入返售/同业拆入及卖出回购/新增可投资资产以及非标准化债权类资产/非标准化债权类投资/QDII债券类资产/QDII结构性票据/另类资产/其他/QDII拆出/逆回购时','E');</v>
      </c>
    </row>
    <row r="651" spans="1:10" x14ac:dyDescent="0.25">
      <c r="A651" s="17">
        <v>649</v>
      </c>
      <c r="B651" s="21" t="s">
        <v>2015</v>
      </c>
      <c r="C651" s="21" t="s">
        <v>742</v>
      </c>
      <c r="D651" s="21" t="s">
        <v>1083</v>
      </c>
      <c r="E651" s="21" t="s">
        <v>910</v>
      </c>
      <c r="F651" s="21" t="s">
        <v>25</v>
      </c>
      <c r="G651" s="21" t="s">
        <v>2056</v>
      </c>
      <c r="H651" s="21" t="s">
        <v>2057</v>
      </c>
      <c r="I651" s="21" t="s">
        <v>24</v>
      </c>
      <c r="J651" s="13" t="str">
        <f t="shared" si="10"/>
        <v>insert into chb_datacheck_condition (CHECKCONDITIONID,CHECKRULEID,CHECKMETHOD,SRCPROPERTY,COMPARETO,OBJVALUE,REMARK,STATUS) values ('W84807E5-DF38-D920-E050-007F112077JP','W84827E5-DF35-D920-E050-007F010077JP','inArray','ASSET_TYPE2','==','1504,1506','当资产/负债类别为QDII拆出/逆回购资产时','E');</v>
      </c>
    </row>
    <row r="652" spans="1:10" x14ac:dyDescent="0.25">
      <c r="A652" s="17">
        <v>650</v>
      </c>
      <c r="B652" s="21" t="s">
        <v>2016</v>
      </c>
      <c r="C652" s="21" t="s">
        <v>743</v>
      </c>
      <c r="D652" s="21" t="s">
        <v>1083</v>
      </c>
      <c r="E652" s="21" t="s">
        <v>910</v>
      </c>
      <c r="F652" s="21" t="s">
        <v>41</v>
      </c>
      <c r="G652" s="21" t="s">
        <v>2253</v>
      </c>
      <c r="H652" s="21" t="s">
        <v>2254</v>
      </c>
      <c r="I652" s="21" t="s">
        <v>24</v>
      </c>
      <c r="J652" s="13" t="str">
        <f t="shared" si="10"/>
        <v>insert into chb_datacheck_condition (CHECKCONDITIONID,CHECKRULEID,CHECKMETHOD,SRCPROPERTY,COMPARETO,OBJVALUE,REMARK,STATUS) values ('W84807E5-DF38-D920-E050-007F112077JQ','W84827E5-DF35-D920-E050-007F010077JQ','inArray','ASSET_TYPE2','!=','1299,1399,1599,2299,1002,1003,1004,1005,1901,1902,1107,1108,1202,1203,1204,1205,1206,1207,1208,1209,2201,2202,1201,1210,1501,1503,2301,2302,2303,2304,2305,1603,1504,1506','当资产负债类别不为现金及银行存款/拆放同业及买入返售/同业拆入及卖出回购/新增可投资资产以及非标准化债权类资产/非标准化债权类投资/QDII债券类资产/QDII结构性票据/另类资产/其他/QDII拆出/逆回购时','E');</v>
      </c>
    </row>
    <row r="653" spans="1:10" x14ac:dyDescent="0.25">
      <c r="A653" s="17">
        <v>651</v>
      </c>
      <c r="B653" s="21" t="s">
        <v>2017</v>
      </c>
      <c r="C653" s="21" t="s">
        <v>744</v>
      </c>
      <c r="D653" s="21" t="s">
        <v>1083</v>
      </c>
      <c r="E653" s="21" t="s">
        <v>910</v>
      </c>
      <c r="F653" s="21" t="s">
        <v>25</v>
      </c>
      <c r="G653" s="21" t="s">
        <v>2076</v>
      </c>
      <c r="H653" s="21" t="s">
        <v>2077</v>
      </c>
      <c r="I653" s="21" t="s">
        <v>24</v>
      </c>
      <c r="J653" s="13" t="str">
        <f t="shared" si="10"/>
        <v>insert into chb_datacheck_condition (CHECKCONDITIONID,CHECKRULEID,CHECKMETHOD,SRCPROPERTY,COMPARETO,OBJVALUE,REMARK,STATUS) values ('W84807E5-DF38-D920-E050-007F112077JR','W84827E5-DF35-D920-E050-007F010077JR','inArray','ASSET_TYPE2','==','1202,1203,1204,1205,1206,1207,1208,1209,2201,2202','当资产/负债类别为非标准化债权类资产/新增可投资资产时','E');</v>
      </c>
    </row>
    <row r="654" spans="1:10" x14ac:dyDescent="0.25">
      <c r="A654" s="17">
        <v>652</v>
      </c>
      <c r="B654" s="21" t="s">
        <v>2018</v>
      </c>
      <c r="C654" s="21" t="s">
        <v>745</v>
      </c>
      <c r="D654" s="21" t="s">
        <v>1083</v>
      </c>
      <c r="E654" s="21" t="s">
        <v>910</v>
      </c>
      <c r="F654" s="21" t="s">
        <v>25</v>
      </c>
      <c r="G654" s="21" t="s">
        <v>2068</v>
      </c>
      <c r="H654" s="21" t="s">
        <v>2069</v>
      </c>
      <c r="I654" s="21" t="s">
        <v>24</v>
      </c>
      <c r="J654" s="13" t="str">
        <f t="shared" si="10"/>
        <v>insert into chb_datacheck_condition (CHECKCONDITIONID,CHECKRULEID,CHECKMETHOD,SRCPROPERTY,COMPARETO,OBJVALUE,REMARK,STATUS) values ('W84807E5-DF38-D920-E050-007F112077JS','W84827E5-DF35-D920-E050-007F010077JS','inArray','ASSET_TYPE2','==','1501','当资产/负债类别为QDII债券资产时','E');</v>
      </c>
    </row>
    <row r="655" spans="1:10" x14ac:dyDescent="0.25">
      <c r="A655" s="17">
        <v>654</v>
      </c>
      <c r="B655" s="21" t="s">
        <v>2019</v>
      </c>
      <c r="C655" s="21" t="s">
        <v>746</v>
      </c>
      <c r="D655" s="21" t="s">
        <v>1083</v>
      </c>
      <c r="E655" s="21" t="s">
        <v>910</v>
      </c>
      <c r="F655" s="21" t="s">
        <v>25</v>
      </c>
      <c r="G655" s="21" t="s">
        <v>2113</v>
      </c>
      <c r="H655" s="21" t="s">
        <v>2114</v>
      </c>
      <c r="I655" s="21" t="s">
        <v>24</v>
      </c>
      <c r="J655" s="13" t="str">
        <f t="shared" si="10"/>
        <v>insert into chb_datacheck_condition (CHECKCONDITIONID,CHECKRULEID,CHECKMETHOD,SRCPROPERTY,COMPARETO,OBJVALUE,REMARK,STATUS) values ('W84807E5-DF38-D920-E050-007F112077JU','W84827E5-DF35-D920-E050-007F010077JU','inArray','ASSET_TYPE2','==','1299,1399,1599,2299','当资产/负债类别为各类资产的其他项时','E');</v>
      </c>
    </row>
    <row r="656" spans="1:10" x14ac:dyDescent="0.25">
      <c r="A656" s="17">
        <v>655</v>
      </c>
      <c r="B656" s="21" t="s">
        <v>2020</v>
      </c>
      <c r="C656" s="21" t="s">
        <v>747</v>
      </c>
      <c r="D656" s="21" t="s">
        <v>1083</v>
      </c>
      <c r="E656" s="21" t="s">
        <v>910</v>
      </c>
      <c r="F656" s="21" t="s">
        <v>41</v>
      </c>
      <c r="G656" s="21" t="s">
        <v>2258</v>
      </c>
      <c r="H656" s="21" t="s">
        <v>2259</v>
      </c>
      <c r="I656" s="21" t="s">
        <v>24</v>
      </c>
      <c r="J656" s="13" t="str">
        <f t="shared" si="10"/>
        <v>insert into chb_datacheck_condition (CHECKCONDITIONID,CHECKRULEID,CHECKMETHOD,SRCPROPERTY,COMPARETO,OBJVALUE,REMARK,STATUS) values ('W84807E5-DF38-D920-E050-007F112077JV','W84827E5-DF35-D920-E050-007F010077JV','inArray','ASSET_TYPE2','!=','1202,1203,1204,1205,1206,1207,1208,1209,2201,2202,1501,1503,1299,1399,1599,2299','当资产/负债类别不是新增可投资资产以及非标准化债权类资产或不是QDII债券类资产/QDII结构性票据/其他时','E');</v>
      </c>
    </row>
    <row r="657" spans="1:10" x14ac:dyDescent="0.25">
      <c r="A657" s="17">
        <v>656</v>
      </c>
      <c r="B657" s="21" t="s">
        <v>748</v>
      </c>
      <c r="C657" s="21" t="s">
        <v>748</v>
      </c>
      <c r="D657" s="21" t="s">
        <v>1083</v>
      </c>
      <c r="E657" s="21" t="s">
        <v>910</v>
      </c>
      <c r="F657" s="21" t="s">
        <v>25</v>
      </c>
      <c r="G657" s="21" t="s">
        <v>2260</v>
      </c>
      <c r="H657" s="21" t="s">
        <v>2261</v>
      </c>
      <c r="I657" s="21" t="s">
        <v>24</v>
      </c>
      <c r="J657" s="13" t="str">
        <f t="shared" si="10"/>
        <v>insert into chb_datacheck_condition (CHECKCONDITIONID,CHECKRULEID,CHECKMETHOD,SRCPROPERTY,COMPARETO,OBJVALUE,REMARK,STATUS) values ('W84827E5-DF35-D920-E050-007F010077JW','W84827E5-DF35-D920-E050-007F010077JW','inArray','ASSET_TYPE2','==','1112,1113,1114,1115,1116,1117','当资产/负债类别为债券类资产时','E');</v>
      </c>
    </row>
    <row r="658" spans="1:10" x14ac:dyDescent="0.25">
      <c r="A658" s="17">
        <v>657</v>
      </c>
      <c r="B658" s="21" t="s">
        <v>2021</v>
      </c>
      <c r="C658" s="21" t="s">
        <v>750</v>
      </c>
      <c r="D658" s="21" t="s">
        <v>1083</v>
      </c>
      <c r="E658" s="21" t="s">
        <v>910</v>
      </c>
      <c r="F658" s="21" t="s">
        <v>41</v>
      </c>
      <c r="G658" s="21" t="s">
        <v>2063</v>
      </c>
      <c r="H658" s="21" t="s">
        <v>2262</v>
      </c>
      <c r="I658" s="21" t="s">
        <v>24</v>
      </c>
      <c r="J658" s="13" t="str">
        <f t="shared" si="10"/>
        <v>insert into chb_datacheck_condition (CHECKCONDITIONID,CHECKRULEID,CHECKMETHOD,SRCPROPERTY,COMPARETO,OBJVALUE,REMARK,STATUS) values ('W84807E5-DF38-D920-E050-007F112077JZ','W84827E5-DF35-D920-E050-007F010077JZ','inArray','ASSET_TYPE2','!=','1101,1110,1109,1102,1111,1112,1113,1114,1115,1116,1117,2101,2501,2502','当资产/负债类别不为债劵时','E');</v>
      </c>
    </row>
    <row r="659" spans="1:10" x14ac:dyDescent="0.25">
      <c r="A659" s="17">
        <v>658</v>
      </c>
      <c r="B659" s="21" t="s">
        <v>2022</v>
      </c>
      <c r="C659" s="21" t="s">
        <v>751</v>
      </c>
      <c r="D659" s="21" t="s">
        <v>1083</v>
      </c>
      <c r="E659" s="21" t="s">
        <v>910</v>
      </c>
      <c r="F659" s="21" t="s">
        <v>41</v>
      </c>
      <c r="G659" s="21" t="s">
        <v>2063</v>
      </c>
      <c r="H659" s="21" t="s">
        <v>2262</v>
      </c>
      <c r="I659" s="21" t="s">
        <v>24</v>
      </c>
      <c r="J659" s="13" t="str">
        <f t="shared" si="10"/>
        <v>insert into chb_datacheck_condition (CHECKCONDITIONID,CHECKRULEID,CHECKMETHOD,SRCPROPERTY,COMPARETO,OBJVALUE,REMARK,STATUS) values ('W84807E5-DF38-D920-E050-007F112077KA','W84827E5-DF35-D920-E050-007F010077KA','inArray','ASSET_TYPE2','!=','1101,1110,1109,1102,1111,1112,1113,1114,1115,1116,1117,2101,2501,2502','当资产/负债类别不为债劵时','E');</v>
      </c>
    </row>
    <row r="660" spans="1:10" x14ac:dyDescent="0.25">
      <c r="A660" s="17">
        <v>659</v>
      </c>
      <c r="B660" s="21" t="s">
        <v>2023</v>
      </c>
      <c r="C660" s="21" t="s">
        <v>752</v>
      </c>
      <c r="D660" s="21" t="s">
        <v>1083</v>
      </c>
      <c r="E660" s="21" t="s">
        <v>910</v>
      </c>
      <c r="F660" s="21" t="s">
        <v>41</v>
      </c>
      <c r="G660" s="21" t="s">
        <v>2063</v>
      </c>
      <c r="H660" s="21" t="s">
        <v>2262</v>
      </c>
      <c r="I660" s="21" t="s">
        <v>24</v>
      </c>
      <c r="J660" s="13" t="str">
        <f t="shared" si="10"/>
        <v>insert into chb_datacheck_condition (CHECKCONDITIONID,CHECKRULEID,CHECKMETHOD,SRCPROPERTY,COMPARETO,OBJVALUE,REMARK,STATUS) values ('W84807E5-DF38-D920-E050-007F112077KB','W84827E5-DF35-D920-E050-007F010077KB','inArray','ASSET_TYPE2','!=','1101,1110,1109,1102,1111,1112,1113,1114,1115,1116,1117,2101,2501,2502','当资产/负债类别不为债劵时','E');</v>
      </c>
    </row>
    <row r="661" spans="1:10" x14ac:dyDescent="0.25">
      <c r="A661" s="17">
        <v>660</v>
      </c>
      <c r="B661" s="21" t="s">
        <v>2024</v>
      </c>
      <c r="C661" s="21" t="s">
        <v>753</v>
      </c>
      <c r="D661" s="21" t="s">
        <v>1083</v>
      </c>
      <c r="E661" s="21" t="s">
        <v>910</v>
      </c>
      <c r="F661" s="21" t="s">
        <v>41</v>
      </c>
      <c r="G661" s="21" t="s">
        <v>2063</v>
      </c>
      <c r="H661" s="21" t="s">
        <v>2262</v>
      </c>
      <c r="I661" s="21" t="s">
        <v>24</v>
      </c>
      <c r="J661" s="13" t="str">
        <f t="shared" si="10"/>
        <v>insert into chb_datacheck_condition (CHECKCONDITIONID,CHECKRULEID,CHECKMETHOD,SRCPROPERTY,COMPARETO,OBJVALUE,REMARK,STATUS) values ('W84807E5-DF38-D920-E050-007F112077KC','W84827E5-DF35-D920-E050-007F010077KC','inArray','ASSET_TYPE2','!=','1101,1110,1109,1102,1111,1112,1113,1114,1115,1116,1117,2101,2501,2502','当资产/负债类别不为债劵时','E');</v>
      </c>
    </row>
    <row r="662" spans="1:10" x14ac:dyDescent="0.25">
      <c r="A662" s="17">
        <v>661</v>
      </c>
      <c r="B662" s="21" t="s">
        <v>2025</v>
      </c>
      <c r="C662" s="21" t="s">
        <v>754</v>
      </c>
      <c r="D662" s="21" t="s">
        <v>1083</v>
      </c>
      <c r="E662" s="21" t="s">
        <v>910</v>
      </c>
      <c r="F662" s="21" t="s">
        <v>41</v>
      </c>
      <c r="G662" s="21" t="s">
        <v>2063</v>
      </c>
      <c r="H662" s="21" t="s">
        <v>2262</v>
      </c>
      <c r="I662" s="21" t="s">
        <v>24</v>
      </c>
      <c r="J662" s="13" t="str">
        <f t="shared" si="10"/>
        <v>insert into chb_datacheck_condition (CHECKCONDITIONID,CHECKRULEID,CHECKMETHOD,SRCPROPERTY,COMPARETO,OBJVALUE,REMARK,STATUS) values ('W84807E5-DF38-D920-E050-007F112077KD','W84827E5-DF35-D920-E050-007F010077KD','inArray','ASSET_TYPE2','!=','1101,1110,1109,1102,1111,1112,1113,1114,1115,1116,1117,2101,2501,2502','当资产/负债类别不为债劵时','E');</v>
      </c>
    </row>
    <row r="663" spans="1:10" x14ac:dyDescent="0.25">
      <c r="A663" s="17">
        <v>662</v>
      </c>
      <c r="B663" s="21" t="s">
        <v>2026</v>
      </c>
      <c r="C663" s="21" t="s">
        <v>755</v>
      </c>
      <c r="D663" s="21" t="s">
        <v>1083</v>
      </c>
      <c r="E663" s="21" t="s">
        <v>910</v>
      </c>
      <c r="F663" s="21" t="s">
        <v>41</v>
      </c>
      <c r="G663" s="21" t="s">
        <v>2263</v>
      </c>
      <c r="H663" s="21" t="s">
        <v>2264</v>
      </c>
      <c r="I663" s="21" t="s">
        <v>24</v>
      </c>
      <c r="J663" s="13" t="str">
        <f t="shared" si="10"/>
        <v>insert into chb_datacheck_condition (CHECKCONDITIONID,CHECKRULEID,CHECKMETHOD,SRCPROPERTY,COMPARETO,OBJVALUE,REMARK,STATUS) values ('W84807E5-DF38-D920-E050-007F112077KE','W84827E5-DF35-D920-E050-007F010077KE','inArray','ASSET_TYPE2','!=','1101,1110,1109,1102,1111,1112,1113,1114,1115,1116,1117,2101,2501,2502,1501','当资产负债类别不为债劵或QDII债券资产时','E');</v>
      </c>
    </row>
    <row r="664" spans="1:10" x14ac:dyDescent="0.25">
      <c r="A664" s="17">
        <v>663</v>
      </c>
      <c r="B664" s="21" t="s">
        <v>2027</v>
      </c>
      <c r="C664" s="21" t="s">
        <v>756</v>
      </c>
      <c r="D664" s="21" t="s">
        <v>1083</v>
      </c>
      <c r="E664" s="21" t="s">
        <v>910</v>
      </c>
      <c r="F664" s="21" t="s">
        <v>41</v>
      </c>
      <c r="G664" s="21" t="s">
        <v>2063</v>
      </c>
      <c r="H664" s="21" t="s">
        <v>2262</v>
      </c>
      <c r="I664" s="21" t="s">
        <v>24</v>
      </c>
      <c r="J664" s="13" t="str">
        <f t="shared" si="10"/>
        <v>insert into chb_datacheck_condition (CHECKCONDITIONID,CHECKRULEID,CHECKMETHOD,SRCPROPERTY,COMPARETO,OBJVALUE,REMARK,STATUS) values ('W84807E5-DF38-D920-E050-007F112077KF','W84827E5-DF35-D920-E050-007F010077KF','inArray','ASSET_TYPE2','!=','1101,1110,1109,1102,1111,1112,1113,1114,1115,1116,1117,2101,2501,2502','当资产/负债类别不为债劵时','E');</v>
      </c>
    </row>
    <row r="665" spans="1:10" x14ac:dyDescent="0.25">
      <c r="A665" s="17">
        <v>664</v>
      </c>
      <c r="B665" s="21" t="s">
        <v>2028</v>
      </c>
      <c r="C665" s="21" t="s">
        <v>757</v>
      </c>
      <c r="D665" s="21" t="s">
        <v>1083</v>
      </c>
      <c r="E665" s="21" t="s">
        <v>910</v>
      </c>
      <c r="F665" s="21" t="s">
        <v>41</v>
      </c>
      <c r="G665" s="21" t="s">
        <v>2063</v>
      </c>
      <c r="H665" s="21" t="s">
        <v>2262</v>
      </c>
      <c r="I665" s="21" t="s">
        <v>24</v>
      </c>
      <c r="J665" s="13" t="str">
        <f t="shared" si="10"/>
        <v>insert into chb_datacheck_condition (CHECKCONDITIONID,CHECKRULEID,CHECKMETHOD,SRCPROPERTY,COMPARETO,OBJVALUE,REMARK,STATUS) values ('W84807E5-DF38-D920-E050-007F112077KG','W84827E5-DF35-D920-E050-007F010077KG','inArray','ASSET_TYPE2','!=','1101,1110,1109,1102,1111,1112,1113,1114,1115,1116,1117,2101,2501,2502','当资产/负债类别不为债劵时','E');</v>
      </c>
    </row>
    <row r="666" spans="1:10" x14ac:dyDescent="0.25">
      <c r="A666" s="17">
        <v>665</v>
      </c>
      <c r="B666" s="21" t="s">
        <v>2029</v>
      </c>
      <c r="C666" s="21" t="s">
        <v>758</v>
      </c>
      <c r="D666" s="21" t="s">
        <v>1083</v>
      </c>
      <c r="E666" s="21" t="s">
        <v>910</v>
      </c>
      <c r="F666" s="21" t="s">
        <v>41</v>
      </c>
      <c r="G666" s="21" t="s">
        <v>2265</v>
      </c>
      <c r="H666" s="21" t="s">
        <v>2266</v>
      </c>
      <c r="I666" s="21" t="s">
        <v>24</v>
      </c>
      <c r="J666" s="13" t="str">
        <f t="shared" si="10"/>
        <v>insert into chb_datacheck_condition (CHECKCONDITIONID,CHECKRULEID,CHECKMETHOD,SRCPROPERTY,COMPARETO,OBJVALUE,REMARK,STATUS) values ('W84807E5-DF38-D920-E050-007F112077KH','W84827E5-DF35-D920-E050-007F010077KH','inArray','ASSET_TYPE2','!=','1901,1902,1107,1108,1504,1506','当资产负债类别不为拆放同业及买入返售/同业拆入及卖出回购/QDII拆出/逆回购时','E');</v>
      </c>
    </row>
    <row r="667" spans="1:10" x14ac:dyDescent="0.25">
      <c r="A667" s="17">
        <v>666</v>
      </c>
      <c r="B667" s="21" t="s">
        <v>2030</v>
      </c>
      <c r="C667" s="21" t="s">
        <v>759</v>
      </c>
      <c r="D667" s="21" t="s">
        <v>1083</v>
      </c>
      <c r="E667" s="21" t="s">
        <v>910</v>
      </c>
      <c r="F667" s="21" t="s">
        <v>25</v>
      </c>
      <c r="G667" s="21" t="s">
        <v>2045</v>
      </c>
      <c r="H667" s="21" t="s">
        <v>2046</v>
      </c>
      <c r="I667" s="21" t="s">
        <v>24</v>
      </c>
      <c r="J667" s="13" t="str">
        <f t="shared" si="10"/>
        <v>insert into chb_datacheck_condition (CHECKCONDITIONID,CHECKRULEID,CHECKMETHOD,SRCPROPERTY,COMPARETO,OBJVALUE,REMARK,STATUS) values ('W84807E5-DF38-D920-E050-007F112077KJ','W84827E5-DF35-D920-E050-007F010077KJ','inArray','ASSET_TYPE2','==','1901,1902,1107,1108','当资产/负债类别为拆放同业及买入返售/同业拆入及卖出回购时','E');</v>
      </c>
    </row>
    <row r="668" spans="1:10" x14ac:dyDescent="0.25">
      <c r="A668" s="17">
        <v>667</v>
      </c>
      <c r="B668" s="21" t="s">
        <v>2031</v>
      </c>
      <c r="C668" s="21" t="s">
        <v>760</v>
      </c>
      <c r="D668" s="21" t="s">
        <v>1083</v>
      </c>
      <c r="E668" s="21" t="s">
        <v>910</v>
      </c>
      <c r="F668" s="21" t="s">
        <v>25</v>
      </c>
      <c r="G668" s="21" t="s">
        <v>2144</v>
      </c>
      <c r="H668" s="21" t="s">
        <v>2079</v>
      </c>
      <c r="I668" s="21" t="s">
        <v>24</v>
      </c>
      <c r="J668" s="13" t="str">
        <f t="shared" si="10"/>
        <v>insert into chb_datacheck_condition (CHECKCONDITIONID,CHECKRULEID,CHECKMETHOD,SRCPROPERTY,COMPARETO,OBJVALUE,REMARK,STATUS) values ('W84807E5-DF67-D920-E050-007F010077FD','W85607E5-DF91-D920-E050-007F010077FD','inArray','ASSET_TYPE2','==','1701,1702,1703,1704,1705,1706','当资产/负债类别为资产管理产品时','E');</v>
      </c>
    </row>
    <row r="669" spans="1:10" x14ac:dyDescent="0.25">
      <c r="A669" s="17">
        <v>668</v>
      </c>
      <c r="B669" s="21" t="s">
        <v>2032</v>
      </c>
      <c r="C669" s="21" t="s">
        <v>761</v>
      </c>
      <c r="D669" s="21" t="s">
        <v>1083</v>
      </c>
      <c r="E669" s="21" t="s">
        <v>910</v>
      </c>
      <c r="F669" s="21" t="s">
        <v>25</v>
      </c>
      <c r="G669" s="21" t="s">
        <v>2144</v>
      </c>
      <c r="H669" s="21" t="s">
        <v>2079</v>
      </c>
      <c r="I669" s="21" t="s">
        <v>24</v>
      </c>
      <c r="J669" s="13" t="str">
        <f t="shared" si="10"/>
        <v>insert into chb_datacheck_condition (CHECKCONDITIONID,CHECKRULEID,CHECKMETHOD,SRCPROPERTY,COMPARETO,OBJVALUE,REMARK,STATUS) values ('W84807E5-DF67-D920-E050-007F010098FD','W85607E5-DF91-D920-E050-007F037077FD','inArray','ASSET_TYPE2','==','1701,1702,1703,1704,1705,1706','当资产/负债类别为资产管理产品时','E');</v>
      </c>
    </row>
    <row r="670" spans="1:10" x14ac:dyDescent="0.25">
      <c r="A670" s="17">
        <v>669</v>
      </c>
      <c r="B670" s="21" t="s">
        <v>1559</v>
      </c>
      <c r="C670" s="21" t="s">
        <v>2286</v>
      </c>
      <c r="D670" s="21" t="s">
        <v>1083</v>
      </c>
      <c r="E670" s="21" t="s">
        <v>910</v>
      </c>
      <c r="F670" s="21" t="s">
        <v>25</v>
      </c>
      <c r="G670" s="21" t="s">
        <v>2068</v>
      </c>
      <c r="H670" s="21" t="s">
        <v>2069</v>
      </c>
      <c r="I670" s="21" t="s">
        <v>24</v>
      </c>
      <c r="J670" s="13" t="str">
        <f t="shared" si="10"/>
        <v>insert into chb_datacheck_condition (CHECKCONDITIONID,CHECKRULEID,CHECKMETHOD,SRCPROPERTY,COMPARETO,OBJVALUE,REMARK,STATUS) values ('W13E4A49-6810-5A9E-E050-007F01006A88','WH3E4A49-6810-5A9E-E050-007F01006A14','inArray','ASSET_TYPE2','==','1501','当资产/负债类别为QDII债券资产时','E');</v>
      </c>
    </row>
    <row r="671" spans="1:10" x14ac:dyDescent="0.25">
      <c r="A671" s="17">
        <v>670</v>
      </c>
      <c r="B671" s="21" t="s">
        <v>1560</v>
      </c>
      <c r="C671" s="21" t="s">
        <v>2273</v>
      </c>
      <c r="D671" s="21" t="s">
        <v>1083</v>
      </c>
      <c r="E671" s="21" t="s">
        <v>910</v>
      </c>
      <c r="F671" s="21" t="s">
        <v>25</v>
      </c>
      <c r="G671" s="21" t="s">
        <v>2068</v>
      </c>
      <c r="H671" s="21" t="s">
        <v>2069</v>
      </c>
      <c r="I671" s="21" t="s">
        <v>24</v>
      </c>
      <c r="J671" s="13" t="str">
        <f t="shared" si="10"/>
        <v>insert into chb_datacheck_condition (CHECKCONDITIONID,CHECKRULEID,CHECKMETHOD,SRCPROPERTY,COMPARETO,OBJVALUE,REMARK,STATUS) values ('W13E4A49-6810-5A9E-E050-007F01006A89','WH3E4A49-6810-5A9E-E050-007F01006A15','inArray','ASSET_TYPE2','==','1501','当资产/负债类别为QDII债券资产时','E');</v>
      </c>
    </row>
    <row r="672" spans="1:10" x14ac:dyDescent="0.25">
      <c r="A672" s="17">
        <v>671</v>
      </c>
      <c r="B672" s="21" t="s">
        <v>1563</v>
      </c>
      <c r="C672" s="21" t="s">
        <v>2277</v>
      </c>
      <c r="D672" s="21" t="s">
        <v>1083</v>
      </c>
      <c r="E672" s="21" t="s">
        <v>910</v>
      </c>
      <c r="F672" s="21" t="s">
        <v>25</v>
      </c>
      <c r="G672" s="21" t="s">
        <v>2068</v>
      </c>
      <c r="H672" s="21" t="s">
        <v>2069</v>
      </c>
      <c r="I672" s="21" t="s">
        <v>24</v>
      </c>
      <c r="J672" s="13" t="str">
        <f t="shared" si="10"/>
        <v>insert into chb_datacheck_condition (CHECKCONDITIONID,CHECKRULEID,CHECKMETHOD,SRCPROPERTY,COMPARETO,OBJVALUE,REMARK,STATUS) values ('W13E4A49-6810-5A9E-E050-007F01006A93','WH3E4A49-6810-5A9E-E050-007F01006A19','inArray','ASSET_TYPE2','==','1501','当资产/负债类别为QDII债券资产时','E');</v>
      </c>
    </row>
    <row r="673" spans="1:10" x14ac:dyDescent="0.25">
      <c r="A673" s="17">
        <v>672</v>
      </c>
      <c r="B673" s="21" t="s">
        <v>1564</v>
      </c>
      <c r="C673" s="21" t="s">
        <v>2288</v>
      </c>
      <c r="D673" s="21" t="s">
        <v>1083</v>
      </c>
      <c r="E673" s="21" t="s">
        <v>910</v>
      </c>
      <c r="F673" s="21" t="s">
        <v>25</v>
      </c>
      <c r="G673" s="21" t="s">
        <v>2081</v>
      </c>
      <c r="H673" s="21" t="s">
        <v>2082</v>
      </c>
      <c r="I673" s="21" t="s">
        <v>24</v>
      </c>
      <c r="J673" s="13" t="str">
        <f t="shared" si="10"/>
        <v>insert into chb_datacheck_condition (CHECKCONDITIONID,CHECKRULEID,CHECKMETHOD,SRCPROPERTY,COMPARETO,OBJVALUE,REMARK,STATUS) values ('W13E4A49-6810-5A9E-E050-007F01006A94','WH3E4A49-6810-5A9E-E050-007F01006A20','inArray','ASSET_TYPE2','==','1503','当资产/负债类别为QDII结构性票据类资产时','E');</v>
      </c>
    </row>
    <row r="674" spans="1:10" x14ac:dyDescent="0.25">
      <c r="A674" s="17">
        <v>673</v>
      </c>
      <c r="B674" s="21" t="s">
        <v>1565</v>
      </c>
      <c r="C674" s="21" t="s">
        <v>2278</v>
      </c>
      <c r="D674" s="21" t="s">
        <v>1083</v>
      </c>
      <c r="E674" s="21" t="s">
        <v>910</v>
      </c>
      <c r="F674" s="21" t="s">
        <v>25</v>
      </c>
      <c r="G674" s="21" t="s">
        <v>2081</v>
      </c>
      <c r="H674" s="21" t="s">
        <v>2082</v>
      </c>
      <c r="I674" s="21" t="s">
        <v>24</v>
      </c>
      <c r="J674" s="13" t="str">
        <f t="shared" si="10"/>
        <v>insert into chb_datacheck_condition (CHECKCONDITIONID,CHECKRULEID,CHECKMETHOD,SRCPROPERTY,COMPARETO,OBJVALUE,REMARK,STATUS) values ('W13E4A49-6810-5A9E-E050-007F01006A95','WH3E4A49-6810-5A9E-E050-007F01006A21','inArray','ASSET_TYPE2','==','1503','当资产/负债类别为QDII结构性票据类资产时','E');</v>
      </c>
    </row>
    <row r="675" spans="1:10" x14ac:dyDescent="0.25">
      <c r="A675" s="17">
        <v>674</v>
      </c>
      <c r="B675" s="21" t="s">
        <v>1566</v>
      </c>
      <c r="C675" s="21" t="s">
        <v>2289</v>
      </c>
      <c r="D675" s="21" t="s">
        <v>1083</v>
      </c>
      <c r="E675" s="21" t="s">
        <v>910</v>
      </c>
      <c r="F675" s="21" t="s">
        <v>25</v>
      </c>
      <c r="G675" s="21" t="s">
        <v>2081</v>
      </c>
      <c r="H675" s="21" t="s">
        <v>2082</v>
      </c>
      <c r="I675" s="21" t="s">
        <v>24</v>
      </c>
      <c r="J675" s="13" t="str">
        <f t="shared" si="10"/>
        <v>insert into chb_datacheck_condition (CHECKCONDITIONID,CHECKRULEID,CHECKMETHOD,SRCPROPERTY,COMPARETO,OBJVALUE,REMARK,STATUS) values ('W13E4A49-6810-5A9E-E050-007F01006A96','WH3E4A49-6810-5A9E-E050-007F01006A22','inArray','ASSET_TYPE2','==','1503','当资产/负债类别为QDII结构性票据类资产时','E');</v>
      </c>
    </row>
    <row r="676" spans="1:10" x14ac:dyDescent="0.25">
      <c r="A676" s="17">
        <v>675</v>
      </c>
      <c r="B676" s="21" t="s">
        <v>1567</v>
      </c>
      <c r="C676" s="21" t="s">
        <v>2303</v>
      </c>
      <c r="D676" s="21" t="s">
        <v>1083</v>
      </c>
      <c r="E676" s="21" t="s">
        <v>910</v>
      </c>
      <c r="F676" s="21" t="s">
        <v>25</v>
      </c>
      <c r="G676" s="21" t="s">
        <v>2081</v>
      </c>
      <c r="H676" s="21" t="s">
        <v>2082</v>
      </c>
      <c r="I676" s="21" t="s">
        <v>24</v>
      </c>
      <c r="J676" s="13" t="str">
        <f t="shared" si="10"/>
        <v>insert into chb_datacheck_condition (CHECKCONDITIONID,CHECKRULEID,CHECKMETHOD,SRCPROPERTY,COMPARETO,OBJVALUE,REMARK,STATUS) values ('W13E4A49-6810-5A9E-E050-007F01006A97','WH3E4A49-6810-5A9E-E050-007F01006A23','inArray','ASSET_TYPE2','==','1503','当资产/负债类别为QDII结构性票据类资产时','E');</v>
      </c>
    </row>
    <row r="677" spans="1:10" x14ac:dyDescent="0.25">
      <c r="A677" s="17">
        <v>676</v>
      </c>
      <c r="B677" s="21" t="s">
        <v>1568</v>
      </c>
      <c r="C677" s="21" t="s">
        <v>2304</v>
      </c>
      <c r="D677" s="21" t="s">
        <v>1083</v>
      </c>
      <c r="E677" s="21" t="s">
        <v>910</v>
      </c>
      <c r="F677" s="21" t="s">
        <v>25</v>
      </c>
      <c r="G677" s="21" t="s">
        <v>2081</v>
      </c>
      <c r="H677" s="21" t="s">
        <v>2082</v>
      </c>
      <c r="I677" s="21" t="s">
        <v>24</v>
      </c>
      <c r="J677" s="13" t="str">
        <f t="shared" si="10"/>
        <v>insert into chb_datacheck_condition (CHECKCONDITIONID,CHECKRULEID,CHECKMETHOD,SRCPROPERTY,COMPARETO,OBJVALUE,REMARK,STATUS) values ('W13E4A49-6810-5A9E-E050-007F01006A98','WH3E4A49-6810-5A9E-E050-007F01006A24','inArray','ASSET_TYPE2','==','1503','当资产/负债类别为QDII结构性票据类资产时','E');</v>
      </c>
    </row>
    <row r="678" spans="1:10" x14ac:dyDescent="0.25">
      <c r="A678" s="17">
        <v>677</v>
      </c>
      <c r="B678" s="21" t="s">
        <v>1569</v>
      </c>
      <c r="C678" s="21" t="s">
        <v>2305</v>
      </c>
      <c r="D678" s="21" t="s">
        <v>1083</v>
      </c>
      <c r="E678" s="21" t="s">
        <v>910</v>
      </c>
      <c r="F678" s="21" t="s">
        <v>25</v>
      </c>
      <c r="G678" s="21" t="s">
        <v>2081</v>
      </c>
      <c r="H678" s="21" t="s">
        <v>2082</v>
      </c>
      <c r="I678" s="21" t="s">
        <v>24</v>
      </c>
      <c r="J678" s="13" t="str">
        <f t="shared" si="10"/>
        <v>insert into chb_datacheck_condition (CHECKCONDITIONID,CHECKRULEID,CHECKMETHOD,SRCPROPERTY,COMPARETO,OBJVALUE,REMARK,STATUS) values ('W13E4A49-6810-5A9E-E050-007F01006A99','WH3E4A49-6810-5A9E-E050-007F01006A25','inArray','ASSET_TYPE2','==','1503','当资产/负债类别为QDII结构性票据类资产时','E');</v>
      </c>
    </row>
    <row r="679" spans="1:10" x14ac:dyDescent="0.25">
      <c r="A679" s="17">
        <v>678</v>
      </c>
      <c r="B679" s="21" t="s">
        <v>1570</v>
      </c>
      <c r="C679" s="21" t="s">
        <v>2306</v>
      </c>
      <c r="D679" s="21" t="s">
        <v>1083</v>
      </c>
      <c r="E679" s="21" t="s">
        <v>910</v>
      </c>
      <c r="F679" s="21" t="s">
        <v>25</v>
      </c>
      <c r="G679" s="21" t="s">
        <v>2081</v>
      </c>
      <c r="H679" s="21" t="s">
        <v>2082</v>
      </c>
      <c r="I679" s="21" t="s">
        <v>24</v>
      </c>
      <c r="J679" s="13" t="str">
        <f t="shared" si="10"/>
        <v>insert into chb_datacheck_condition (CHECKCONDITIONID,CHECKRULEID,CHECKMETHOD,SRCPROPERTY,COMPARETO,OBJVALUE,REMARK,STATUS) values ('W33E4A49-6810-5A9E-E050-007F01006A00','WH3E4A49-6810-5A9E-E050-007F01006A26','inArray','ASSET_TYPE2','==','1503','当资产/负债类别为QDII结构性票据类资产时','E');</v>
      </c>
    </row>
    <row r="680" spans="1:10" x14ac:dyDescent="0.25">
      <c r="A680" s="17">
        <v>679</v>
      </c>
      <c r="B680" s="21" t="s">
        <v>1571</v>
      </c>
      <c r="C680" s="21" t="s">
        <v>2307</v>
      </c>
      <c r="D680" s="21" t="s">
        <v>1083</v>
      </c>
      <c r="E680" s="21" t="s">
        <v>910</v>
      </c>
      <c r="F680" s="21" t="s">
        <v>25</v>
      </c>
      <c r="G680" s="21" t="s">
        <v>2081</v>
      </c>
      <c r="H680" s="21" t="s">
        <v>2082</v>
      </c>
      <c r="I680" s="21" t="s">
        <v>24</v>
      </c>
      <c r="J680" s="13" t="str">
        <f t="shared" si="10"/>
        <v>insert into chb_datacheck_condition (CHECKCONDITIONID,CHECKRULEID,CHECKMETHOD,SRCPROPERTY,COMPARETO,OBJVALUE,REMARK,STATUS) values ('W33E4A49-6810-5A9E-E050-007F01006A01','WH3E4A49-6810-5A9E-E050-007F01006A27','inArray','ASSET_TYPE2','==','1503','当资产/负债类别为QDII结构性票据类资产时','E');</v>
      </c>
    </row>
    <row r="681" spans="1:10" x14ac:dyDescent="0.25">
      <c r="A681" s="17">
        <v>680</v>
      </c>
      <c r="B681" s="21" t="s">
        <v>1572</v>
      </c>
      <c r="C681" s="21" t="s">
        <v>2308</v>
      </c>
      <c r="D681" s="21" t="s">
        <v>1083</v>
      </c>
      <c r="E681" s="21" t="s">
        <v>910</v>
      </c>
      <c r="F681" s="21" t="s">
        <v>25</v>
      </c>
      <c r="G681" s="21" t="s">
        <v>2081</v>
      </c>
      <c r="H681" s="21" t="s">
        <v>2082</v>
      </c>
      <c r="I681" s="21" t="s">
        <v>24</v>
      </c>
      <c r="J681" s="13" t="str">
        <f t="shared" si="10"/>
        <v>insert into chb_datacheck_condition (CHECKCONDITIONID,CHECKRULEID,CHECKMETHOD,SRCPROPERTY,COMPARETO,OBJVALUE,REMARK,STATUS) values ('W33E4A49-6810-5A9E-E050-007F01006A02','WH3E4A49-6810-5A9E-E050-007F01006A28','inArray','ASSET_TYPE2','==','1503','当资产/负债类别为QDII结构性票据类资产时','E');</v>
      </c>
    </row>
    <row r="682" spans="1:10" x14ac:dyDescent="0.25">
      <c r="A682" s="17">
        <v>681</v>
      </c>
      <c r="B682" s="21" t="s">
        <v>1573</v>
      </c>
      <c r="C682" s="21" t="s">
        <v>2309</v>
      </c>
      <c r="D682" s="21" t="s">
        <v>1083</v>
      </c>
      <c r="E682" s="21" t="s">
        <v>910</v>
      </c>
      <c r="F682" s="21" t="s">
        <v>25</v>
      </c>
      <c r="G682" s="21" t="s">
        <v>2081</v>
      </c>
      <c r="H682" s="21" t="s">
        <v>2082</v>
      </c>
      <c r="I682" s="21" t="s">
        <v>24</v>
      </c>
      <c r="J682" s="13" t="str">
        <f t="shared" si="10"/>
        <v>insert into chb_datacheck_condition (CHECKCONDITIONID,CHECKRULEID,CHECKMETHOD,SRCPROPERTY,COMPARETO,OBJVALUE,REMARK,STATUS) values ('W33E4A49-6810-5A9E-E050-007F01006A03','WH3E4A49-6810-5A9E-E050-007F01006A29','inArray','ASSET_TYPE2','==','1503','当资产/负债类别为QDII结构性票据类资产时','E');</v>
      </c>
    </row>
    <row r="683" spans="1:10" x14ac:dyDescent="0.25">
      <c r="A683" s="17">
        <v>682</v>
      </c>
      <c r="B683" s="21" t="s">
        <v>1578</v>
      </c>
      <c r="C683" s="21" t="s">
        <v>2310</v>
      </c>
      <c r="D683" s="21" t="s">
        <v>1083</v>
      </c>
      <c r="E683" s="21" t="s">
        <v>910</v>
      </c>
      <c r="F683" s="21" t="s">
        <v>25</v>
      </c>
      <c r="G683" s="21" t="s">
        <v>2081</v>
      </c>
      <c r="H683" s="21" t="s">
        <v>2082</v>
      </c>
      <c r="I683" s="21" t="s">
        <v>24</v>
      </c>
      <c r="J683" s="13" t="str">
        <f t="shared" si="10"/>
        <v>insert into chb_datacheck_condition (CHECKCONDITIONID,CHECKRULEID,CHECKMETHOD,SRCPROPERTY,COMPARETO,OBJVALUE,REMARK,STATUS) values ('W33E4A49-6810-5A9E-E050-007F01006A08','WH3E4A49-6810-5A9E-E050-007F01006A34','inArray','ASSET_TYPE2','==','1503','当资产/负债类别为QDII结构性票据类资产时','E');</v>
      </c>
    </row>
    <row r="684" spans="1:10" x14ac:dyDescent="0.25">
      <c r="A684" s="17">
        <v>683</v>
      </c>
      <c r="B684" s="21" t="s">
        <v>1586</v>
      </c>
      <c r="C684" s="21" t="s">
        <v>2311</v>
      </c>
      <c r="D684" s="21" t="s">
        <v>1083</v>
      </c>
      <c r="E684" s="21" t="s">
        <v>910</v>
      </c>
      <c r="F684" s="21" t="s">
        <v>25</v>
      </c>
      <c r="G684" s="21" t="s">
        <v>2081</v>
      </c>
      <c r="H684" s="21" t="s">
        <v>2082</v>
      </c>
      <c r="I684" s="21" t="s">
        <v>24</v>
      </c>
      <c r="J684" s="13" t="str">
        <f t="shared" si="10"/>
        <v>insert into chb_datacheck_condition (CHECKCONDITIONID,CHECKRULEID,CHECKMETHOD,SRCPROPERTY,COMPARETO,OBJVALUE,REMARK,STATUS) values ('W33E4A49-6810-5A9E-E050-007F01006A16','WH3E4A49-6810-5A9E-E050-007F01006A42','inArray','ASSET_TYPE2','==','1503','当资产/负债类别为QDII结构性票据类资产时','E');</v>
      </c>
    </row>
    <row r="685" spans="1:10" x14ac:dyDescent="0.25">
      <c r="A685" s="17">
        <v>684</v>
      </c>
      <c r="B685" s="21" t="s">
        <v>1587</v>
      </c>
      <c r="C685" s="21" t="s">
        <v>2312</v>
      </c>
      <c r="D685" s="21" t="s">
        <v>1083</v>
      </c>
      <c r="E685" s="21" t="s">
        <v>910</v>
      </c>
      <c r="F685" s="21" t="s">
        <v>25</v>
      </c>
      <c r="G685" s="21" t="s">
        <v>2081</v>
      </c>
      <c r="H685" s="21" t="s">
        <v>2082</v>
      </c>
      <c r="I685" s="21" t="s">
        <v>24</v>
      </c>
      <c r="J685" s="13" t="str">
        <f t="shared" si="10"/>
        <v>insert into chb_datacheck_condition (CHECKCONDITIONID,CHECKRULEID,CHECKMETHOD,SRCPROPERTY,COMPARETO,OBJVALUE,REMARK,STATUS) values ('W33E4A49-6810-5A9E-E050-007F01006A17','WH3E4A49-6810-5A9E-E050-007F01006A43','inArray','ASSET_TYPE2','==','1503','当资产/负债类别为QDII结构性票据类资产时','E');</v>
      </c>
    </row>
    <row r="686" spans="1:10" x14ac:dyDescent="0.25">
      <c r="A686" s="17">
        <v>685</v>
      </c>
      <c r="B686" s="21" t="s">
        <v>1588</v>
      </c>
      <c r="C686" s="21" t="s">
        <v>2313</v>
      </c>
      <c r="D686" s="21" t="s">
        <v>1083</v>
      </c>
      <c r="E686" s="21" t="s">
        <v>910</v>
      </c>
      <c r="F686" s="21" t="s">
        <v>25</v>
      </c>
      <c r="G686" s="21" t="s">
        <v>2081</v>
      </c>
      <c r="H686" s="21" t="s">
        <v>2082</v>
      </c>
      <c r="I686" s="21" t="s">
        <v>24</v>
      </c>
      <c r="J686" s="13" t="str">
        <f t="shared" si="10"/>
        <v>insert into chb_datacheck_condition (CHECKCONDITIONID,CHECKRULEID,CHECKMETHOD,SRCPROPERTY,COMPARETO,OBJVALUE,REMARK,STATUS) values ('W33E4A49-6810-5A9E-E050-007F01006A18','WH3E4A49-6810-5A9E-E050-007F01006A44','inArray','ASSET_TYPE2','==','1503','当资产/负债类别为QDII结构性票据类资产时','E');</v>
      </c>
    </row>
    <row r="687" spans="1:10" x14ac:dyDescent="0.25">
      <c r="A687" s="17">
        <v>686</v>
      </c>
      <c r="B687" s="21" t="s">
        <v>1589</v>
      </c>
      <c r="C687" s="21" t="s">
        <v>2314</v>
      </c>
      <c r="D687" s="21" t="s">
        <v>1083</v>
      </c>
      <c r="E687" s="21" t="s">
        <v>910</v>
      </c>
      <c r="F687" s="21" t="s">
        <v>25</v>
      </c>
      <c r="G687" s="21" t="s">
        <v>2081</v>
      </c>
      <c r="H687" s="21" t="s">
        <v>2082</v>
      </c>
      <c r="I687" s="21" t="s">
        <v>24</v>
      </c>
      <c r="J687" s="13" t="str">
        <f t="shared" si="10"/>
        <v>insert into chb_datacheck_condition (CHECKCONDITIONID,CHECKRULEID,CHECKMETHOD,SRCPROPERTY,COMPARETO,OBJVALUE,REMARK,STATUS) values ('W33E4A49-6810-5A9E-E050-007F01006A19','WH3E4A49-6810-5A9E-E050-007F01006A45','inArray','ASSET_TYPE2','==','1503','当资产/负债类别为QDII结构性票据类资产时','E');</v>
      </c>
    </row>
    <row r="688" spans="1:10" x14ac:dyDescent="0.25">
      <c r="A688" s="17">
        <v>687</v>
      </c>
      <c r="B688" s="21" t="s">
        <v>1590</v>
      </c>
      <c r="C688" s="21" t="s">
        <v>2315</v>
      </c>
      <c r="D688" s="21" t="s">
        <v>1083</v>
      </c>
      <c r="E688" s="21" t="s">
        <v>910</v>
      </c>
      <c r="F688" s="21" t="s">
        <v>25</v>
      </c>
      <c r="G688" s="21" t="s">
        <v>2081</v>
      </c>
      <c r="H688" s="21" t="s">
        <v>2082</v>
      </c>
      <c r="I688" s="21" t="s">
        <v>24</v>
      </c>
      <c r="J688" s="13" t="str">
        <f t="shared" si="10"/>
        <v>insert into chb_datacheck_condition (CHECKCONDITIONID,CHECKRULEID,CHECKMETHOD,SRCPROPERTY,COMPARETO,OBJVALUE,REMARK,STATUS) values ('W33E4A49-6810-5A9E-E050-007F01006A20','WH3E4A49-6810-5A9E-E050-007F01006A46','inArray','ASSET_TYPE2','==','1503','当资产/负债类别为QDII结构性票据类资产时','E');</v>
      </c>
    </row>
    <row r="689" spans="1:10" x14ac:dyDescent="0.25">
      <c r="A689" s="17">
        <v>688</v>
      </c>
      <c r="B689" s="21" t="s">
        <v>1591</v>
      </c>
      <c r="C689" s="21" t="s">
        <v>2316</v>
      </c>
      <c r="D689" s="21" t="s">
        <v>1083</v>
      </c>
      <c r="E689" s="21" t="s">
        <v>910</v>
      </c>
      <c r="F689" s="21" t="s">
        <v>25</v>
      </c>
      <c r="G689" s="21" t="s">
        <v>2081</v>
      </c>
      <c r="H689" s="21" t="s">
        <v>2082</v>
      </c>
      <c r="I689" s="21" t="s">
        <v>24</v>
      </c>
      <c r="J689" s="13" t="str">
        <f t="shared" si="10"/>
        <v>insert into chb_datacheck_condition (CHECKCONDITIONID,CHECKRULEID,CHECKMETHOD,SRCPROPERTY,COMPARETO,OBJVALUE,REMARK,STATUS) values ('W33E4A49-6810-5A9E-E050-007F01006A21','WH3E4A49-6810-5A9E-E050-007F01006A47','inArray','ASSET_TYPE2','==','1503','当资产/负债类别为QDII结构性票据类资产时','E');</v>
      </c>
    </row>
    <row r="690" spans="1:10" x14ac:dyDescent="0.25">
      <c r="A690" s="17">
        <v>689</v>
      </c>
      <c r="B690" s="21" t="s">
        <v>1592</v>
      </c>
      <c r="C690" s="21" t="s">
        <v>2282</v>
      </c>
      <c r="D690" s="21" t="s">
        <v>1083</v>
      </c>
      <c r="E690" s="21" t="s">
        <v>910</v>
      </c>
      <c r="F690" s="21" t="s">
        <v>25</v>
      </c>
      <c r="G690" s="21" t="s">
        <v>2083</v>
      </c>
      <c r="H690" s="21" t="s">
        <v>2084</v>
      </c>
      <c r="I690" s="21" t="s">
        <v>24</v>
      </c>
      <c r="J690" s="13" t="str">
        <f t="shared" si="10"/>
        <v>insert into chb_datacheck_condition (CHECKCONDITIONID,CHECKRULEID,CHECKMETHOD,SRCPROPERTY,COMPARETO,OBJVALUE,REMARK,STATUS) values ('W33E4A49-6810-5A9E-E050-007F01006A24','WH3E4A49-6810-5A9E-E050-007F01006A49','inArray','ASSET_TYPE2','==','1401,1402,1403,1404,1405,1406,1499','当资产/负债类别为金融衍生品时','E');</v>
      </c>
    </row>
    <row r="691" spans="1:10" x14ac:dyDescent="0.25">
      <c r="A691" s="17">
        <v>690</v>
      </c>
      <c r="B691" s="21" t="s">
        <v>1593</v>
      </c>
      <c r="C691" s="21" t="s">
        <v>2317</v>
      </c>
      <c r="D691" s="21" t="s">
        <v>1083</v>
      </c>
      <c r="E691" s="21" t="s">
        <v>910</v>
      </c>
      <c r="F691" s="21" t="s">
        <v>25</v>
      </c>
      <c r="G691" s="21" t="s">
        <v>2083</v>
      </c>
      <c r="H691" s="21" t="s">
        <v>2084</v>
      </c>
      <c r="I691" s="21" t="s">
        <v>24</v>
      </c>
      <c r="J691" s="13" t="str">
        <f t="shared" si="10"/>
        <v>insert into chb_datacheck_condition (CHECKCONDITIONID,CHECKRULEID,CHECKMETHOD,SRCPROPERTY,COMPARETO,OBJVALUE,REMARK,STATUS) values ('W33E4A49-6810-5A9E-E050-007F01006A25','WH3E4A49-6810-5A9E-E050-007F01006A50','inArray','ASSET_TYPE2','==','1401,1402,1403,1404,1405,1406,1499','当资产/负债类别为金融衍生品时','E');</v>
      </c>
    </row>
    <row r="692" spans="1:10" x14ac:dyDescent="0.25">
      <c r="A692" s="17">
        <v>691</v>
      </c>
      <c r="B692" s="21" t="s">
        <v>1594</v>
      </c>
      <c r="C692" s="21" t="s">
        <v>2318</v>
      </c>
      <c r="D692" s="21" t="s">
        <v>1083</v>
      </c>
      <c r="E692" s="21" t="s">
        <v>910</v>
      </c>
      <c r="F692" s="21" t="s">
        <v>25</v>
      </c>
      <c r="G692" s="21" t="s">
        <v>2083</v>
      </c>
      <c r="H692" s="21" t="s">
        <v>2084</v>
      </c>
      <c r="I692" s="21" t="s">
        <v>24</v>
      </c>
      <c r="J692" s="13" t="str">
        <f t="shared" si="10"/>
        <v>insert into chb_datacheck_condition (CHECKCONDITIONID,CHECKRULEID,CHECKMETHOD,SRCPROPERTY,COMPARETO,OBJVALUE,REMARK,STATUS) values ('W33E4A49-6810-5A9E-E050-007F01006A26','WH3E4A49-6810-5A9E-E050-007F01006A51','inArray','ASSET_TYPE2','==','1401,1402,1403,1404,1405,1406,1499','当资产/负债类别为金融衍生品时','E');</v>
      </c>
    </row>
    <row r="693" spans="1:10" x14ac:dyDescent="0.25">
      <c r="A693" s="17">
        <v>692</v>
      </c>
      <c r="B693" s="21" t="s">
        <v>1595</v>
      </c>
      <c r="C693" s="21" t="s">
        <v>2319</v>
      </c>
      <c r="D693" s="21" t="s">
        <v>1083</v>
      </c>
      <c r="E693" s="21" t="s">
        <v>910</v>
      </c>
      <c r="F693" s="21" t="s">
        <v>25</v>
      </c>
      <c r="G693" s="21" t="s">
        <v>2083</v>
      </c>
      <c r="H693" s="21" t="s">
        <v>2084</v>
      </c>
      <c r="I693" s="21" t="s">
        <v>24</v>
      </c>
      <c r="J693" s="13" t="str">
        <f t="shared" si="10"/>
        <v>insert into chb_datacheck_condition (CHECKCONDITIONID,CHECKRULEID,CHECKMETHOD,SRCPROPERTY,COMPARETO,OBJVALUE,REMARK,STATUS) values ('W33E4A49-6810-5A9E-E050-007F01006A27','WH3E4A49-6810-5A9E-E050-007F01006A52','inArray','ASSET_TYPE2','==','1401,1402,1403,1404,1405,1406,1499','当资产/负债类别为金融衍生品时','E');</v>
      </c>
    </row>
    <row r="694" spans="1:10" x14ac:dyDescent="0.25">
      <c r="A694" s="17">
        <v>693</v>
      </c>
      <c r="B694" s="21" t="s">
        <v>1596</v>
      </c>
      <c r="C694" s="21" t="s">
        <v>2320</v>
      </c>
      <c r="D694" s="21" t="s">
        <v>1083</v>
      </c>
      <c r="E694" s="21" t="s">
        <v>910</v>
      </c>
      <c r="F694" s="21" t="s">
        <v>25</v>
      </c>
      <c r="G694" s="21" t="s">
        <v>2085</v>
      </c>
      <c r="H694" s="21" t="s">
        <v>2086</v>
      </c>
      <c r="I694" s="21" t="s">
        <v>24</v>
      </c>
      <c r="J694" s="13" t="str">
        <f t="shared" si="10"/>
        <v>insert into chb_datacheck_condition (CHECKCONDITIONID,CHECKRULEID,CHECKMETHOD,SRCPROPERTY,COMPARETO,OBJVALUE,REMARK,STATUS) values ('W33E4A49-6810-5A9E-E050-007F01006A30','WH3E4A49-6810-5A9E-E050-007F01006A54','inArray','ASSET_TYPE2','==','2301,2302,2303,2304,2305,1603','当资产/负债类别为另类资产时','E');</v>
      </c>
    </row>
    <row r="695" spans="1:10" x14ac:dyDescent="0.25">
      <c r="A695" s="17">
        <v>694</v>
      </c>
      <c r="B695" s="21" t="s">
        <v>1597</v>
      </c>
      <c r="C695" s="21" t="s">
        <v>2321</v>
      </c>
      <c r="D695" s="21" t="s">
        <v>1083</v>
      </c>
      <c r="E695" s="21" t="s">
        <v>910</v>
      </c>
      <c r="F695" s="21" t="s">
        <v>25</v>
      </c>
      <c r="G695" s="21" t="s">
        <v>2085</v>
      </c>
      <c r="H695" s="21" t="s">
        <v>2086</v>
      </c>
      <c r="I695" s="21" t="s">
        <v>24</v>
      </c>
      <c r="J695" s="13" t="str">
        <f t="shared" si="10"/>
        <v>insert into chb_datacheck_condition (CHECKCONDITIONID,CHECKRULEID,CHECKMETHOD,SRCPROPERTY,COMPARETO,OBJVALUE,REMARK,STATUS) values ('W33E4A49-6810-5A9E-E050-007F01006A31','WH3E4A49-6810-5A9E-E050-007F01006A55','inArray','ASSET_TYPE2','==','2301,2302,2303,2304,2305,1603','当资产/负债类别为另类资产时','E');</v>
      </c>
    </row>
    <row r="696" spans="1:10" x14ac:dyDescent="0.25">
      <c r="A696" s="17">
        <v>695</v>
      </c>
      <c r="B696" s="21" t="s">
        <v>1598</v>
      </c>
      <c r="C696" s="21" t="s">
        <v>2322</v>
      </c>
      <c r="D696" s="21" t="s">
        <v>1083</v>
      </c>
      <c r="E696" s="21" t="s">
        <v>910</v>
      </c>
      <c r="F696" s="21" t="s">
        <v>25</v>
      </c>
      <c r="G696" s="21" t="s">
        <v>2085</v>
      </c>
      <c r="H696" s="21" t="s">
        <v>2086</v>
      </c>
      <c r="I696" s="21" t="s">
        <v>24</v>
      </c>
      <c r="J696" s="13" t="str">
        <f t="shared" si="10"/>
        <v>insert into chb_datacheck_condition (CHECKCONDITIONID,CHECKRULEID,CHECKMETHOD,SRCPROPERTY,COMPARETO,OBJVALUE,REMARK,STATUS) values ('W33E4A49-6810-5A9E-E050-007F01006A32','WH3E4A49-6810-5A9E-E050-007F01006A56','inArray','ASSET_TYPE2','==','2301,2302,2303,2304,2305,1603','当资产/负债类别为另类资产时','E');</v>
      </c>
    </row>
    <row r="697" spans="1:10" x14ac:dyDescent="0.25">
      <c r="A697" s="17">
        <v>696</v>
      </c>
      <c r="B697" s="21" t="s">
        <v>1599</v>
      </c>
      <c r="C697" s="21" t="s">
        <v>2323</v>
      </c>
      <c r="D697" s="21" t="s">
        <v>1083</v>
      </c>
      <c r="E697" s="21" t="s">
        <v>910</v>
      </c>
      <c r="F697" s="21" t="s">
        <v>25</v>
      </c>
      <c r="G697" s="21" t="s">
        <v>2085</v>
      </c>
      <c r="H697" s="21" t="s">
        <v>2086</v>
      </c>
      <c r="I697" s="21" t="s">
        <v>24</v>
      </c>
      <c r="J697" s="13" t="str">
        <f t="shared" si="10"/>
        <v>insert into chb_datacheck_condition (CHECKCONDITIONID,CHECKRULEID,CHECKMETHOD,SRCPROPERTY,COMPARETO,OBJVALUE,REMARK,STATUS) values ('W33E4A49-6810-5A9E-E050-007F01006A33','WH3E4A49-6810-5A9E-E050-007F01006A57','inArray','ASSET_TYPE2','==','2301,2302,2303,2304,2305,1603','当资产/负债类别为另类资产时','E');</v>
      </c>
    </row>
    <row r="698" spans="1:10" x14ac:dyDescent="0.25">
      <c r="A698" s="17">
        <v>697</v>
      </c>
      <c r="B698" s="21" t="s">
        <v>1600</v>
      </c>
      <c r="C698" s="21" t="s">
        <v>2324</v>
      </c>
      <c r="D698" s="21" t="s">
        <v>1083</v>
      </c>
      <c r="E698" s="21" t="s">
        <v>910</v>
      </c>
      <c r="F698" s="21" t="s">
        <v>25</v>
      </c>
      <c r="G698" s="21" t="s">
        <v>2085</v>
      </c>
      <c r="H698" s="21" t="s">
        <v>2086</v>
      </c>
      <c r="I698" s="21" t="s">
        <v>24</v>
      </c>
      <c r="J698" s="13" t="str">
        <f t="shared" ref="J698:J704" si="11">CONCATENATE("insert into chb_datacheck_condition (CHECKCONDITIONID,CHECKRULEID,CHECKMETHOD,SRCPROPERTY,COMPARETO,OBJVALUE,REMARK,STATUS) values ('",B698,"','",C698,"','",D698,"','",E698,"','",F698,"','",G698,"','",H698,"','",I698,"');")</f>
        <v>insert into chb_datacheck_condition (CHECKCONDITIONID,CHECKRULEID,CHECKMETHOD,SRCPROPERTY,COMPARETO,OBJVALUE,REMARK,STATUS) values ('W33E4A49-6810-5A9E-E050-007F01006A34','WH3E4A49-6810-5A9E-E050-007F01006A58','inArray','ASSET_TYPE2','==','2301,2302,2303,2304,2305,1603','当资产/负债类别为另类资产时','E');</v>
      </c>
    </row>
    <row r="699" spans="1:10" x14ac:dyDescent="0.25">
      <c r="A699" s="17">
        <v>698</v>
      </c>
      <c r="B699" s="21" t="s">
        <v>1601</v>
      </c>
      <c r="C699" s="21" t="s">
        <v>2325</v>
      </c>
      <c r="D699" s="21" t="s">
        <v>1083</v>
      </c>
      <c r="E699" s="21" t="s">
        <v>910</v>
      </c>
      <c r="F699" s="21" t="s">
        <v>25</v>
      </c>
      <c r="G699" s="21" t="s">
        <v>2085</v>
      </c>
      <c r="H699" s="21" t="s">
        <v>2086</v>
      </c>
      <c r="I699" s="21" t="s">
        <v>24</v>
      </c>
      <c r="J699" s="13" t="str">
        <f t="shared" si="11"/>
        <v>insert into chb_datacheck_condition (CHECKCONDITIONID,CHECKRULEID,CHECKMETHOD,SRCPROPERTY,COMPARETO,OBJVALUE,REMARK,STATUS) values ('W33E4A49-6810-5A9E-E050-007F01006A35','WH3E4A49-6810-5A9E-E050-007F01006A59','inArray','ASSET_TYPE2','==','2301,2302,2303,2304,2305,1603','当资产/负债类别为另类资产时','E');</v>
      </c>
    </row>
    <row r="700" spans="1:10" x14ac:dyDescent="0.25">
      <c r="A700" s="17">
        <v>699</v>
      </c>
      <c r="B700" s="21" t="s">
        <v>1609</v>
      </c>
      <c r="C700" s="21" t="s">
        <v>2326</v>
      </c>
      <c r="D700" s="21" t="s">
        <v>1083</v>
      </c>
      <c r="E700" s="21" t="s">
        <v>910</v>
      </c>
      <c r="F700" s="21" t="s">
        <v>25</v>
      </c>
      <c r="G700" s="21" t="s">
        <v>2087</v>
      </c>
      <c r="H700" s="21" t="s">
        <v>2088</v>
      </c>
      <c r="I700" s="21" t="s">
        <v>24</v>
      </c>
      <c r="J700" s="13" t="str">
        <f t="shared" si="11"/>
        <v>insert into chb_datacheck_condition (CHECKCONDITIONID,CHECKRULEID,CHECKMETHOD,SRCPROPERTY,COMPARETO,OBJVALUE,REMARK,STATUS) values ('W33E4A49-6810-5A9E-E050-007F01006A47','WH3E4A49-6810-5A9E-E050-007F01006A69','inArray','ASSET_TYPE2','==','1601,1602,1699','当资产/负债类别为商品类资产时','E');</v>
      </c>
    </row>
    <row r="701" spans="1:10" x14ac:dyDescent="0.25">
      <c r="A701" s="17">
        <v>700</v>
      </c>
      <c r="B701" s="21" t="s">
        <v>2427</v>
      </c>
      <c r="C701" s="21" t="s">
        <v>2327</v>
      </c>
      <c r="D701" s="21" t="s">
        <v>1083</v>
      </c>
      <c r="E701" s="21" t="s">
        <v>910</v>
      </c>
      <c r="F701" s="21" t="s">
        <v>25</v>
      </c>
      <c r="G701" s="21" t="s">
        <v>2095</v>
      </c>
      <c r="H701" s="21" t="s">
        <v>2096</v>
      </c>
      <c r="I701" s="21" t="s">
        <v>24</v>
      </c>
      <c r="J701" s="13" t="str">
        <f t="shared" si="11"/>
        <v>insert into chb_datacheck_condition (CHECKCONDITIONID,CHECKRULEID,CHECKMETHOD,SRCPROPERTY,COMPARETO,OBJVALUE,REMARK,STATUS) values ('W33E4A49-6810-5A9E-E050-007F01006A76','WH3E4A49-6810-5A9E-E050-007F01006A97','inArray','ASSET_TYPE2','==','2610','资产/负债类别为：2610 并购基金时','E');</v>
      </c>
    </row>
    <row r="702" spans="1:10" x14ac:dyDescent="0.25">
      <c r="A702" s="17">
        <v>701</v>
      </c>
      <c r="B702" s="21" t="s">
        <v>2328</v>
      </c>
      <c r="C702" s="21" t="s">
        <v>2329</v>
      </c>
      <c r="D702" s="21" t="s">
        <v>1083</v>
      </c>
      <c r="E702" s="21" t="s">
        <v>910</v>
      </c>
      <c r="F702" s="21" t="s">
        <v>25</v>
      </c>
      <c r="G702" s="21" t="s">
        <v>2076</v>
      </c>
      <c r="H702" s="21" t="s">
        <v>2077</v>
      </c>
      <c r="I702" s="21" t="s">
        <v>24</v>
      </c>
      <c r="J702" s="13" t="str">
        <f t="shared" si="11"/>
        <v>insert into chb_datacheck_condition (CHECKCONDITIONID,CHECKRULEID,CHECKMETHOD,SRCPROPERTY,COMPARETO,OBJVALUE,REMARK,STATUS) values ('WH4807E5-DF45-D920-E050-007F010077FD','WH4807E5-DF43-D920-E050-007F010077FD','inArray','ASSET_TYPE2','==','1202,1203,1204,1205,1206,1207,1208,1209,2201,2202','当资产/负债类别为非标准化债权类资产/新增可投资资产时','E');</v>
      </c>
    </row>
    <row r="703" spans="1:10" s="36" customFormat="1" x14ac:dyDescent="0.25">
      <c r="A703" s="17">
        <v>702</v>
      </c>
      <c r="B703" s="31" t="s">
        <v>2425</v>
      </c>
      <c r="C703" s="31" t="s">
        <v>2428</v>
      </c>
      <c r="D703" s="31" t="s">
        <v>1083</v>
      </c>
      <c r="E703" s="31" t="s">
        <v>910</v>
      </c>
      <c r="F703" s="31" t="s">
        <v>25</v>
      </c>
      <c r="G703" s="31" t="s">
        <v>2068</v>
      </c>
      <c r="H703" s="31" t="s">
        <v>2069</v>
      </c>
      <c r="I703" s="31" t="s">
        <v>24</v>
      </c>
      <c r="J703" s="34" t="str">
        <f t="shared" si="11"/>
        <v>insert into chb_datacheck_condition (CHECKCONDITIONID,CHECKRULEID,CHECKMETHOD,SRCPROPERTY,COMPARETO,OBJVALUE,REMARK,STATUS) values ('We294A49-6813-5A9E-E050-107F01006B27','We294A49-6813-5A9E-E050-107F01006B27','inArray','ASSET_TYPE2','==','1501','当资产/负债类别为QDII债券资产时','E');</v>
      </c>
    </row>
    <row r="704" spans="1:10" s="36" customFormat="1" x14ac:dyDescent="0.25">
      <c r="A704" s="17">
        <v>703</v>
      </c>
      <c r="B704" s="31" t="s">
        <v>2426</v>
      </c>
      <c r="C704" s="31" t="s">
        <v>2426</v>
      </c>
      <c r="D704" s="31" t="s">
        <v>1083</v>
      </c>
      <c r="E704" s="31" t="s">
        <v>910</v>
      </c>
      <c r="F704" s="31" t="s">
        <v>25</v>
      </c>
      <c r="G704" s="31" t="s">
        <v>2063</v>
      </c>
      <c r="H704" s="31" t="s">
        <v>2064</v>
      </c>
      <c r="I704" s="31" t="s">
        <v>24</v>
      </c>
      <c r="J704" s="34" t="str">
        <f t="shared" si="11"/>
        <v>insert into chb_datacheck_condition (CHECKCONDITIONID,CHECKRULEID,CHECKMETHOD,SRCPROPERTY,COMPARETO,OBJVALUE,REMARK,STATUS) values ('We294A49-6813-5A9E-E050-107F01006B28','We294A49-6813-5A9E-E050-107F01006B28','inArray','ASSET_TYPE2','==','1101,1110,1109,1102,1111,1112,1113,1114,1115,1116,1117,2101,2501,2502','当资产/负债类别为债券类资产/理财直接融资工具/同业存单时','E');</v>
      </c>
    </row>
    <row r="705" spans="1:10" s="36" customFormat="1" x14ac:dyDescent="0.25">
      <c r="A705" s="17">
        <v>704</v>
      </c>
      <c r="B705" s="31" t="s">
        <v>2430</v>
      </c>
      <c r="C705" s="31" t="s">
        <v>2455</v>
      </c>
      <c r="D705" s="31" t="s">
        <v>1083</v>
      </c>
      <c r="E705" s="31" t="s">
        <v>910</v>
      </c>
      <c r="F705" s="31" t="s">
        <v>25</v>
      </c>
      <c r="G705" s="31" t="s">
        <v>2053</v>
      </c>
      <c r="H705" s="31" t="s">
        <v>2054</v>
      </c>
      <c r="I705" s="31" t="s">
        <v>24</v>
      </c>
      <c r="J705" s="34" t="str">
        <f>CONCATENATE("insert into chb_datacheck_condition (CHECKCONDITIONID,CHECKRULEID,CHECKMETHOD,SRCPROPERTY,COMPARETO,OBJVALUE,REMARK,STATUS) values ('",B705,"','",C705,"','",D705,"','",E705,"','",F705,"','",G705,"','",H705,"','",I705,"');")</f>
        <v>insert into chb_datacheck_condition (CHECKCONDITIONID,CHECKRULEID,CHECKMETHOD,SRCPROPERTY,COMPARETO,OBJVALUE,REMARK,STATUS) values ('We294A49-6813-5A9E-E050-107F01006B29','We294A49-6813-5A9E-E050-107F01006B29','inArray','ASSET_TYPE2','==','1502,1505,1507,1508,1509','当资产/负债类别为QDII股票/基金类时','E');</v>
      </c>
    </row>
    <row r="706" spans="1:10" s="36" customFormat="1" x14ac:dyDescent="0.25">
      <c r="A706" s="17">
        <v>705</v>
      </c>
      <c r="B706" s="31" t="s">
        <v>2431</v>
      </c>
      <c r="C706" s="31" t="s">
        <v>2431</v>
      </c>
      <c r="D706" s="31" t="s">
        <v>1083</v>
      </c>
      <c r="E706" s="31" t="s">
        <v>910</v>
      </c>
      <c r="F706" s="31" t="s">
        <v>25</v>
      </c>
      <c r="G706" s="31" t="s">
        <v>2053</v>
      </c>
      <c r="H706" s="31" t="s">
        <v>2054</v>
      </c>
      <c r="I706" s="31" t="s">
        <v>24</v>
      </c>
      <c r="J706" s="34" t="str">
        <f t="shared" ref="J706:J719" si="12">CONCATENATE("insert into chb_datacheck_condition (CHECKCONDITIONID,CHECKRULEID,CHECKMETHOD,SRCPROPERTY,COMPARETO,OBJVALUE,REMARK,STATUS) values ('",B706,"','",C706,"','",D706,"','",E706,"','",F706,"','",G706,"','",H706,"','",I706,"');")</f>
        <v>insert into chb_datacheck_condition (CHECKCONDITIONID,CHECKRULEID,CHECKMETHOD,SRCPROPERTY,COMPARETO,OBJVALUE,REMARK,STATUS) values ('We294A49-6813-5A9E-E050-107F01006B30','We294A49-6813-5A9E-E050-107F01006B30','inArray','ASSET_TYPE2','==','1502,1505,1507,1508,1509','当资产/负债类别为QDII股票/基金类时','E');</v>
      </c>
    </row>
    <row r="707" spans="1:10" s="36" customFormat="1" x14ac:dyDescent="0.25">
      <c r="A707" s="17">
        <v>706</v>
      </c>
      <c r="B707" s="31" t="s">
        <v>2432</v>
      </c>
      <c r="C707" s="31" t="s">
        <v>2432</v>
      </c>
      <c r="D707" s="31" t="s">
        <v>1083</v>
      </c>
      <c r="E707" s="31" t="s">
        <v>910</v>
      </c>
      <c r="F707" s="31" t="s">
        <v>25</v>
      </c>
      <c r="G707" s="31" t="s">
        <v>2065</v>
      </c>
      <c r="H707" s="31" t="s">
        <v>2066</v>
      </c>
      <c r="I707" s="31" t="s">
        <v>24</v>
      </c>
      <c r="J707" s="34" t="str">
        <f t="shared" si="12"/>
        <v>insert into chb_datacheck_condition (CHECKCONDITIONID,CHECKRULEID,CHECKMETHOD,SRCPROPERTY,COMPARETO,OBJVALUE,REMARK,STATUS) values ('We294A49-6813-5A9E-E050-107F01006B31','We294A49-6813-5A9E-E050-107F01006B31','inArray','ASSET_TYPE2','==','1106,1303,2401,2402,2403,2499,2601,2602,2604,2605,2606,2607,2610,2611,2612,2613,2614,2616,2617,2618,2619,2620,2699','当资产/负债类别为公募/私募基金时','E');</v>
      </c>
    </row>
    <row r="708" spans="1:10" s="36" customFormat="1" x14ac:dyDescent="0.25">
      <c r="A708" s="17">
        <v>707</v>
      </c>
      <c r="B708" s="31" t="s">
        <v>2433</v>
      </c>
      <c r="C708" s="31" t="s">
        <v>2433</v>
      </c>
      <c r="D708" s="31" t="s">
        <v>1083</v>
      </c>
      <c r="E708" s="31" t="s">
        <v>910</v>
      </c>
      <c r="F708" s="31" t="s">
        <v>25</v>
      </c>
      <c r="G708" s="31" t="s">
        <v>2065</v>
      </c>
      <c r="H708" s="31" t="s">
        <v>2066</v>
      </c>
      <c r="I708" s="31" t="s">
        <v>24</v>
      </c>
      <c r="J708" s="34" t="str">
        <f t="shared" si="12"/>
        <v>insert into chb_datacheck_condition (CHECKCONDITIONID,CHECKRULEID,CHECKMETHOD,SRCPROPERTY,COMPARETO,OBJVALUE,REMARK,STATUS) values ('We294A49-6813-5A9E-E050-107F01006B32','We294A49-6813-5A9E-E050-107F01006B32','inArray','ASSET_TYPE2','==','1106,1303,2401,2402,2403,2499,2601,2602,2604,2605,2606,2607,2610,2611,2612,2613,2614,2616,2617,2618,2619,2620,2699','当资产/负债类别为公募/私募基金时','E');</v>
      </c>
    </row>
    <row r="709" spans="1:10" s="36" customFormat="1" x14ac:dyDescent="0.25">
      <c r="A709" s="17">
        <v>708</v>
      </c>
      <c r="B709" s="31" t="s">
        <v>2434</v>
      </c>
      <c r="C709" s="31" t="s">
        <v>2434</v>
      </c>
      <c r="D709" s="31" t="s">
        <v>1083</v>
      </c>
      <c r="E709" s="31" t="s">
        <v>910</v>
      </c>
      <c r="F709" s="31" t="s">
        <v>25</v>
      </c>
      <c r="G709" s="31" t="s">
        <v>2080</v>
      </c>
      <c r="H709" s="31" t="s">
        <v>2067</v>
      </c>
      <c r="I709" s="31" t="s">
        <v>24</v>
      </c>
      <c r="J709" s="34" t="str">
        <f t="shared" si="12"/>
        <v>insert into chb_datacheck_condition (CHECKCONDITIONID,CHECKRULEID,CHECKMETHOD,SRCPROPERTY,COMPARETO,OBJVALUE,REMARK,STATUS) values ('We294A49-6813-5A9E-E050-107F01006B33','We294A49-6813-5A9E-E050-107F01006B33','inArray','ASSET_TYPE2','==','1301,1302,1305','当资产/负债类别为权益类资产时','E');</v>
      </c>
    </row>
    <row r="710" spans="1:10" s="36" customFormat="1" x14ac:dyDescent="0.25">
      <c r="A710" s="17">
        <v>709</v>
      </c>
      <c r="B710" s="31" t="s">
        <v>2435</v>
      </c>
      <c r="C710" s="31" t="s">
        <v>2435</v>
      </c>
      <c r="D710" s="31" t="s">
        <v>1083</v>
      </c>
      <c r="E710" s="31" t="s">
        <v>910</v>
      </c>
      <c r="F710" s="31" t="s">
        <v>25</v>
      </c>
      <c r="G710" s="31" t="s">
        <v>2080</v>
      </c>
      <c r="H710" s="31" t="s">
        <v>2067</v>
      </c>
      <c r="I710" s="31" t="s">
        <v>24</v>
      </c>
      <c r="J710" s="34" t="str">
        <f t="shared" si="12"/>
        <v>insert into chb_datacheck_condition (CHECKCONDITIONID,CHECKRULEID,CHECKMETHOD,SRCPROPERTY,COMPARETO,OBJVALUE,REMARK,STATUS) values ('We294A49-6813-5A9E-E050-107F01006B34','We294A49-6813-5A9E-E050-107F01006B34','inArray','ASSET_TYPE2','==','1301,1302,1305','当资产/负债类别为权益类资产时','E');</v>
      </c>
    </row>
    <row r="711" spans="1:10" s="36" customFormat="1" x14ac:dyDescent="0.25">
      <c r="A711" s="17">
        <v>710</v>
      </c>
      <c r="B711" s="31" t="s">
        <v>2436</v>
      </c>
      <c r="C711" s="31" t="s">
        <v>2436</v>
      </c>
      <c r="D711" s="31" t="s">
        <v>1083</v>
      </c>
      <c r="E711" s="31" t="s">
        <v>910</v>
      </c>
      <c r="F711" s="31" t="s">
        <v>25</v>
      </c>
      <c r="G711" s="31" t="s">
        <v>2188</v>
      </c>
      <c r="H711" s="31" t="s">
        <v>2189</v>
      </c>
      <c r="I711" s="31" t="s">
        <v>24</v>
      </c>
      <c r="J711" s="34" t="str">
        <f t="shared" si="12"/>
        <v>insert into chb_datacheck_condition (CHECKCONDITIONID,CHECKRULEID,CHECKMETHOD,SRCPROPERTY,COMPARETO,OBJVALUE,REMARK,STATUS) values ('We294A49-6813-5A9E-E050-107F01006B35','We294A49-6813-5A9E-E050-107F01006B35','inArray','ASSET_TYPE2','==','1201,1210','当资产/负债类别为票据类/信用证类资产时','E');</v>
      </c>
    </row>
    <row r="712" spans="1:10" s="36" customFormat="1" x14ac:dyDescent="0.25">
      <c r="A712" s="17">
        <v>711</v>
      </c>
      <c r="B712" s="31" t="s">
        <v>2437</v>
      </c>
      <c r="C712" s="31" t="s">
        <v>2437</v>
      </c>
      <c r="D712" s="31" t="s">
        <v>1083</v>
      </c>
      <c r="E712" s="31" t="s">
        <v>910</v>
      </c>
      <c r="F712" s="31" t="s">
        <v>25</v>
      </c>
      <c r="G712" s="31" t="s">
        <v>2188</v>
      </c>
      <c r="H712" s="31" t="s">
        <v>2189</v>
      </c>
      <c r="I712" s="31" t="s">
        <v>24</v>
      </c>
      <c r="J712" s="34" t="str">
        <f t="shared" si="12"/>
        <v>insert into chb_datacheck_condition (CHECKCONDITIONID,CHECKRULEID,CHECKMETHOD,SRCPROPERTY,COMPARETO,OBJVALUE,REMARK,STATUS) values ('We294A49-6813-5A9E-E050-107F01006B36','We294A49-6813-5A9E-E050-107F01006B36','inArray','ASSET_TYPE2','==','1201,1210','当资产/负债类别为票据类/信用证类资产时','E');</v>
      </c>
    </row>
    <row r="713" spans="1:10" s="36" customFormat="1" x14ac:dyDescent="0.25">
      <c r="A713" s="17">
        <v>712</v>
      </c>
      <c r="B713" s="31" t="s">
        <v>2438</v>
      </c>
      <c r="C713" s="31" t="s">
        <v>2438</v>
      </c>
      <c r="D713" s="31" t="s">
        <v>1083</v>
      </c>
      <c r="E713" s="31" t="s">
        <v>910</v>
      </c>
      <c r="F713" s="31" t="s">
        <v>25</v>
      </c>
      <c r="G713" s="31" t="s">
        <v>2113</v>
      </c>
      <c r="H713" s="31" t="s">
        <v>2114</v>
      </c>
      <c r="I713" s="31" t="s">
        <v>24</v>
      </c>
      <c r="J713" s="34" t="str">
        <f>CONCATENATE("insert into chb_datacheck_condition (CHECKCONDITIONID,CHECKRULEID,CHECKMETHOD,SRCPROPERTY,COMPARETO,OBJVALUE,REMARK,STATUS) values ('",B713,"','",C713,"','",D713,"','",E713,"','",F713,"','",G713,"','",H713,"','",I713,"');")</f>
        <v>insert into chb_datacheck_condition (CHECKCONDITIONID,CHECKRULEID,CHECKMETHOD,SRCPROPERTY,COMPARETO,OBJVALUE,REMARK,STATUS) values ('We294A49-6813-5A9E-E050-107F01006B37','We294A49-6813-5A9E-E050-107F01006B37','inArray','ASSET_TYPE2','==','1299,1399,1599,2299','当资产/负债类别为各类资产的其他项时','E');</v>
      </c>
    </row>
    <row r="714" spans="1:10" s="36" customFormat="1" x14ac:dyDescent="0.25">
      <c r="A714" s="17">
        <v>713</v>
      </c>
      <c r="B714" s="31" t="s">
        <v>2439</v>
      </c>
      <c r="C714" s="31" t="s">
        <v>2439</v>
      </c>
      <c r="D714" s="31" t="s">
        <v>1083</v>
      </c>
      <c r="E714" s="31" t="s">
        <v>910</v>
      </c>
      <c r="F714" s="31" t="s">
        <v>25</v>
      </c>
      <c r="G714" s="31" t="s">
        <v>2113</v>
      </c>
      <c r="H714" s="31" t="s">
        <v>2114</v>
      </c>
      <c r="I714" s="31" t="s">
        <v>24</v>
      </c>
      <c r="J714" s="34" t="str">
        <f t="shared" si="12"/>
        <v>insert into chb_datacheck_condition (CHECKCONDITIONID,CHECKRULEID,CHECKMETHOD,SRCPROPERTY,COMPARETO,OBJVALUE,REMARK,STATUS) values ('We294A49-6813-5A9E-E050-107F01006B38','We294A49-6813-5A9E-E050-107F01006B38','inArray','ASSET_TYPE2','==','1299,1399,1599,2299','当资产/负债类别为各类资产的其他项时','E');</v>
      </c>
    </row>
    <row r="715" spans="1:10" s="36" customFormat="1" x14ac:dyDescent="0.25">
      <c r="A715" s="17">
        <v>714</v>
      </c>
      <c r="B715" s="31" t="s">
        <v>2440</v>
      </c>
      <c r="C715" s="31" t="s">
        <v>2440</v>
      </c>
      <c r="D715" s="31" t="s">
        <v>1083</v>
      </c>
      <c r="E715" s="31" t="s">
        <v>910</v>
      </c>
      <c r="F715" s="31" t="s">
        <v>25</v>
      </c>
      <c r="G715" s="31" t="s">
        <v>2076</v>
      </c>
      <c r="H715" s="31" t="s">
        <v>2077</v>
      </c>
      <c r="I715" s="31" t="s">
        <v>24</v>
      </c>
      <c r="J715" s="34" t="str">
        <f t="shared" si="12"/>
        <v>insert into chb_datacheck_condition (CHECKCONDITIONID,CHECKRULEID,CHECKMETHOD,SRCPROPERTY,COMPARETO,OBJVALUE,REMARK,STATUS) values ('We294A49-6813-5A9E-E050-107F01006B39','We294A49-6813-5A9E-E050-107F01006B39','inArray','ASSET_TYPE2','==','1202,1203,1204,1205,1206,1207,1208,1209,2201,2202','当资产/负债类别为非标准化债权类资产/新增可投资资产时','E');</v>
      </c>
    </row>
    <row r="716" spans="1:10" s="36" customFormat="1" x14ac:dyDescent="0.25">
      <c r="A716" s="17">
        <v>715</v>
      </c>
      <c r="B716" s="31" t="s">
        <v>2441</v>
      </c>
      <c r="C716" s="31" t="s">
        <v>2441</v>
      </c>
      <c r="D716" s="31" t="s">
        <v>1083</v>
      </c>
      <c r="E716" s="31" t="s">
        <v>910</v>
      </c>
      <c r="F716" s="31" t="s">
        <v>25</v>
      </c>
      <c r="G716" s="31" t="s">
        <v>2076</v>
      </c>
      <c r="H716" s="31" t="s">
        <v>2077</v>
      </c>
      <c r="I716" s="31" t="s">
        <v>24</v>
      </c>
      <c r="J716" s="34" t="str">
        <f t="shared" si="12"/>
        <v>insert into chb_datacheck_condition (CHECKCONDITIONID,CHECKRULEID,CHECKMETHOD,SRCPROPERTY,COMPARETO,OBJVALUE,REMARK,STATUS) values ('We294A49-6813-5A9E-E050-107F01006B40','We294A49-6813-5A9E-E050-107F01006B40','inArray','ASSET_TYPE2','==','1202,1203,1204,1205,1206,1207,1208,1209,2201,2202','当资产/负债类别为非标准化债权类资产/新增可投资资产时','E');</v>
      </c>
    </row>
    <row r="717" spans="1:10" s="36" customFormat="1" x14ac:dyDescent="0.25">
      <c r="A717" s="17">
        <v>716</v>
      </c>
      <c r="B717" s="31" t="s">
        <v>2451</v>
      </c>
      <c r="C717" s="31" t="s">
        <v>2451</v>
      </c>
      <c r="D717" s="31" t="s">
        <v>1083</v>
      </c>
      <c r="E717" s="31" t="s">
        <v>910</v>
      </c>
      <c r="F717" s="31" t="s">
        <v>25</v>
      </c>
      <c r="G717" s="31" t="s">
        <v>2113</v>
      </c>
      <c r="H717" s="31" t="s">
        <v>2114</v>
      </c>
      <c r="I717" s="31" t="s">
        <v>24</v>
      </c>
      <c r="J717" s="34" t="str">
        <f t="shared" si="12"/>
        <v>insert into chb_datacheck_condition (CHECKCONDITIONID,CHECKRULEID,CHECKMETHOD,SRCPROPERTY,COMPARETO,OBJVALUE,REMARK,STATUS) values ('We294A49-6813-5A9E-E050-107F01006B41','We294A49-6813-5A9E-E050-107F01006B41','inArray','ASSET_TYPE2','==','1299,1399,1599,2299','当资产/负债类别为各类资产的其他项时','E');</v>
      </c>
    </row>
    <row r="718" spans="1:10" s="36" customFormat="1" x14ac:dyDescent="0.25">
      <c r="A718" s="17">
        <v>717</v>
      </c>
      <c r="B718" s="31" t="s">
        <v>2452</v>
      </c>
      <c r="C718" s="31" t="s">
        <v>2452</v>
      </c>
      <c r="D718" s="31" t="s">
        <v>1083</v>
      </c>
      <c r="E718" s="31" t="s">
        <v>910</v>
      </c>
      <c r="F718" s="31" t="s">
        <v>25</v>
      </c>
      <c r="G718" s="31" t="s">
        <v>2113</v>
      </c>
      <c r="H718" s="31" t="s">
        <v>2114</v>
      </c>
      <c r="I718" s="31" t="s">
        <v>24</v>
      </c>
      <c r="J718" s="34" t="str">
        <f t="shared" si="12"/>
        <v>insert into chb_datacheck_condition (CHECKCONDITIONID,CHECKRULEID,CHECKMETHOD,SRCPROPERTY,COMPARETO,OBJVALUE,REMARK,STATUS) values ('We294A49-6813-5A9E-E050-107F01006B42','We294A49-6813-5A9E-E050-107F01006B42','inArray','ASSET_TYPE2','==','1299,1399,1599,2299','当资产/负债类别为各类资产的其他项时','E');</v>
      </c>
    </row>
    <row r="719" spans="1:10" s="36" customFormat="1" x14ac:dyDescent="0.25">
      <c r="A719" s="17">
        <v>718</v>
      </c>
      <c r="B719" s="31" t="s">
        <v>2453</v>
      </c>
      <c r="C719" s="31" t="s">
        <v>2453</v>
      </c>
      <c r="D719" s="31" t="s">
        <v>1083</v>
      </c>
      <c r="E719" s="31" t="s">
        <v>910</v>
      </c>
      <c r="F719" s="31" t="s">
        <v>25</v>
      </c>
      <c r="G719" s="31" t="s">
        <v>2076</v>
      </c>
      <c r="H719" s="31" t="s">
        <v>2077</v>
      </c>
      <c r="I719" s="31" t="s">
        <v>24</v>
      </c>
      <c r="J719" s="34" t="str">
        <f t="shared" si="12"/>
        <v>insert into chb_datacheck_condition (CHECKCONDITIONID,CHECKRULEID,CHECKMETHOD,SRCPROPERTY,COMPARETO,OBJVALUE,REMARK,STATUS) values ('We294A49-6813-5A9E-E050-107F01006B43','We294A49-6813-5A9E-E050-107F01006B43','inArray','ASSET_TYPE2','==','1202,1203,1204,1205,1206,1207,1208,1209,2201,2202','当资产/负债类别为非标准化债权类资产/新增可投资资产时','E');</v>
      </c>
    </row>
    <row r="720" spans="1:10" s="36" customFormat="1" x14ac:dyDescent="0.25">
      <c r="A720" s="17">
        <v>719</v>
      </c>
      <c r="B720" s="31" t="s">
        <v>2454</v>
      </c>
      <c r="C720" s="31" t="s">
        <v>2454</v>
      </c>
      <c r="D720" s="31" t="s">
        <v>1083</v>
      </c>
      <c r="E720" s="31" t="s">
        <v>910</v>
      </c>
      <c r="F720" s="31" t="s">
        <v>25</v>
      </c>
      <c r="G720" s="31" t="s">
        <v>2076</v>
      </c>
      <c r="H720" s="31" t="s">
        <v>2077</v>
      </c>
      <c r="I720" s="31" t="s">
        <v>24</v>
      </c>
      <c r="J720" s="34" t="str">
        <f>CONCATENATE("insert into chb_datacheck_condition (CHECKCONDITIONID,CHECKRULEID,CHECKMETHOD,SRCPROPERTY,COMPARETO,OBJVALUE,REMARK,STATUS) values ('",B720,"','",C720,"','",D720,"','",E720,"','",F720,"','",G720,"','",H720,"','",I720,"');")</f>
        <v>insert into chb_datacheck_condition (CHECKCONDITIONID,CHECKRULEID,CHECKMETHOD,SRCPROPERTY,COMPARETO,OBJVALUE,REMARK,STATUS) values ('We294A49-6813-5A9E-E050-107F01006B44','We294A49-6813-5A9E-E050-107F01006B44','inArray','ASSET_TYPE2','==','1202,1203,1204,1205,1206,1207,1208,1209,2201,2202','当资产/负债类别为非标准化债权类资产/新增可投资资产时','E');</v>
      </c>
    </row>
    <row r="721" spans="1:10" s="36" customFormat="1" x14ac:dyDescent="0.25">
      <c r="A721" s="17">
        <v>720</v>
      </c>
      <c r="B721" s="31" t="s">
        <v>2458</v>
      </c>
      <c r="C721" s="31" t="s">
        <v>2458</v>
      </c>
      <c r="D721" s="31" t="s">
        <v>1083</v>
      </c>
      <c r="E721" s="31" t="s">
        <v>910</v>
      </c>
      <c r="F721" s="31" t="s">
        <v>25</v>
      </c>
      <c r="G721" s="31" t="s">
        <v>2144</v>
      </c>
      <c r="H721" s="31" t="s">
        <v>2079</v>
      </c>
      <c r="I721" s="31" t="s">
        <v>24</v>
      </c>
      <c r="J721" s="34" t="str">
        <f t="shared" ref="J721:J729" si="13">CONCATENATE("insert into chb_datacheck_condition (CHECKCONDITIONID,CHECKRULEID,CHECKMETHOD,SRCPROPERTY,COMPARETO,OBJVALUE,REMARK,STATUS) values ('",B721,"','",C721,"','",D721,"','",E721,"','",F721,"','",G721,"','",H721,"','",I721,"');")</f>
        <v>insert into chb_datacheck_condition (CHECKCONDITIONID,CHECKRULEID,CHECKMETHOD,SRCPROPERTY,COMPARETO,OBJVALUE,REMARK,STATUS) values ('We294A49-6813-5A9E-E050-107F01006B45','We294A49-6813-5A9E-E050-107F01006B45','inArray','ASSET_TYPE2','==','1701,1702,1703,1704,1705,1706','当资产/负债类别为资产管理产品时','E');</v>
      </c>
    </row>
    <row r="722" spans="1:10" s="36" customFormat="1" x14ac:dyDescent="0.25">
      <c r="A722" s="17">
        <v>721</v>
      </c>
      <c r="B722" s="31" t="s">
        <v>2459</v>
      </c>
      <c r="C722" s="31" t="s">
        <v>2459</v>
      </c>
      <c r="D722" s="31" t="s">
        <v>1083</v>
      </c>
      <c r="E722" s="31" t="s">
        <v>910</v>
      </c>
      <c r="F722" s="31" t="s">
        <v>25</v>
      </c>
      <c r="G722" s="31" t="s">
        <v>2103</v>
      </c>
      <c r="H722" s="31" t="s">
        <v>2075</v>
      </c>
      <c r="I722" s="31" t="s">
        <v>24</v>
      </c>
      <c r="J722" s="34" t="str">
        <f t="shared" si="13"/>
        <v>insert into chb_datacheck_condition (CHECKCONDITIONID,CHECKRULEID,CHECKMETHOD,SRCPROPERTY,COMPARETO,OBJVALUE,REMARK,STATUS) values ('We294A49-6813-5A9E-E050-107F01006B46','We294A49-6813-5A9E-E050-107F01006B46','inArray','ASSET_TYPE2','==','2801,2802,2803,2804,2805,2806,2899','当资产/负债类别为委外投资时','E');</v>
      </c>
    </row>
    <row r="723" spans="1:10" s="30" customFormat="1" x14ac:dyDescent="0.25">
      <c r="A723" s="29"/>
      <c r="B723" s="21" t="s">
        <v>2460</v>
      </c>
      <c r="C723" s="21" t="s">
        <v>2464</v>
      </c>
      <c r="D723" s="21" t="s">
        <v>1083</v>
      </c>
      <c r="E723" s="21" t="s">
        <v>910</v>
      </c>
      <c r="F723" s="21" t="s">
        <v>25</v>
      </c>
      <c r="G723" s="21" t="s">
        <v>2156</v>
      </c>
      <c r="H723" s="21" t="s">
        <v>2469</v>
      </c>
      <c r="I723" s="21" t="s">
        <v>24</v>
      </c>
      <c r="J723" s="2" t="str">
        <f>CONCATENATE("insert into chb_datacheck_condition (CHECKCONDITIONID,CHECKRULEID,CHECKMETHOD,SRCPROPERTY,COMPARETO,OBJVALUE,REMARK,STATUS) values ('",B723,"','",C723,"','",D723,"','",E723,"','",F723,"','",G723,"','",H723,"','",I723,"');")</f>
        <v>insert into chb_datacheck_condition (CHECKCONDITIONID,CHECKRULEID,CHECKMETHOD,SRCPROPERTY,COMPARETO,OBJVALUE,REMARK,STATUS) values ('We294A49-6813-5A9E-E050-107F01006B47','W84807E5-EF00-D169-E050-007F010077FD','inArray','ASSET_TYPE2','==','1299','当资产/负债类别为1299其他非标准化债权类投资时','E');</v>
      </c>
    </row>
    <row r="724" spans="1:10" s="30" customFormat="1" x14ac:dyDescent="0.25">
      <c r="A724" s="29"/>
      <c r="B724" s="21" t="s">
        <v>2466</v>
      </c>
      <c r="C724" s="21" t="s">
        <v>2465</v>
      </c>
      <c r="D724" s="21" t="s">
        <v>62</v>
      </c>
      <c r="E724" s="21" t="s">
        <v>1132</v>
      </c>
      <c r="F724" s="21" t="s">
        <v>25</v>
      </c>
      <c r="G724" s="21" t="s">
        <v>26</v>
      </c>
      <c r="H724" s="21" t="s">
        <v>2163</v>
      </c>
      <c r="I724" s="21" t="s">
        <v>24</v>
      </c>
      <c r="J724" s="2" t="str">
        <f t="shared" si="13"/>
        <v>insert into chb_datacheck_condition (CHECKCONDITIONID,CHECKRULEID,CHECKMETHOD,SRCPROPERTY,COMPARETO,OBJVALUE,REMARK,STATUS) values ('We294A49-6813-5A9E-E050-107F01006B48','W84807E5-EF00-D169-E050-007F010077FD','lessThanCharLength','GUA_TYPE','==','0','“担保方式”为空时','E');</v>
      </c>
    </row>
    <row r="725" spans="1:10" s="30" customFormat="1" x14ac:dyDescent="0.25">
      <c r="A725" s="29"/>
      <c r="B725" s="21" t="s">
        <v>2467</v>
      </c>
      <c r="C725" s="21" t="s">
        <v>2491</v>
      </c>
      <c r="D725" s="21" t="s">
        <v>1083</v>
      </c>
      <c r="E725" s="21" t="s">
        <v>910</v>
      </c>
      <c r="F725" s="21" t="s">
        <v>25</v>
      </c>
      <c r="G725" s="21" t="s">
        <v>2468</v>
      </c>
      <c r="H725" s="37" t="s">
        <v>2471</v>
      </c>
      <c r="I725" s="21" t="s">
        <v>24</v>
      </c>
      <c r="J725" s="2" t="str">
        <f t="shared" si="13"/>
        <v>insert into chb_datacheck_condition (CHECKCONDITIONID,CHECKRULEID,CHECKMETHOD,SRCPROPERTY,COMPARETO,OBJVALUE,REMARK,STATUS) values ('We294A49-6813-5A9E-E050-107F01006B49','W84807E5-EF00-D170-E050-007F010077FD','inArray','ASSET_TYPE2','==','1399,1599,2299','当资产/负债类别为“其他权益类投资”或“其他新增可投资资产”或“其他代客境外理财投资QDII”时','E');</v>
      </c>
    </row>
    <row r="726" spans="1:10" s="30" customFormat="1" x14ac:dyDescent="0.25">
      <c r="A726" s="29"/>
      <c r="B726" s="21" t="s">
        <v>2478</v>
      </c>
      <c r="C726" s="21" t="s">
        <v>2477</v>
      </c>
      <c r="D726" s="21" t="s">
        <v>40</v>
      </c>
      <c r="E726" s="21" t="s">
        <v>1026</v>
      </c>
      <c r="F726" s="21" t="s">
        <v>2480</v>
      </c>
      <c r="G726" s="21" t="s">
        <v>2474</v>
      </c>
      <c r="H726" s="37" t="s">
        <v>2481</v>
      </c>
      <c r="I726" s="21" t="s">
        <v>24</v>
      </c>
      <c r="J726" s="2" t="str">
        <f t="shared" si="13"/>
        <v>insert into chb_datacheck_condition (CHECKCONDITIONID,CHECKRULEID,CHECKMETHOD,SRCPROPERTY,COMPARETO,OBJVALUE,REMARK,STATUS) values ('We294A49-6813-5A9E-E050-107F01006B50','We294A49-6813-5A9E-E050-107F01006B48','compareValue','IN_ASSET_TYPE','!=','99','当行内资产类别不为其他时','E');</v>
      </c>
    </row>
    <row r="727" spans="1:10" s="30" customFormat="1" x14ac:dyDescent="0.25">
      <c r="A727" s="29"/>
      <c r="B727" s="21" t="s">
        <v>2479</v>
      </c>
      <c r="C727" s="21" t="s">
        <v>2477</v>
      </c>
      <c r="D727" s="21" t="s">
        <v>1083</v>
      </c>
      <c r="E727" s="21" t="s">
        <v>910</v>
      </c>
      <c r="F727" s="21" t="s">
        <v>25</v>
      </c>
      <c r="G727" s="21" t="s">
        <v>2475</v>
      </c>
      <c r="H727" s="37" t="s">
        <v>2476</v>
      </c>
      <c r="I727" s="21" t="s">
        <v>24</v>
      </c>
      <c r="J727" s="2" t="str">
        <f t="shared" si="13"/>
        <v>insert into chb_datacheck_condition (CHECKCONDITIONID,CHECKRULEID,CHECKMETHOD,SRCPROPERTY,COMPARETO,OBJVALUE,REMARK,STATUS) values ('We294A49-6813-5A9E-E050-107F01006B51','We294A49-6813-5A9E-E050-107F01006B48','inArray','ASSET_TYPE2','==','1299,1399,1599,2299','当资产/负债类别为各类资产的其他项时','E');</v>
      </c>
    </row>
    <row r="728" spans="1:10" s="30" customFormat="1" x14ac:dyDescent="0.25">
      <c r="A728" s="29"/>
      <c r="B728" s="21" t="s">
        <v>2486</v>
      </c>
      <c r="C728" s="21" t="s">
        <v>2467</v>
      </c>
      <c r="D728" s="21" t="s">
        <v>22</v>
      </c>
      <c r="E728" s="21" t="s">
        <v>1132</v>
      </c>
      <c r="F728" s="21"/>
      <c r="G728" s="21" t="s">
        <v>2482</v>
      </c>
      <c r="H728" s="37" t="s">
        <v>2483</v>
      </c>
      <c r="I728" s="21" t="s">
        <v>24</v>
      </c>
      <c r="J728" s="2" t="str">
        <f t="shared" si="13"/>
        <v>insert into chb_datacheck_condition (CHECKCONDITIONID,CHECKRULEID,CHECKMETHOD,SRCPROPERTY,COMPARETO,OBJVALUE,REMARK,STATUS) values ('We294A49-6813-5A9E-E050-107F01006B52','We294A49-6813-5A9E-E050-107F01006B49','isNotEmpty','GUA_TYPE','','0','“担保方式”不为空时','E');</v>
      </c>
    </row>
    <row r="729" spans="1:10" s="30" customFormat="1" x14ac:dyDescent="0.25">
      <c r="A729" s="29"/>
      <c r="B729" s="21" t="s">
        <v>2487</v>
      </c>
      <c r="C729" s="21" t="s">
        <v>2467</v>
      </c>
      <c r="D729" s="21" t="s">
        <v>1083</v>
      </c>
      <c r="E729" s="21" t="s">
        <v>910</v>
      </c>
      <c r="F729" s="21" t="s">
        <v>25</v>
      </c>
      <c r="G729" s="21" t="s">
        <v>2484</v>
      </c>
      <c r="H729" s="37" t="s">
        <v>2485</v>
      </c>
      <c r="I729" s="21" t="s">
        <v>24</v>
      </c>
      <c r="J729" s="2" t="str">
        <f t="shared" si="13"/>
        <v>insert into chb_datacheck_condition (CHECKCONDITIONID,CHECKRULEID,CHECKMETHOD,SRCPROPERTY,COMPARETO,OBJVALUE,REMARK,STATUS) values ('We294A49-6813-5A9E-E050-107F01006B53','We294A49-6813-5A9E-E050-107F01006B49','inArray','ASSET_TYPE2','==','1299','当资产/负债类别为1299其他非标准化债权类投资时','E');</v>
      </c>
    </row>
    <row r="730" spans="1:10" s="20" customFormat="1" x14ac:dyDescent="0.25">
      <c r="A730" s="18"/>
      <c r="B730" s="24" t="s">
        <v>2500</v>
      </c>
      <c r="C730" s="24" t="s">
        <v>2499</v>
      </c>
      <c r="D730" s="24" t="s">
        <v>1083</v>
      </c>
      <c r="E730" s="24" t="s">
        <v>910</v>
      </c>
      <c r="F730" s="24" t="s">
        <v>2501</v>
      </c>
      <c r="G730" s="24" t="s">
        <v>2520</v>
      </c>
      <c r="H730" s="38" t="s">
        <v>2502</v>
      </c>
      <c r="I730" s="24" t="s">
        <v>24</v>
      </c>
      <c r="J730" s="19" t="str">
        <f t="shared" ref="J730" si="14">CONCATENATE("insert into chb_datacheck_condition (CHECKCONDITIONID,CHECKRULEID,CHECKMETHOD,SRCPROPERTY,COMPARETO,OBJVALUE,REMARK,STATUS) values ('",B730,"','",C730,"','",D730,"','",E730,"','",F730,"','",G730,"','",H730,"','",I730,"');")</f>
        <v>insert into chb_datacheck_condition (CHECKCONDITIONID,CHECKRULEID,CHECKMETHOD,SRCPROPERTY,COMPARETO,OBJVALUE,REMARK,STATUS) values ('We294A49-6813-5A9E-E050-107F01006B54','We294A49-6813-5A9E-E050-107F01006B52','inArray','ASSET_TYPE2','!=','2101,1202,1203,1204,1205,1206,1207,1208,1209,2201,2202,1201,1210,2299,1299','当不是非标准化债权类资产时','E');</v>
      </c>
    </row>
    <row r="731" spans="1:10" s="20" customFormat="1" x14ac:dyDescent="0.25">
      <c r="A731" s="18"/>
      <c r="B731" s="24" t="s">
        <v>2509</v>
      </c>
      <c r="C731" s="24" t="s">
        <v>2500</v>
      </c>
      <c r="D731" s="24" t="s">
        <v>1083</v>
      </c>
      <c r="E731" s="24" t="s">
        <v>910</v>
      </c>
      <c r="F731" s="24" t="s">
        <v>25</v>
      </c>
      <c r="G731" s="24" t="s">
        <v>2510</v>
      </c>
      <c r="H731" s="38" t="s">
        <v>2511</v>
      </c>
      <c r="I731" s="24" t="s">
        <v>24</v>
      </c>
      <c r="J731" s="19" t="str">
        <f t="shared" ref="J731" si="15">CONCATENATE("insert into chb_datacheck_condition (CHECKCONDITIONID,CHECKRULEID,CHECKMETHOD,SRCPROPERTY,COMPARETO,OBJVALUE,REMARK,STATUS) values ('",B731,"','",C731,"','",D731,"','",E731,"','",F731,"','",G731,"','",H731,"','",I731,"');")</f>
        <v>insert into chb_datacheck_condition (CHECKCONDITIONID,CHECKRULEID,CHECKMETHOD,SRCPROPERTY,COMPARETO,OBJVALUE,REMARK,STATUS) values ('We294A49-6813-5A9E-E050-107F01006B55','We294A49-6813-5A9E-E050-107F01006B54','inArray','ASSET_TYPE2','==','1110','当资产/负债类别为地方政府债时','E');</v>
      </c>
    </row>
    <row r="732" spans="1:10" s="20" customFormat="1" x14ac:dyDescent="0.25">
      <c r="A732" s="18"/>
      <c r="B732" s="24" t="s">
        <v>2516</v>
      </c>
      <c r="C732" s="24" t="s">
        <v>2516</v>
      </c>
      <c r="D732" s="24" t="s">
        <v>1083</v>
      </c>
      <c r="E732" s="24" t="s">
        <v>910</v>
      </c>
      <c r="F732" s="24" t="s">
        <v>25</v>
      </c>
      <c r="G732" s="24" t="s">
        <v>2517</v>
      </c>
      <c r="H732" s="38" t="s">
        <v>2518</v>
      </c>
      <c r="I732" s="24" t="s">
        <v>24</v>
      </c>
      <c r="J732" s="19" t="str">
        <f t="shared" ref="J732" si="16">CONCATENATE("insert into chb_datacheck_condition (CHECKCONDITIONID,CHECKRULEID,CHECKMETHOD,SRCPROPERTY,COMPARETO,OBJVALUE,REMARK,STATUS) values ('",B732,"','",C732,"','",D732,"','",E732,"','",F732,"','",G732,"','",H732,"','",I732,"');")</f>
        <v>insert into chb_datacheck_condition (CHECKCONDITIONID,CHECKRULEID,CHECKMETHOD,SRCPROPERTY,COMPARETO,OBJVALUE,REMARK,STATUS) values ('We294A49-6813-5A9E-E050-107F01006B56','We294A49-6813-5A9E-E050-107F01006B56','inArray','ASSET_TYPE2','==','1201','当资产/负债类别为1201 票据类时','E');</v>
      </c>
    </row>
  </sheetData>
  <autoFilter ref="B1:I702"/>
  <mergeCells count="1">
    <mergeCell ref="B3:I3"/>
  </mergeCells>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796875" defaultRowHeight="18.75" x14ac:dyDescent="0.25"/>
  <cols>
    <col min="1" max="1" width="18.09765625" style="1" customWidth="1"/>
    <col min="2" max="16384" width="8.796875" style="1"/>
  </cols>
  <sheetData/>
  <phoneticPr fontId="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规则表配置</vt:lpstr>
      <vt:lpstr>规则条件表</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姚佳萍</dc:creator>
  <cp:lastModifiedBy>Windows User</cp:lastModifiedBy>
  <dcterms:created xsi:type="dcterms:W3CDTF">2018-07-10T04:40:00Z</dcterms:created>
  <dcterms:modified xsi:type="dcterms:W3CDTF">2021-02-23T06:13:41Z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2052-11.1.0.9912</vt:lpwstr>
  </property>
</Properties>
</file>