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S-PBC\2.1.6\脚本管理\业务数据维护脚本\接口文件入库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规则表配置!$A$2:$K$11</definedName>
    <definedName name="_xlnm._FilterDatabase" localSheetId="1" hidden="1">规则条件表!$B$1:$I$4</definedName>
  </definedNames>
  <calcPr calcId="152511" concurrentCalc="0"/>
</workbook>
</file>

<file path=xl/calcChain.xml><?xml version="1.0" encoding="utf-8"?>
<calcChain xmlns="http://schemas.openxmlformats.org/spreadsheetml/2006/main">
  <c r="K12" i="3" l="1"/>
  <c r="K8" i="3"/>
  <c r="K9" i="3"/>
  <c r="K10" i="3"/>
  <c r="K11" i="3"/>
  <c r="K7" i="3"/>
  <c r="K6" i="3"/>
  <c r="K5" i="3"/>
  <c r="J4" i="4"/>
  <c r="K4" i="3"/>
</calcChain>
</file>

<file path=xl/sharedStrings.xml><?xml version="1.0" encoding="utf-8"?>
<sst xmlns="http://schemas.openxmlformats.org/spreadsheetml/2006/main" count="120" uniqueCount="68">
  <si>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</si>
  <si>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</si>
  <si>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</si>
  <si>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</si>
  <si>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</si>
  <si>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</si>
  <si>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</si>
  <si>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</si>
  <si>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</si>
  <si>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</si>
  <si>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</si>
  <si>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</si>
  <si>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</si>
  <si>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</si>
  <si>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</si>
  <si>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</si>
  <si>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</si>
  <si>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</si>
  <si>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</si>
  <si>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</si>
  <si>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</si>
  <si>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</si>
  <si>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</si>
  <si>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</si>
  <si>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</si>
  <si>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</si>
  <si>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</si>
  <si>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</si>
  <si>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</si>
  <si>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</si>
  <si>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</si>
  <si>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</si>
  <si>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</si>
  <si>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delete from chb_datacheck_condition t where t.checkruleid in (select checkruleid from chb_datacheck_rule t where t.datatype = 'CHB_ASSET_INFO');</t>
    <phoneticPr fontId="4" type="noConversion"/>
  </si>
  <si>
    <t>yyyy-MM-dd</t>
    <phoneticPr fontId="4" type="noConversion"/>
  </si>
  <si>
    <t>51</t>
    <phoneticPr fontId="4" type="noConversion"/>
  </si>
  <si>
    <t>账套代码要素不可为空。</t>
    <phoneticPr fontId="4" type="noConversion"/>
  </si>
  <si>
    <t>BOOKSET_ID</t>
    <phoneticPr fontId="4" type="noConversion"/>
  </si>
  <si>
    <t>账套代码超长（最大长50）。</t>
    <phoneticPr fontId="4" type="noConversion"/>
  </si>
  <si>
    <t>B_AMT</t>
    <phoneticPr fontId="4" type="noConversion"/>
  </si>
  <si>
    <t>isNumber2</t>
  </si>
  <si>
    <t>B_AMT</t>
    <phoneticPr fontId="4" type="noConversion"/>
  </si>
  <si>
    <t>本位币余额要素不可为空。</t>
    <phoneticPr fontId="4" type="noConversion"/>
  </si>
  <si>
    <t>SUBJECT_NO</t>
    <phoneticPr fontId="4" type="noConversion"/>
  </si>
  <si>
    <t>科目号要素不可为空。</t>
    <phoneticPr fontId="4" type="noConversion"/>
  </si>
  <si>
    <t>BALANCE_DATE</t>
    <phoneticPr fontId="4" type="noConversion"/>
  </si>
  <si>
    <t>余额日期要素不可为空。</t>
    <phoneticPr fontId="4" type="noConversion"/>
  </si>
  <si>
    <t>BALANCE_DATE</t>
    <phoneticPr fontId="4" type="noConversion"/>
  </si>
  <si>
    <t>余额日期必须为日期格式（YYYY-MM-DD）且为正确的日期。</t>
    <phoneticPr fontId="4" type="noConversion"/>
  </si>
  <si>
    <t>31</t>
    <phoneticPr fontId="4" type="noConversion"/>
  </si>
  <si>
    <t>科目号超长（最大长30）。</t>
    <phoneticPr fontId="4" type="noConversion"/>
  </si>
  <si>
    <t>15,2</t>
    <phoneticPr fontId="4" type="noConversion"/>
  </si>
  <si>
    <t>compareValueAsNumber</t>
  </si>
  <si>
    <t>&gt;=</t>
  </si>
  <si>
    <t>本位币余额必须为n（15,2）格式。</t>
    <phoneticPr fontId="4" type="noConversion"/>
  </si>
  <si>
    <t>0</t>
    <phoneticPr fontId="4" type="noConversion"/>
  </si>
  <si>
    <t>本位币余额必须大于等于0</t>
    <phoneticPr fontId="4" type="noConversion"/>
  </si>
  <si>
    <t>CHB_SUBJECT_BALANCE</t>
  </si>
  <si>
    <t>delete  CHB_DATACHECK_RULE where datatype='CHB_SUBJECT_BALANCE';</t>
  </si>
  <si>
    <t>CHB_SUBJECT_BALANCE-0001</t>
  </si>
  <si>
    <t>CHB_SUBJECT_BALANCE-0002</t>
  </si>
  <si>
    <t>CHB_SUBJECT_BALANCE-0003</t>
  </si>
  <si>
    <t>CHB_SUBJECT_BALANCE-0004</t>
  </si>
  <si>
    <t>CHB_SUBJECT_BALANCE-0005</t>
  </si>
  <si>
    <t>CHB_SUBJECT_BALANCE-0006</t>
  </si>
  <si>
    <t>CHB_SUBJECT_BALANCE-0007</t>
  </si>
  <si>
    <t>CHB_SUBJECT_BALANCE-0008</t>
  </si>
  <si>
    <t>CHB_SUBJECT_BALANCE-0009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</si>
</sst>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14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6" fillId="0" borderId="0" xfId="0" applyNumberFormat="1" applyFont="1">
      <alignment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3" sqref="K3:K12"/>
    </sheetView>
  </sheetViews>
  <sheetFormatPr defaultColWidth="7.19921875" defaultRowHeight="12" x14ac:dyDescent="0.15"/>
  <cols>
    <col min="1" max="1" width="27.8984375" style="10" bestFit="1" customWidth="1"/>
    <col min="2" max="2" width="17.5" style="10" customWidth="1"/>
    <col min="3" max="3" width="16.5" style="10" customWidth="1"/>
    <col min="4" max="4" width="18.59765625" style="10" customWidth="1"/>
    <col min="5" max="5" width="13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2" t="s">
        <v>57</v>
      </c>
      <c r="B3" s="22"/>
      <c r="C3" s="22"/>
      <c r="D3" s="22"/>
      <c r="E3" s="22"/>
      <c r="F3" s="22"/>
      <c r="G3" s="22"/>
      <c r="H3" s="22"/>
      <c r="I3" s="22"/>
      <c r="J3" s="22"/>
      <c r="K3" s="2" t="s">
        <v>58</v>
      </c>
    </row>
    <row r="4" spans="1:11" x14ac:dyDescent="0.15">
      <c r="A4" s="20" t="s">
        <v>59</v>
      </c>
      <c r="B4" s="19" t="s">
        <v>57</v>
      </c>
      <c r="C4" s="13" t="s">
        <v>21</v>
      </c>
      <c r="D4" s="13" t="s">
        <v>22</v>
      </c>
      <c r="E4" s="13" t="s">
        <v>37</v>
      </c>
      <c r="F4" s="13"/>
      <c r="G4" s="14"/>
      <c r="H4" s="15" t="s">
        <v>23</v>
      </c>
      <c r="I4" s="16" t="s">
        <v>36</v>
      </c>
      <c r="J4" s="15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('CHB_SUBJECT_BALANCE-0001','CHB_SUBJECT_BALANCE','com.joyintech.tams.common.svreport.datacheck.service.BaseCheckLib','isNotEmpty','BOOKSET_ID','','','账套代码要素不可为空。','E','N');</v>
      </c>
    </row>
    <row r="5" spans="1:11" x14ac:dyDescent="0.15">
      <c r="A5" s="20" t="s">
        <v>60</v>
      </c>
      <c r="B5" s="19" t="s">
        <v>57</v>
      </c>
      <c r="C5" s="13" t="s">
        <v>21</v>
      </c>
      <c r="D5" s="13" t="s">
        <v>32</v>
      </c>
      <c r="E5" s="13" t="s">
        <v>37</v>
      </c>
      <c r="F5" s="13"/>
      <c r="G5" s="14" t="s">
        <v>35</v>
      </c>
      <c r="H5" s="15" t="s">
        <v>26</v>
      </c>
      <c r="I5" s="16" t="s">
        <v>38</v>
      </c>
      <c r="J5" s="15" t="s">
        <v>24</v>
      </c>
      <c r="K5" s="2" t="str">
        <f t="shared" ref="K5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('CHB_SUBJECT_BALANCE-0002','CHB_SUBJECT_BALANCE','com.joyintech.tams.common.svreport.datacheck.service.BaseCheckLib','lessThanCharLength','BOOKSET_ID','','51','账套代码超长（最大长50）。','E','Y');</v>
      </c>
    </row>
    <row r="6" spans="1:11" x14ac:dyDescent="0.15">
      <c r="A6" s="20" t="s">
        <v>61</v>
      </c>
      <c r="B6" s="19" t="s">
        <v>57</v>
      </c>
      <c r="C6" s="13" t="s">
        <v>21</v>
      </c>
      <c r="D6" s="13" t="s">
        <v>22</v>
      </c>
      <c r="E6" s="13" t="s">
        <v>43</v>
      </c>
      <c r="F6" s="13"/>
      <c r="G6" s="14"/>
      <c r="H6" s="15" t="s">
        <v>23</v>
      </c>
      <c r="I6" s="16" t="s">
        <v>44</v>
      </c>
      <c r="J6" s="15" t="s">
        <v>24</v>
      </c>
      <c r="K6" s="2" t="str">
        <f>CONCATENATE("insert into CHB_DATACHECK_RULE (CHECKRULEID,DATATYPE,CHECKCLASS,CHECKMETHOD,SRCPROPERTY,COMPARETO,OBJVALUE,REMARK,STATUS,NULLABLE) values ('",A6,"','",B6,"','",C6,"','",D6,"','",E6,"','",F6,"','",G6,"','",I6,"','",J6,"','",H6,"');")</f>
        <v>insert into CHB_DATACHECK_RULE (CHECKRULEID,DATATYPE,CHECKCLASS,CHECKMETHOD,SRCPROPERTY,COMPARETO,OBJVALUE,REMARK,STATUS,NULLABLE) values ('CHB_SUBJECT_BALANCE-0003','CHB_SUBJECT_BALANCE','com.joyintech.tams.common.svreport.datacheck.service.BaseCheckLib','isNotEmpty','SUBJECT_NO','','','科目号要素不可为空。','E','N');</v>
      </c>
    </row>
    <row r="7" spans="1:11" x14ac:dyDescent="0.15">
      <c r="A7" s="20" t="s">
        <v>62</v>
      </c>
      <c r="B7" s="19" t="s">
        <v>57</v>
      </c>
      <c r="C7" s="13" t="s">
        <v>21</v>
      </c>
      <c r="D7" s="13" t="s">
        <v>32</v>
      </c>
      <c r="E7" s="13" t="s">
        <v>43</v>
      </c>
      <c r="F7" s="13"/>
      <c r="G7" s="14" t="s">
        <v>49</v>
      </c>
      <c r="H7" s="15" t="s">
        <v>26</v>
      </c>
      <c r="I7" s="16" t="s">
        <v>50</v>
      </c>
      <c r="J7" s="15" t="s">
        <v>24</v>
      </c>
      <c r="K7" s="2" t="str">
        <f t="shared" ref="K7:K12" si="1">CONCATENATE("insert into CHB_DATACHECK_RULE (CHECKRULEID,DATATYPE,CHECKCLASS,CHECKMETHOD,SRCPROPERTY,COMPARETO,OBJVALUE,REMARK,STATUS,NULLABLE) values ('",A7,"','",B7,"','",C7,"','",D7,"','",E7,"','",F7,"','",G7,"','",I7,"','",J7,"','",H7,"');")</f>
        <v>insert into CHB_DATACHECK_RULE (CHECKRULEID,DATATYPE,CHECKCLASS,CHECKMETHOD,SRCPROPERTY,COMPARETO,OBJVALUE,REMARK,STATUS,NULLABLE) values ('CHB_SUBJECT_BALANCE-0004','CHB_SUBJECT_BALANCE','com.joyintech.tams.common.svreport.datacheck.service.BaseCheckLib','lessThanCharLength','SUBJECT_NO','','31','科目号超长（最大长30）。','E','Y');</v>
      </c>
    </row>
    <row r="8" spans="1:11" x14ac:dyDescent="0.15">
      <c r="A8" s="20" t="s">
        <v>63</v>
      </c>
      <c r="B8" s="19" t="s">
        <v>57</v>
      </c>
      <c r="C8" s="13" t="s">
        <v>21</v>
      </c>
      <c r="D8" s="13" t="s">
        <v>22</v>
      </c>
      <c r="E8" s="13" t="s">
        <v>45</v>
      </c>
      <c r="F8" s="13"/>
      <c r="G8" s="14"/>
      <c r="H8" s="15" t="s">
        <v>23</v>
      </c>
      <c r="I8" s="16" t="s">
        <v>46</v>
      </c>
      <c r="J8" s="15" t="s">
        <v>24</v>
      </c>
      <c r="K8" s="2" t="str">
        <f t="shared" si="1"/>
        <v>insert into CHB_DATACHECK_RULE (CHECKRULEID,DATATYPE,CHECKCLASS,CHECKMETHOD,SRCPROPERTY,COMPARETO,OBJVALUE,REMARK,STATUS,NULLABLE) values ('CHB_SUBJECT_BALANCE-0005','CHB_SUBJECT_BALANCE','com.joyintech.tams.common.svreport.datacheck.service.BaseCheckLib','isNotEmpty','BALANCE_DATE','','','余额日期要素不可为空。','E','N');</v>
      </c>
    </row>
    <row r="9" spans="1:11" ht="24" x14ac:dyDescent="0.15">
      <c r="A9" s="20" t="s">
        <v>64</v>
      </c>
      <c r="B9" s="19" t="s">
        <v>57</v>
      </c>
      <c r="C9" s="13" t="s">
        <v>21</v>
      </c>
      <c r="D9" s="13" t="s">
        <v>27</v>
      </c>
      <c r="E9" s="13" t="s">
        <v>47</v>
      </c>
      <c r="F9" s="13" t="s">
        <v>25</v>
      </c>
      <c r="G9" s="14" t="s">
        <v>34</v>
      </c>
      <c r="H9" s="15" t="s">
        <v>26</v>
      </c>
      <c r="I9" s="16" t="s">
        <v>48</v>
      </c>
      <c r="J9" s="15" t="s">
        <v>24</v>
      </c>
      <c r="K9" s="2" t="str">
        <f t="shared" si="1"/>
        <v>insert into CHB_DATACHECK_RULE (CHECKRULEID,DATATYPE,CHECKCLASS,CHECKMETHOD,SRCPROPERTY,COMPARETO,OBJVALUE,REMARK,STATUS,NULLABLE) values ('CHB_SUBJECT_BALANCE-0006','CHB_SUBJECT_BALANCE','com.joyintech.tams.common.svreport.datacheck.service.BaseCheckLib','isValidDate','BALANCE_DATE','==','yyyy-MM-dd','余额日期必须为日期格式（YYYY-MM-DD）且为正确的日期。','E','Y');</v>
      </c>
    </row>
    <row r="10" spans="1:11" x14ac:dyDescent="0.15">
      <c r="A10" s="20" t="s">
        <v>65</v>
      </c>
      <c r="B10" s="19" t="s">
        <v>57</v>
      </c>
      <c r="C10" s="13" t="s">
        <v>21</v>
      </c>
      <c r="D10" s="13" t="s">
        <v>22</v>
      </c>
      <c r="E10" s="13" t="s">
        <v>39</v>
      </c>
      <c r="F10" s="13"/>
      <c r="G10" s="14"/>
      <c r="H10" s="15" t="s">
        <v>23</v>
      </c>
      <c r="I10" s="16" t="s">
        <v>42</v>
      </c>
      <c r="J10" s="15" t="s">
        <v>24</v>
      </c>
      <c r="K10" s="2" t="str">
        <f t="shared" si="1"/>
        <v>insert into CHB_DATACHECK_RULE (CHECKRULEID,DATATYPE,CHECKCLASS,CHECKMETHOD,SRCPROPERTY,COMPARETO,OBJVALUE,REMARK,STATUS,NULLABLE) values ('CHB_SUBJECT_BALANCE-0007','CHB_SUBJECT_BALANCE','com.joyintech.tams.common.svreport.datacheck.service.BaseCheckLib','isNotEmpty','B_AMT','','','本位币余额要素不可为空。','E','N');</v>
      </c>
    </row>
    <row r="11" spans="1:11" x14ac:dyDescent="0.15">
      <c r="A11" s="20" t="s">
        <v>66</v>
      </c>
      <c r="B11" s="19" t="s">
        <v>57</v>
      </c>
      <c r="C11" s="13" t="s">
        <v>21</v>
      </c>
      <c r="D11" s="13" t="s">
        <v>40</v>
      </c>
      <c r="E11" s="13" t="s">
        <v>41</v>
      </c>
      <c r="F11" s="13"/>
      <c r="G11" s="14" t="s">
        <v>51</v>
      </c>
      <c r="H11" s="15" t="s">
        <v>26</v>
      </c>
      <c r="I11" s="16" t="s">
        <v>54</v>
      </c>
      <c r="J11" s="15" t="s">
        <v>24</v>
      </c>
      <c r="K11" s="2" t="str">
        <f t="shared" si="1"/>
        <v>insert into CHB_DATACHECK_RULE (CHECKRULEID,DATATYPE,CHECKCLASS,CHECKMETHOD,SRCPROPERTY,COMPARETO,OBJVALUE,REMARK,STATUS,NULLABLE) values ('CHB_SUBJECT_BALANCE-0008','CHB_SUBJECT_BALANCE','com.joyintech.tams.common.svreport.datacheck.service.BaseCheckLib','isNumber2','B_AMT','','15,2','本位币余额必须为n（15,2）格式。','E','Y');</v>
      </c>
    </row>
    <row r="12" spans="1:11" x14ac:dyDescent="0.15">
      <c r="A12" s="20" t="s">
        <v>67</v>
      </c>
      <c r="B12" s="19" t="s">
        <v>57</v>
      </c>
      <c r="C12" s="13" t="s">
        <v>21</v>
      </c>
      <c r="D12" s="13" t="s">
        <v>52</v>
      </c>
      <c r="E12" s="13" t="s">
        <v>39</v>
      </c>
      <c r="F12" s="13" t="s">
        <v>53</v>
      </c>
      <c r="G12" s="14" t="s">
        <v>55</v>
      </c>
      <c r="H12" s="15" t="s">
        <v>26</v>
      </c>
      <c r="I12" s="16" t="s">
        <v>56</v>
      </c>
      <c r="J12" s="15" t="s">
        <v>24</v>
      </c>
      <c r="K12" s="2" t="str">
        <f t="shared" si="1"/>
        <v>insert into CHB_DATACHECK_RULE (CHECKRULEID,DATATYPE,CHECKCLASS,CHECKMETHOD,SRCPROPERTY,COMPARETO,OBJVALUE,REMARK,STATUS,NULLABLE) values ('CHB_SUBJECT_BALANCE-0009','CHB_SUBJECT_BALANCE','com.joyintech.tams.common.svreport.datacheck.service.BaseCheckLib','compareValueAsNumber','B_AMT','&gt;=','0','本位币余额必须大于等于0','E','Y');</v>
      </c>
    </row>
  </sheetData>
  <autoFilter ref="A2:K11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C7" sqref="C7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28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29</v>
      </c>
      <c r="C2" s="5" t="s">
        <v>30</v>
      </c>
      <c r="D2" s="5" t="s">
        <v>14</v>
      </c>
      <c r="E2" s="6" t="s">
        <v>15</v>
      </c>
      <c r="F2" s="5" t="s">
        <v>16</v>
      </c>
      <c r="G2" s="7" t="s">
        <v>31</v>
      </c>
      <c r="H2" s="7" t="s">
        <v>19</v>
      </c>
      <c r="I2" s="5" t="s">
        <v>20</v>
      </c>
    </row>
    <row r="3" spans="1:11" s="2" customFormat="1" x14ac:dyDescent="0.25">
      <c r="A3" s="3"/>
      <c r="B3" s="22" t="s">
        <v>57</v>
      </c>
      <c r="C3" s="22"/>
      <c r="D3" s="22"/>
      <c r="E3" s="22"/>
      <c r="F3" s="22"/>
      <c r="G3" s="22"/>
      <c r="H3" s="22"/>
      <c r="I3" s="22"/>
      <c r="J3" s="2" t="s">
        <v>33</v>
      </c>
    </row>
    <row r="4" spans="1:11" s="9" customFormat="1" ht="12" x14ac:dyDescent="0.15">
      <c r="A4" s="18"/>
      <c r="B4" s="19"/>
      <c r="C4" s="13"/>
      <c r="D4" s="13"/>
      <c r="E4" s="13"/>
      <c r="F4" s="13"/>
      <c r="G4" s="14"/>
      <c r="H4" s="17"/>
      <c r="I4" s="15"/>
      <c r="J4" s="15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  <c r="K4" s="2"/>
    </row>
    <row r="5" spans="1:11" x14ac:dyDescent="0.25">
      <c r="C5" s="12"/>
    </row>
    <row r="6" spans="1:11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6" sqref="D6"/>
    </sheetView>
  </sheetViews>
  <sheetFormatPr defaultColWidth="8.796875" defaultRowHeight="18.75" x14ac:dyDescent="0.25"/>
  <cols>
    <col min="1" max="1" width="11.296875" style="1" customWidth="1"/>
    <col min="2" max="16384" width="8.796875" style="1"/>
  </cols>
  <sheetData>
    <row r="1" spans="1:1" x14ac:dyDescent="0.25">
      <c r="A1" s="21"/>
    </row>
    <row r="4" spans="1:1" x14ac:dyDescent="0.25">
      <c r="A4" s="21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Windows User</cp:lastModifiedBy>
  <dcterms:created xsi:type="dcterms:W3CDTF">2018-07-10T04:40:00Z</dcterms:created>
  <dcterms:modified xsi:type="dcterms:W3CDTF">2021-01-29T04:58:01Z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