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35" windowWidth="14805" windowHeight="798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I42" i="1" l="1"/>
  <c r="I43" i="1"/>
  <c r="I44" i="1"/>
  <c r="I45" i="1"/>
  <c r="I29" i="1" l="1"/>
  <c r="I40" i="1"/>
  <c r="I37" i="1"/>
  <c r="I27" i="1"/>
  <c r="I28" i="1"/>
  <c r="I31" i="1"/>
  <c r="I20" i="1"/>
  <c r="I17" i="1"/>
  <c r="I13" i="1"/>
  <c r="I10" i="1"/>
  <c r="I7" i="1"/>
  <c r="I38" i="1"/>
  <c r="I39" i="1"/>
  <c r="I21" i="1"/>
  <c r="I22" i="1"/>
  <c r="I23" i="1"/>
  <c r="I24" i="1"/>
  <c r="I25" i="1"/>
  <c r="I26" i="1"/>
  <c r="I30" i="1"/>
  <c r="I32" i="1"/>
  <c r="I33" i="1"/>
  <c r="I34" i="1"/>
  <c r="I35" i="1"/>
  <c r="I36" i="1"/>
  <c r="I18" i="1"/>
  <c r="I19" i="1"/>
  <c r="I14" i="1"/>
  <c r="I15" i="1"/>
  <c r="I16" i="1"/>
  <c r="I11" i="1"/>
  <c r="I12" i="1"/>
  <c r="I8" i="1"/>
  <c r="I9" i="1"/>
  <c r="I5" i="1"/>
  <c r="I6" i="1"/>
  <c r="I4" i="1"/>
</calcChain>
</file>

<file path=xl/sharedStrings.xml><?xml version="1.0" encoding="utf-8"?>
<sst xmlns="http://schemas.openxmlformats.org/spreadsheetml/2006/main" count="273" uniqueCount="103">
  <si>
    <t>序号</t>
  </si>
  <si>
    <t>查询条件UUID</t>
  </si>
  <si>
    <t>业务数据维护待维护表ID</t>
  </si>
  <si>
    <t>业务基础表字段代码</t>
  </si>
  <si>
    <t>业务基础表字段中文名称</t>
  </si>
  <si>
    <t>业务基础表字段类型，D代表日期，T代表文本，S代表序列, U代表UUID</t>
  </si>
  <si>
    <t>业务主键标志，Y代表是业务主键，N代表非业务主键</t>
  </si>
  <si>
    <t>数据字典代码，只有字段类型为S时才有值</t>
  </si>
  <si>
    <t>BASEINFORMATIONID</t>
  </si>
  <si>
    <t>BASECOLUMNID</t>
  </si>
  <si>
    <t>BASECOLUMNNAME</t>
  </si>
  <si>
    <t>BASECOLUMNTYPE</t>
  </si>
  <si>
    <t>BUSINESSPKFLAG</t>
  </si>
  <si>
    <t>DICTCODE</t>
  </si>
  <si>
    <t>CHB_INFOMGR_CONFIG</t>
    <phoneticPr fontId="1" type="noConversion"/>
  </si>
  <si>
    <t>CHB_PRD_DECLARE_SUB_TMP</t>
    <phoneticPr fontId="1" type="noConversion"/>
  </si>
  <si>
    <t>PROFIT_TYPE</t>
  </si>
  <si>
    <t>PROD_NAME</t>
  </si>
  <si>
    <t>PROD_INS_ID</t>
  </si>
  <si>
    <t>产品收益类型</t>
  </si>
  <si>
    <t>产品名称</t>
  </si>
  <si>
    <t>行内标识码</t>
  </si>
  <si>
    <t>S</t>
  </si>
  <si>
    <t>T</t>
  </si>
  <si>
    <t>N</t>
  </si>
  <si>
    <t>Y</t>
  </si>
  <si>
    <t>SVR_PROD_PROFIT_TYPE</t>
  </si>
  <si>
    <t>f_guid()</t>
    <phoneticPr fontId="1" type="noConversion"/>
  </si>
  <si>
    <t>f_guid()</t>
    <phoneticPr fontId="1" type="noConversion"/>
  </si>
  <si>
    <t>CHB_PRD_ISSUE_SUB_TMP</t>
    <phoneticPr fontId="1" type="noConversion"/>
  </si>
  <si>
    <t>PROD_ID</t>
  </si>
  <si>
    <t>理财产品代码</t>
  </si>
  <si>
    <t>RAISE_VDATE</t>
  </si>
  <si>
    <t>D</t>
    <phoneticPr fontId="1" type="noConversion"/>
  </si>
  <si>
    <t>募集起始日期</t>
    <phoneticPr fontId="1" type="noConversion"/>
  </si>
  <si>
    <t>CHB_PRD_RAISETOT_SUB_TMP</t>
    <phoneticPr fontId="2" type="noConversion"/>
  </si>
  <si>
    <t>ISSUE_PARTY_ID</t>
  </si>
  <si>
    <t>发行机构代码</t>
  </si>
  <si>
    <t>BASETABLEID</t>
    <phoneticPr fontId="1" type="noConversion"/>
  </si>
  <si>
    <t>CHB_PRD_ISSUE_SUB_TMP</t>
    <phoneticPr fontId="1" type="noConversion"/>
  </si>
  <si>
    <t>CHB_PRD_RAISETOT_SUB_TMP</t>
    <phoneticPr fontId="2" type="noConversion"/>
  </si>
  <si>
    <t>CHB_PRD_DEAL_SUB_TMP</t>
    <phoneticPr fontId="2" type="noConversion"/>
  </si>
  <si>
    <t>VDATE</t>
  </si>
  <si>
    <t>MDATE</t>
  </si>
  <si>
    <t>业务起始日</t>
  </si>
  <si>
    <t>业务结束日</t>
  </si>
  <si>
    <t>CHB_PRD_DEAL_SUB_TMP</t>
    <phoneticPr fontId="2" type="noConversion"/>
  </si>
  <si>
    <t>CHB_PRD_END_SUB_TMP</t>
  </si>
  <si>
    <t>PROD_ID</t>
    <phoneticPr fontId="2" type="noConversion"/>
  </si>
  <si>
    <t>产品代码</t>
  </si>
  <si>
    <t>实际终止日期</t>
  </si>
  <si>
    <t>ASSET_CODE</t>
  </si>
  <si>
    <t>ASSET_TYPE2</t>
    <phoneticPr fontId="1" type="noConversion"/>
  </si>
  <si>
    <t>ASSET_ID</t>
  </si>
  <si>
    <t>ASSET_NAME</t>
  </si>
  <si>
    <t>资产代码</t>
  </si>
  <si>
    <t>资产名称</t>
  </si>
  <si>
    <t>起息日</t>
  </si>
  <si>
    <t>到期日</t>
  </si>
  <si>
    <t>行内资产负债编码</t>
  </si>
  <si>
    <t>CHB_BOT_AST_POS_SUB_TMP</t>
  </si>
  <si>
    <t>POS_DATE</t>
  </si>
  <si>
    <t>持仓日期</t>
  </si>
  <si>
    <t>行内资产/负债编码</t>
  </si>
  <si>
    <t>CHB_INVEST_TRADE_SUB_TMP</t>
  </si>
  <si>
    <t>TRADE_CODE</t>
  </si>
  <si>
    <t>行内交易编码</t>
  </si>
  <si>
    <t>CUR_ASSET_TYPE</t>
  </si>
  <si>
    <t>资金流动类型</t>
  </si>
  <si>
    <t>DEALDATE</t>
    <phoneticPr fontId="1" type="noConversion"/>
  </si>
  <si>
    <t>交易日</t>
  </si>
  <si>
    <t>SVR_FUND_FLOW_TYPE</t>
  </si>
  <si>
    <t>CHB_AST_VAL_SUB_TMP</t>
    <phoneticPr fontId="1" type="noConversion"/>
  </si>
  <si>
    <t>ASSET_CODE</t>
    <phoneticPr fontId="1" type="noConversion"/>
  </si>
  <si>
    <t>行内资产/负债编码</t>
    <phoneticPr fontId="1" type="noConversion"/>
  </si>
  <si>
    <t>VAL_DATE</t>
  </si>
  <si>
    <t>估值日期</t>
    <phoneticPr fontId="1" type="noConversion"/>
  </si>
  <si>
    <t>CHB_INTERF_ERRODATA</t>
  </si>
  <si>
    <t>INTERF_TYPE</t>
  </si>
  <si>
    <t>接口类型</t>
  </si>
  <si>
    <t>DATAUUID</t>
  </si>
  <si>
    <t>uuid技术主键</t>
  </si>
  <si>
    <t>U</t>
  </si>
  <si>
    <t>FIRE_NAME</t>
  </si>
  <si>
    <t>文件名称</t>
  </si>
  <si>
    <t>DATAID</t>
  </si>
  <si>
    <t>业务主键</t>
  </si>
  <si>
    <t>ERR_MSG</t>
  </si>
  <si>
    <t>错误信息</t>
  </si>
  <si>
    <t>CHB_PRD_DECLARE_SUB_TMP</t>
    <phoneticPr fontId="1" type="noConversion"/>
  </si>
  <si>
    <t>ROW_DATE</t>
    <phoneticPr fontId="1" type="noConversion"/>
  </si>
  <si>
    <t>数据日期</t>
    <phoneticPr fontId="1" type="noConversion"/>
  </si>
  <si>
    <t>D</t>
    <phoneticPr fontId="1" type="noConversion"/>
  </si>
  <si>
    <t>CHB_INTERF_ERRODATA</t>
    <phoneticPr fontId="1" type="noConversion"/>
  </si>
  <si>
    <t>delete from CHB_INFOMGR_CONFIG where BASETABLEID in ('CHB_PRD_DECLARE_SUB_TMP','CHB_PRD_ISSUE_SUB_TMP','CHB_PRD_RAISETOT_SUB_TMP','CHB_PRD_DEAL_SUB_TMP','CHB_PRD_END_SUB_TMP','CHB_ASSET_INFO_TMP','CHB_BOT_AST_POS_SUB_TMP','CHB_INVEST_TRADE_SUB_TMP','CHB_AST_VAL_SUB_TMP','CHB_INTERF_ERRODATA');</t>
    <phoneticPr fontId="1" type="noConversion"/>
  </si>
  <si>
    <t>PROD_ID</t>
    <phoneticPr fontId="1" type="noConversion"/>
  </si>
  <si>
    <t>理财产品代码</t>
    <phoneticPr fontId="1" type="noConversion"/>
  </si>
  <si>
    <t>S</t>
    <phoneticPr fontId="1" type="noConversion"/>
  </si>
  <si>
    <t>PLAN_ASSET_ID</t>
    <phoneticPr fontId="1" type="noConversion"/>
  </si>
  <si>
    <t>资管计划代码</t>
    <phoneticPr fontId="1" type="noConversion"/>
  </si>
  <si>
    <t>SVR_ASSET_TYPE_SECOND_LEVEL</t>
    <phoneticPr fontId="1" type="noConversion"/>
  </si>
  <si>
    <t>资产/负债类别</t>
    <phoneticPr fontId="1" type="noConversion"/>
  </si>
  <si>
    <t>CHB_ASSET_INFO_TMP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</si>
</sst>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宋体"/>
      <family val="2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rgb="FF333333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3" fillId="3" borderId="0" xfId="0" applyFont="1" applyFill="1"/>
    <xf numFmtId="0" fontId="4" fillId="2" borderId="0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vertical="center"/>
    </xf>
    <xf numFmtId="0" fontId="4" fillId="6" borderId="0" xfId="0" applyFont="1" applyFill="1"/>
    <xf numFmtId="0" fontId="6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5" borderId="0" xfId="0" applyFont="1" applyFill="1"/>
    <xf numFmtId="0" fontId="5" fillId="4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D21" workbookViewId="0">
      <selection activeCell="I49" sqref="I49"/>
    </sheetView>
  </sheetViews>
  <sheetFormatPr defaultRowHeight="11.25" x14ac:dyDescent="0.15"/>
  <cols>
    <col min="1" max="1" width="9" style="1"/>
    <col min="2" max="2" width="22.125" style="1" customWidth="1"/>
    <col min="3" max="3" width="28.875" style="1" customWidth="1"/>
    <col min="4" max="4" width="19.25" style="1" bestFit="1" customWidth="1"/>
    <col min="5" max="5" width="27.25" style="1" customWidth="1"/>
    <col min="6" max="6" width="31.75" style="1" customWidth="1"/>
    <col min="7" max="7" width="29.25" style="1" customWidth="1"/>
    <col min="8" max="8" width="20.125" style="1" customWidth="1"/>
    <col min="9" max="16384" width="9" style="1"/>
  </cols>
  <sheetData>
    <row r="1" spans="1:9" x14ac:dyDescent="0.15">
      <c r="B1" s="2" t="s">
        <v>8</v>
      </c>
      <c r="C1" s="2" t="s">
        <v>38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9" ht="22.5" x14ac:dyDescent="0.15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4" t="s">
        <v>5</v>
      </c>
      <c r="G2" s="4" t="s">
        <v>6</v>
      </c>
      <c r="H2" s="4" t="s">
        <v>7</v>
      </c>
    </row>
    <row r="3" spans="1:9" x14ac:dyDescent="0.15">
      <c r="A3" s="12" t="s">
        <v>14</v>
      </c>
      <c r="B3" s="12"/>
      <c r="C3" s="12"/>
      <c r="D3" s="12"/>
      <c r="E3" s="12"/>
      <c r="F3" s="12"/>
      <c r="G3" s="12"/>
      <c r="H3" s="12"/>
      <c r="I3" s="1" t="s">
        <v>94</v>
      </c>
    </row>
    <row r="4" spans="1:9" x14ac:dyDescent="0.15">
      <c r="A4" s="1">
        <v>1</v>
      </c>
      <c r="B4" s="1" t="s">
        <v>27</v>
      </c>
      <c r="C4" s="1" t="s">
        <v>15</v>
      </c>
      <c r="D4" s="1" t="s">
        <v>16</v>
      </c>
      <c r="E4" s="1" t="s">
        <v>19</v>
      </c>
      <c r="F4" s="1" t="s">
        <v>22</v>
      </c>
      <c r="G4" s="1" t="s">
        <v>24</v>
      </c>
      <c r="H4" s="1" t="s">
        <v>26</v>
      </c>
      <c r="I4" s="1" t="str">
        <f>CONCATENATE("insert into CHB_INFOMGR_CONFIG (BASEINFORMATIONID,BASETABLEID,BASECOLUMNID,BASECOLUMNNAME,BASECOLUMNTYPE,BUSINESSPKFLAG,DICTCODE) values (",B4,",'",C4,"','",D4,"','",E4,"','",F4,"','",G4,"','",H4,"');")</f>
        <v>insert into CHB_INFOMGR_CONFIG (BASEINFORMATIONID,BASETABLEID,BASECOLUMNID,BASECOLUMNNAME,BASECOLUMNTYPE,BUSINESSPKFLAG,DICTCODE) values (f_guid(),'CHB_PRD_DECLARE_SUB_TMP','PROFIT_TYPE','产品收益类型','S','N','SVR_PROD_PROFIT_TYPE');</v>
      </c>
    </row>
    <row r="5" spans="1:9" x14ac:dyDescent="0.15">
      <c r="A5" s="1">
        <v>2</v>
      </c>
      <c r="B5" s="1" t="s">
        <v>28</v>
      </c>
      <c r="C5" s="1" t="s">
        <v>15</v>
      </c>
      <c r="D5" s="1" t="s">
        <v>17</v>
      </c>
      <c r="E5" s="1" t="s">
        <v>20</v>
      </c>
      <c r="F5" s="1" t="s">
        <v>23</v>
      </c>
      <c r="G5" s="1" t="s">
        <v>24</v>
      </c>
      <c r="I5" s="1" t="str">
        <f t="shared" ref="I5:I40" si="0">CONCATENATE("insert into CHB_INFOMGR_CONFIG (BASEINFORMATIONID,BASETABLEID,BASECOLUMNID,BASECOLUMNNAME,BASECOLUMNTYPE,BUSINESSPKFLAG,DICTCODE) values (",B5,",'",C5,"','",D5,"','",E5,"','",F5,"','",G5,"','",H5,"');")</f>
        <v>insert into CHB_INFOMGR_CONFIG (BASEINFORMATIONID,BASETABLEID,BASECOLUMNID,BASECOLUMNNAME,BASECOLUMNTYPE,BUSINESSPKFLAG,DICTCODE) values (f_guid(),'CHB_PRD_DECLARE_SUB_TMP','PROD_NAME','产品名称','T','N','');</v>
      </c>
    </row>
    <row r="6" spans="1:9" x14ac:dyDescent="0.15">
      <c r="A6" s="1">
        <v>3</v>
      </c>
      <c r="B6" s="1" t="s">
        <v>28</v>
      </c>
      <c r="C6" s="1" t="s">
        <v>89</v>
      </c>
      <c r="D6" s="1" t="s">
        <v>18</v>
      </c>
      <c r="E6" s="1" t="s">
        <v>21</v>
      </c>
      <c r="F6" s="1" t="s">
        <v>23</v>
      </c>
      <c r="G6" s="1" t="s">
        <v>25</v>
      </c>
      <c r="I6" s="1" t="str">
        <f t="shared" si="0"/>
        <v>insert into CHB_INFOMGR_CONFIG (BASEINFORMATIONID,BASETABLEID,BASECOLUMNID,BASECOLUMNNAME,BASECOLUMNTYPE,BUSINESSPKFLAG,DICTCODE) values (f_guid(),'CHB_PRD_DECLARE_SUB_TMP','PROD_INS_ID','行内标识码','T','Y','');</v>
      </c>
    </row>
    <row r="7" spans="1:9" x14ac:dyDescent="0.15">
      <c r="B7" s="1" t="s">
        <v>28</v>
      </c>
      <c r="C7" s="1" t="s">
        <v>89</v>
      </c>
      <c r="D7" s="1" t="s">
        <v>90</v>
      </c>
      <c r="E7" s="1" t="s">
        <v>91</v>
      </c>
      <c r="F7" s="1" t="s">
        <v>92</v>
      </c>
      <c r="G7" s="1" t="s">
        <v>25</v>
      </c>
      <c r="I7" s="1" t="str">
        <f t="shared" si="0"/>
        <v>insert into CHB_INFOMGR_CONFIG (BASEINFORMATIONID,BASETABLEID,BASECOLUMNID,BASECOLUMNNAME,BASECOLUMNTYPE,BUSINESSPKFLAG,DICTCODE) values (f_guid(),'CHB_PRD_DECLARE_SUB_TMP','ROW_DATE','数据日期','D','Y','');</v>
      </c>
    </row>
    <row r="8" spans="1:9" x14ac:dyDescent="0.15">
      <c r="A8" s="1">
        <v>4</v>
      </c>
      <c r="B8" s="1" t="s">
        <v>28</v>
      </c>
      <c r="C8" s="5" t="s">
        <v>39</v>
      </c>
      <c r="D8" s="5" t="s">
        <v>30</v>
      </c>
      <c r="E8" s="6" t="s">
        <v>31</v>
      </c>
      <c r="F8" s="1" t="s">
        <v>23</v>
      </c>
      <c r="G8" s="1" t="s">
        <v>25</v>
      </c>
      <c r="I8" s="1" t="str">
        <f t="shared" si="0"/>
        <v>insert into CHB_INFOMGR_CONFIG (BASEINFORMATIONID,BASETABLEID,BASECOLUMNID,BASECOLUMNNAME,BASECOLUMNTYPE,BUSINESSPKFLAG,DICTCODE) values (f_guid(),'CHB_PRD_ISSUE_SUB_TMP','PROD_ID','理财产品代码','T','Y','');</v>
      </c>
    </row>
    <row r="9" spans="1:9" x14ac:dyDescent="0.15">
      <c r="A9" s="1">
        <v>5</v>
      </c>
      <c r="B9" s="1" t="s">
        <v>28</v>
      </c>
      <c r="C9" s="5" t="s">
        <v>29</v>
      </c>
      <c r="D9" s="6" t="s">
        <v>32</v>
      </c>
      <c r="E9" s="6" t="s">
        <v>34</v>
      </c>
      <c r="F9" s="1" t="s">
        <v>33</v>
      </c>
      <c r="G9" s="1" t="s">
        <v>24</v>
      </c>
      <c r="I9" s="1" t="str">
        <f t="shared" si="0"/>
        <v>insert into CHB_INFOMGR_CONFIG (BASEINFORMATIONID,BASETABLEID,BASECOLUMNID,BASECOLUMNNAME,BASECOLUMNTYPE,BUSINESSPKFLAG,DICTCODE) values (f_guid(),'CHB_PRD_ISSUE_SUB_TMP','RAISE_VDATE','募集起始日期','D','N','');</v>
      </c>
    </row>
    <row r="10" spans="1:9" x14ac:dyDescent="0.15">
      <c r="B10" s="1" t="s">
        <v>28</v>
      </c>
      <c r="C10" s="5" t="s">
        <v>29</v>
      </c>
      <c r="D10" s="1" t="s">
        <v>90</v>
      </c>
      <c r="E10" s="1" t="s">
        <v>91</v>
      </c>
      <c r="F10" s="1" t="s">
        <v>92</v>
      </c>
      <c r="G10" s="1" t="s">
        <v>25</v>
      </c>
      <c r="I10" s="1" t="str">
        <f t="shared" si="0"/>
        <v>insert into CHB_INFOMGR_CONFIG (BASEINFORMATIONID,BASETABLEID,BASECOLUMNID,BASECOLUMNNAME,BASECOLUMNTYPE,BUSINESSPKFLAG,DICTCODE) values (f_guid(),'CHB_PRD_ISSUE_SUB_TMP','ROW_DATE','数据日期','D','Y','');</v>
      </c>
    </row>
    <row r="11" spans="1:9" s="7" customFormat="1" x14ac:dyDescent="0.15">
      <c r="A11" s="7">
        <v>6</v>
      </c>
      <c r="B11" s="7" t="s">
        <v>28</v>
      </c>
      <c r="C11" s="8" t="s">
        <v>40</v>
      </c>
      <c r="D11" s="9" t="s">
        <v>95</v>
      </c>
      <c r="E11" s="7" t="s">
        <v>96</v>
      </c>
      <c r="F11" s="7" t="s">
        <v>23</v>
      </c>
      <c r="G11" s="7" t="s">
        <v>25</v>
      </c>
      <c r="I11" s="7" t="str">
        <f t="shared" si="0"/>
        <v>insert into CHB_INFOMGR_CONFIG (BASEINFORMATIONID,BASETABLEID,BASECOLUMNID,BASECOLUMNNAME,BASECOLUMNTYPE,BUSINESSPKFLAG,DICTCODE) values (f_guid(),'CHB_PRD_RAISETOT_SUB_TMP','PROD_ID','理财产品代码','T','Y','');</v>
      </c>
    </row>
    <row r="12" spans="1:9" x14ac:dyDescent="0.15">
      <c r="A12" s="1">
        <v>7</v>
      </c>
      <c r="B12" s="1" t="s">
        <v>28</v>
      </c>
      <c r="C12" s="10" t="s">
        <v>35</v>
      </c>
      <c r="D12" s="6" t="s">
        <v>36</v>
      </c>
      <c r="E12" s="1" t="s">
        <v>37</v>
      </c>
      <c r="F12" s="1" t="s">
        <v>23</v>
      </c>
      <c r="G12" s="1" t="s">
        <v>24</v>
      </c>
      <c r="I12" s="1" t="str">
        <f t="shared" si="0"/>
        <v>insert into CHB_INFOMGR_CONFIG (BASEINFORMATIONID,BASETABLEID,BASECOLUMNID,BASECOLUMNNAME,BASECOLUMNTYPE,BUSINESSPKFLAG,DICTCODE) values (f_guid(),'CHB_PRD_RAISETOT_SUB_TMP','ISSUE_PARTY_ID','发行机构代码','T','N','');</v>
      </c>
    </row>
    <row r="13" spans="1:9" x14ac:dyDescent="0.15">
      <c r="B13" s="1" t="s">
        <v>28</v>
      </c>
      <c r="C13" s="10" t="s">
        <v>35</v>
      </c>
      <c r="D13" s="1" t="s">
        <v>90</v>
      </c>
      <c r="E13" s="1" t="s">
        <v>91</v>
      </c>
      <c r="F13" s="1" t="s">
        <v>92</v>
      </c>
      <c r="G13" s="1" t="s">
        <v>25</v>
      </c>
      <c r="I13" s="1" t="str">
        <f t="shared" si="0"/>
        <v>insert into CHB_INFOMGR_CONFIG (BASEINFORMATIONID,BASETABLEID,BASECOLUMNID,BASECOLUMNNAME,BASECOLUMNTYPE,BUSINESSPKFLAG,DICTCODE) values (f_guid(),'CHB_PRD_RAISETOT_SUB_TMP','ROW_DATE','数据日期','D','Y','');</v>
      </c>
    </row>
    <row r="14" spans="1:9" x14ac:dyDescent="0.15">
      <c r="A14" s="1">
        <v>8</v>
      </c>
      <c r="B14" s="1" t="s">
        <v>28</v>
      </c>
      <c r="C14" s="10" t="s">
        <v>46</v>
      </c>
      <c r="D14" s="5" t="s">
        <v>30</v>
      </c>
      <c r="E14" s="6" t="s">
        <v>31</v>
      </c>
      <c r="F14" s="1" t="s">
        <v>23</v>
      </c>
      <c r="G14" s="1" t="s">
        <v>25</v>
      </c>
      <c r="I14" s="1" t="str">
        <f t="shared" si="0"/>
        <v>insert into CHB_INFOMGR_CONFIG (BASEINFORMATIONID,BASETABLEID,BASECOLUMNID,BASECOLUMNNAME,BASECOLUMNTYPE,BUSINESSPKFLAG,DICTCODE) values (f_guid(),'CHB_PRD_DEAL_SUB_TMP','PROD_ID','理财产品代码','T','Y','');</v>
      </c>
    </row>
    <row r="15" spans="1:9" x14ac:dyDescent="0.15">
      <c r="A15" s="1">
        <v>9</v>
      </c>
      <c r="B15" s="1" t="s">
        <v>28</v>
      </c>
      <c r="C15" s="10" t="s">
        <v>41</v>
      </c>
      <c r="D15" s="6" t="s">
        <v>42</v>
      </c>
      <c r="E15" s="6" t="s">
        <v>44</v>
      </c>
      <c r="F15" s="1" t="s">
        <v>33</v>
      </c>
      <c r="G15" s="1" t="s">
        <v>24</v>
      </c>
      <c r="I15" s="1" t="str">
        <f t="shared" si="0"/>
        <v>insert into CHB_INFOMGR_CONFIG (BASEINFORMATIONID,BASETABLEID,BASECOLUMNID,BASECOLUMNNAME,BASECOLUMNTYPE,BUSINESSPKFLAG,DICTCODE) values (f_guid(),'CHB_PRD_DEAL_SUB_TMP','VDATE','业务起始日','D','N','');</v>
      </c>
    </row>
    <row r="16" spans="1:9" x14ac:dyDescent="0.15">
      <c r="A16" s="1">
        <v>10</v>
      </c>
      <c r="B16" s="1" t="s">
        <v>28</v>
      </c>
      <c r="C16" s="10" t="s">
        <v>41</v>
      </c>
      <c r="D16" s="5" t="s">
        <v>43</v>
      </c>
      <c r="E16" s="5" t="s">
        <v>45</v>
      </c>
      <c r="F16" s="1" t="s">
        <v>33</v>
      </c>
      <c r="G16" s="1" t="s">
        <v>25</v>
      </c>
      <c r="I16" s="1" t="str">
        <f t="shared" si="0"/>
        <v>insert into CHB_INFOMGR_CONFIG (BASEINFORMATIONID,BASETABLEID,BASECOLUMNID,BASECOLUMNNAME,BASECOLUMNTYPE,BUSINESSPKFLAG,DICTCODE) values (f_guid(),'CHB_PRD_DEAL_SUB_TMP','MDATE','业务结束日','D','Y','');</v>
      </c>
    </row>
    <row r="17" spans="1:9" x14ac:dyDescent="0.15">
      <c r="B17" s="1" t="s">
        <v>28</v>
      </c>
      <c r="C17" s="10" t="s">
        <v>41</v>
      </c>
      <c r="D17" s="1" t="s">
        <v>90</v>
      </c>
      <c r="E17" s="1" t="s">
        <v>91</v>
      </c>
      <c r="F17" s="1" t="s">
        <v>92</v>
      </c>
      <c r="G17" s="1" t="s">
        <v>25</v>
      </c>
      <c r="I17" s="1" t="str">
        <f t="shared" si="0"/>
        <v>insert into CHB_INFOMGR_CONFIG (BASEINFORMATIONID,BASETABLEID,BASECOLUMNID,BASECOLUMNNAME,BASECOLUMNTYPE,BUSINESSPKFLAG,DICTCODE) values (f_guid(),'CHB_PRD_DEAL_SUB_TMP','ROW_DATE','数据日期','D','Y','');</v>
      </c>
    </row>
    <row r="18" spans="1:9" x14ac:dyDescent="0.15">
      <c r="A18" s="1">
        <v>11</v>
      </c>
      <c r="B18" s="1" t="s">
        <v>28</v>
      </c>
      <c r="C18" s="5" t="s">
        <v>47</v>
      </c>
      <c r="D18" s="5" t="s">
        <v>48</v>
      </c>
      <c r="E18" s="5" t="s">
        <v>49</v>
      </c>
      <c r="F18" s="1" t="s">
        <v>23</v>
      </c>
      <c r="G18" s="1" t="s">
        <v>25</v>
      </c>
      <c r="I18" s="1" t="str">
        <f t="shared" si="0"/>
        <v>insert into CHB_INFOMGR_CONFIG (BASEINFORMATIONID,BASETABLEID,BASECOLUMNID,BASECOLUMNNAME,BASECOLUMNTYPE,BUSINESSPKFLAG,DICTCODE) values (f_guid(),'CHB_PRD_END_SUB_TMP','PROD_ID','产品代码','T','Y','');</v>
      </c>
    </row>
    <row r="19" spans="1:9" x14ac:dyDescent="0.15">
      <c r="A19" s="1">
        <v>12</v>
      </c>
      <c r="B19" s="1" t="s">
        <v>28</v>
      </c>
      <c r="C19" s="5" t="s">
        <v>47</v>
      </c>
      <c r="D19" s="5" t="s">
        <v>43</v>
      </c>
      <c r="E19" s="5" t="s">
        <v>50</v>
      </c>
      <c r="F19" s="1" t="s">
        <v>33</v>
      </c>
      <c r="G19" s="1" t="s">
        <v>24</v>
      </c>
      <c r="I19" s="1" t="str">
        <f t="shared" si="0"/>
        <v>insert into CHB_INFOMGR_CONFIG (BASEINFORMATIONID,BASETABLEID,BASECOLUMNID,BASECOLUMNNAME,BASECOLUMNTYPE,BUSINESSPKFLAG,DICTCODE) values (f_guid(),'CHB_PRD_END_SUB_TMP','MDATE','实际终止日期','D','N','');</v>
      </c>
    </row>
    <row r="20" spans="1:9" x14ac:dyDescent="0.15">
      <c r="B20" s="1" t="s">
        <v>28</v>
      </c>
      <c r="C20" s="5" t="s">
        <v>47</v>
      </c>
      <c r="D20" s="1" t="s">
        <v>90</v>
      </c>
      <c r="E20" s="1" t="s">
        <v>91</v>
      </c>
      <c r="F20" s="1" t="s">
        <v>92</v>
      </c>
      <c r="G20" s="1" t="s">
        <v>25</v>
      </c>
      <c r="I20" s="1" t="str">
        <f t="shared" si="0"/>
        <v>insert into CHB_INFOMGR_CONFIG (BASEINFORMATIONID,BASETABLEID,BASECOLUMNID,BASECOLUMNNAME,BASECOLUMNTYPE,BUSINESSPKFLAG,DICTCODE) values (f_guid(),'CHB_PRD_END_SUB_TMP','ROW_DATE','数据日期','D','Y','');</v>
      </c>
    </row>
    <row r="21" spans="1:9" x14ac:dyDescent="0.15">
      <c r="A21" s="1">
        <v>13</v>
      </c>
      <c r="B21" s="1" t="s">
        <v>28</v>
      </c>
      <c r="C21" s="11" t="s">
        <v>102</v>
      </c>
      <c r="D21" s="5" t="s">
        <v>51</v>
      </c>
      <c r="E21" s="5" t="s">
        <v>59</v>
      </c>
      <c r="F21" s="1" t="s">
        <v>23</v>
      </c>
      <c r="G21" s="1" t="s">
        <v>25</v>
      </c>
      <c r="I21" s="1" t="str">
        <f t="shared" si="0"/>
        <v>insert into CHB_INFOMGR_CONFIG (BASEINFORMATIONID,BASETABLEID,BASECOLUMNID,BASECOLUMNNAME,BASECOLUMNTYPE,BUSINESSPKFLAG,DICTCODE) values (f_guid(),'CHB_ASSET_INFO_TMP','ASSET_CODE','行内资产负债编码','T','Y','');</v>
      </c>
    </row>
    <row r="22" spans="1:9" x14ac:dyDescent="0.15">
      <c r="A22" s="1">
        <v>14</v>
      </c>
      <c r="B22" s="1" t="s">
        <v>28</v>
      </c>
      <c r="C22" s="11" t="s">
        <v>102</v>
      </c>
      <c r="D22" s="5" t="s">
        <v>52</v>
      </c>
      <c r="E22" s="5" t="s">
        <v>101</v>
      </c>
      <c r="F22" s="1" t="s">
        <v>97</v>
      </c>
      <c r="G22" s="1" t="s">
        <v>24</v>
      </c>
      <c r="H22" s="1" t="s">
        <v>100</v>
      </c>
      <c r="I22" s="1" t="str">
        <f t="shared" si="0"/>
        <v>insert into CHB_INFOMGR_CONFIG (BASEINFORMATIONID,BASETABLEID,BASECOLUMNID,BASECOLUMNNAME,BASECOLUMNTYPE,BUSINESSPKFLAG,DICTCODE) values (f_guid(),'CHB_ASSET_INFO_TMP','ASSET_TYPE2','资产/负债类别','S','N','SVR_ASSET_TYPE_SECOND_LEVEL');</v>
      </c>
    </row>
    <row r="23" spans="1:9" x14ac:dyDescent="0.15">
      <c r="A23" s="1">
        <v>15</v>
      </c>
      <c r="B23" s="1" t="s">
        <v>28</v>
      </c>
      <c r="C23" s="11" t="s">
        <v>102</v>
      </c>
      <c r="D23" s="5" t="s">
        <v>42</v>
      </c>
      <c r="E23" s="5" t="s">
        <v>57</v>
      </c>
      <c r="F23" s="1" t="s">
        <v>33</v>
      </c>
      <c r="G23" s="1" t="s">
        <v>24</v>
      </c>
      <c r="I23" s="1" t="str">
        <f t="shared" si="0"/>
        <v>insert into CHB_INFOMGR_CONFIG (BASEINFORMATIONID,BASETABLEID,BASECOLUMNID,BASECOLUMNNAME,BASECOLUMNTYPE,BUSINESSPKFLAG,DICTCODE) values (f_guid(),'CHB_ASSET_INFO_TMP','VDATE','起息日','D','N','');</v>
      </c>
    </row>
    <row r="24" spans="1:9" x14ac:dyDescent="0.15">
      <c r="A24" s="1">
        <v>16</v>
      </c>
      <c r="B24" s="1" t="s">
        <v>28</v>
      </c>
      <c r="C24" s="11" t="s">
        <v>102</v>
      </c>
      <c r="D24" s="5" t="s">
        <v>43</v>
      </c>
      <c r="E24" s="5" t="s">
        <v>58</v>
      </c>
      <c r="F24" s="1" t="s">
        <v>33</v>
      </c>
      <c r="G24" s="1" t="s">
        <v>24</v>
      </c>
      <c r="I24" s="1" t="str">
        <f t="shared" si="0"/>
        <v>insert into CHB_INFOMGR_CONFIG (BASEINFORMATIONID,BASETABLEID,BASECOLUMNID,BASECOLUMNNAME,BASECOLUMNTYPE,BUSINESSPKFLAG,DICTCODE) values (f_guid(),'CHB_ASSET_INFO_TMP','MDATE','到期日','D','N','');</v>
      </c>
    </row>
    <row r="25" spans="1:9" x14ac:dyDescent="0.15">
      <c r="A25" s="1">
        <v>17</v>
      </c>
      <c r="B25" s="1" t="s">
        <v>28</v>
      </c>
      <c r="C25" s="11" t="s">
        <v>102</v>
      </c>
      <c r="D25" s="5" t="s">
        <v>53</v>
      </c>
      <c r="E25" s="5" t="s">
        <v>55</v>
      </c>
      <c r="F25" s="1" t="s">
        <v>23</v>
      </c>
      <c r="G25" s="1" t="s">
        <v>24</v>
      </c>
      <c r="I25" s="1" t="str">
        <f t="shared" si="0"/>
        <v>insert into CHB_INFOMGR_CONFIG (BASEINFORMATIONID,BASETABLEID,BASECOLUMNID,BASECOLUMNNAME,BASECOLUMNTYPE,BUSINESSPKFLAG,DICTCODE) values (f_guid(),'CHB_ASSET_INFO_TMP','ASSET_ID','资产代码','T','N','');</v>
      </c>
    </row>
    <row r="26" spans="1:9" x14ac:dyDescent="0.15">
      <c r="A26" s="1">
        <v>18</v>
      </c>
      <c r="B26" s="1" t="s">
        <v>28</v>
      </c>
      <c r="C26" s="11" t="s">
        <v>102</v>
      </c>
      <c r="D26" s="5" t="s">
        <v>54</v>
      </c>
      <c r="E26" s="5" t="s">
        <v>56</v>
      </c>
      <c r="F26" s="1" t="s">
        <v>23</v>
      </c>
      <c r="G26" s="1" t="s">
        <v>24</v>
      </c>
      <c r="I26" s="1" t="str">
        <f t="shared" si="0"/>
        <v>insert into CHB_INFOMGR_CONFIG (BASEINFORMATIONID,BASETABLEID,BASECOLUMNID,BASECOLUMNNAME,BASECOLUMNTYPE,BUSINESSPKFLAG,DICTCODE) values (f_guid(),'CHB_ASSET_INFO_TMP','ASSET_NAME','资产名称','T','N','');</v>
      </c>
    </row>
    <row r="27" spans="1:9" x14ac:dyDescent="0.15">
      <c r="B27" s="1" t="s">
        <v>28</v>
      </c>
      <c r="C27" s="11" t="s">
        <v>102</v>
      </c>
      <c r="D27" s="1" t="s">
        <v>90</v>
      </c>
      <c r="E27" s="1" t="s">
        <v>91</v>
      </c>
      <c r="F27" s="1" t="s">
        <v>92</v>
      </c>
      <c r="G27" s="1" t="s">
        <v>25</v>
      </c>
      <c r="I27" s="1" t="str">
        <f t="shared" si="0"/>
        <v>insert into CHB_INFOMGR_CONFIG (BASEINFORMATIONID,BASETABLEID,BASECOLUMNID,BASECOLUMNNAME,BASECOLUMNTYPE,BUSINESSPKFLAG,DICTCODE) values (f_guid(),'CHB_ASSET_INFO_TMP','ROW_DATE','数据日期','D','Y','');</v>
      </c>
    </row>
    <row r="28" spans="1:9" x14ac:dyDescent="0.15">
      <c r="A28" s="1">
        <v>19</v>
      </c>
      <c r="B28" s="1" t="s">
        <v>28</v>
      </c>
      <c r="C28" s="1" t="s">
        <v>60</v>
      </c>
      <c r="D28" s="1" t="s">
        <v>61</v>
      </c>
      <c r="E28" s="1" t="s">
        <v>62</v>
      </c>
      <c r="F28" s="1" t="s">
        <v>33</v>
      </c>
      <c r="G28" s="1" t="s">
        <v>24</v>
      </c>
      <c r="I28" s="1" t="str">
        <f t="shared" si="0"/>
        <v>insert into CHB_INFOMGR_CONFIG (BASEINFORMATIONID,BASETABLEID,BASECOLUMNID,BASECOLUMNNAME,BASECOLUMNTYPE,BUSINESSPKFLAG,DICTCODE) values (f_guid(),'CHB_BOT_AST_POS_SUB_TMP','POS_DATE','持仓日期','D','N','');</v>
      </c>
    </row>
    <row r="29" spans="1:9" x14ac:dyDescent="0.15">
      <c r="A29" s="1">
        <v>20</v>
      </c>
      <c r="B29" s="1" t="s">
        <v>27</v>
      </c>
      <c r="C29" s="1" t="s">
        <v>60</v>
      </c>
      <c r="D29" s="1" t="s">
        <v>98</v>
      </c>
      <c r="E29" s="1" t="s">
        <v>99</v>
      </c>
      <c r="F29" s="1" t="s">
        <v>23</v>
      </c>
      <c r="G29" s="1" t="s">
        <v>25</v>
      </c>
      <c r="I29" s="1" t="str">
        <f t="shared" ref="I29" si="1">CONCATENATE("insert into CHB_INFOMGR_CONFIG (BASEINFORMATIONID,BASETABLEID,BASECOLUMNID,BASECOLUMNNAME,BASECOLUMNTYPE,BUSINESSPKFLAG,DICTCODE) values (",B29,",'",C29,"','",D29,"','",E29,"','",F29,"','",G29,"','",H29,"');")</f>
        <v>insert into CHB_INFOMGR_CONFIG (BASEINFORMATIONID,BASETABLEID,BASECOLUMNID,BASECOLUMNNAME,BASECOLUMNTYPE,BUSINESSPKFLAG,DICTCODE) values (f_guid(),'CHB_BOT_AST_POS_SUB_TMP','PLAN_ASSET_ID','资管计划代码','T','Y','');</v>
      </c>
    </row>
    <row r="30" spans="1:9" x14ac:dyDescent="0.15">
      <c r="A30" s="1">
        <v>20</v>
      </c>
      <c r="B30" s="1" t="s">
        <v>28</v>
      </c>
      <c r="C30" s="1" t="s">
        <v>60</v>
      </c>
      <c r="D30" s="1" t="s">
        <v>51</v>
      </c>
      <c r="E30" s="1" t="s">
        <v>63</v>
      </c>
      <c r="F30" s="1" t="s">
        <v>23</v>
      </c>
      <c r="G30" s="1" t="s">
        <v>25</v>
      </c>
      <c r="I30" s="1" t="str">
        <f t="shared" si="0"/>
        <v>insert into CHB_INFOMGR_CONFIG (BASEINFORMATIONID,BASETABLEID,BASECOLUMNID,BASECOLUMNNAME,BASECOLUMNTYPE,BUSINESSPKFLAG,DICTCODE) values (f_guid(),'CHB_BOT_AST_POS_SUB_TMP','ASSET_CODE','行内资产/负债编码','T','Y','');</v>
      </c>
    </row>
    <row r="31" spans="1:9" x14ac:dyDescent="0.15">
      <c r="B31" s="1" t="s">
        <v>28</v>
      </c>
      <c r="C31" s="1" t="s">
        <v>60</v>
      </c>
      <c r="D31" s="1" t="s">
        <v>90</v>
      </c>
      <c r="E31" s="1" t="s">
        <v>91</v>
      </c>
      <c r="F31" s="1" t="s">
        <v>92</v>
      </c>
      <c r="G31" s="1" t="s">
        <v>25</v>
      </c>
      <c r="I31" s="1" t="str">
        <f t="shared" si="0"/>
        <v>insert into CHB_INFOMGR_CONFIG (BASEINFORMATIONID,BASETABLEID,BASECOLUMNID,BASECOLUMNNAME,BASECOLUMNTYPE,BUSINESSPKFLAG,DICTCODE) values (f_guid(),'CHB_BOT_AST_POS_SUB_TMP','ROW_DATE','数据日期','D','Y','');</v>
      </c>
    </row>
    <row r="32" spans="1:9" x14ac:dyDescent="0.15">
      <c r="A32" s="1">
        <v>21</v>
      </c>
      <c r="B32" s="1" t="s">
        <v>28</v>
      </c>
      <c r="C32" s="1" t="s">
        <v>64</v>
      </c>
      <c r="D32" s="1" t="s">
        <v>30</v>
      </c>
      <c r="E32" s="1" t="s">
        <v>49</v>
      </c>
      <c r="F32" s="1" t="s">
        <v>23</v>
      </c>
      <c r="G32" s="1" t="s">
        <v>25</v>
      </c>
      <c r="I32" s="1" t="str">
        <f t="shared" si="0"/>
        <v>insert into CHB_INFOMGR_CONFIG (BASEINFORMATIONID,BASETABLEID,BASECOLUMNID,BASECOLUMNNAME,BASECOLUMNTYPE,BUSINESSPKFLAG,DICTCODE) values (f_guid(),'CHB_INVEST_TRADE_SUB_TMP','PROD_ID','产品代码','T','Y','');</v>
      </c>
    </row>
    <row r="33" spans="1:9" x14ac:dyDescent="0.15">
      <c r="A33" s="1">
        <v>22</v>
      </c>
      <c r="B33" s="1" t="s">
        <v>28</v>
      </c>
      <c r="C33" s="1" t="s">
        <v>64</v>
      </c>
      <c r="D33" s="1" t="s">
        <v>65</v>
      </c>
      <c r="E33" s="1" t="s">
        <v>66</v>
      </c>
      <c r="F33" s="1" t="s">
        <v>23</v>
      </c>
      <c r="G33" s="1" t="s">
        <v>25</v>
      </c>
      <c r="I33" s="1" t="str">
        <f t="shared" si="0"/>
        <v>insert into CHB_INFOMGR_CONFIG (BASEINFORMATIONID,BASETABLEID,BASECOLUMNID,BASECOLUMNNAME,BASECOLUMNTYPE,BUSINESSPKFLAG,DICTCODE) values (f_guid(),'CHB_INVEST_TRADE_SUB_TMP','TRADE_CODE','行内交易编码','T','Y','');</v>
      </c>
    </row>
    <row r="34" spans="1:9" x14ac:dyDescent="0.15">
      <c r="A34" s="1">
        <v>23</v>
      </c>
      <c r="B34" s="1" t="s">
        <v>28</v>
      </c>
      <c r="C34" s="1" t="s">
        <v>64</v>
      </c>
      <c r="D34" s="1" t="s">
        <v>51</v>
      </c>
      <c r="E34" s="1" t="s">
        <v>63</v>
      </c>
      <c r="F34" s="1" t="s">
        <v>23</v>
      </c>
      <c r="G34" s="1" t="s">
        <v>25</v>
      </c>
      <c r="I34" s="1" t="str">
        <f t="shared" si="0"/>
        <v>insert into CHB_INFOMGR_CONFIG (BASEINFORMATIONID,BASETABLEID,BASECOLUMNID,BASECOLUMNNAME,BASECOLUMNTYPE,BUSINESSPKFLAG,DICTCODE) values (f_guid(),'CHB_INVEST_TRADE_SUB_TMP','ASSET_CODE','行内资产/负债编码','T','Y','');</v>
      </c>
    </row>
    <row r="35" spans="1:9" x14ac:dyDescent="0.15">
      <c r="A35" s="1">
        <v>24</v>
      </c>
      <c r="B35" s="1" t="s">
        <v>28</v>
      </c>
      <c r="C35" s="1" t="s">
        <v>64</v>
      </c>
      <c r="D35" s="1" t="s">
        <v>67</v>
      </c>
      <c r="E35" s="1" t="s">
        <v>68</v>
      </c>
      <c r="F35" s="1" t="s">
        <v>97</v>
      </c>
      <c r="G35" s="1" t="s">
        <v>25</v>
      </c>
      <c r="H35" s="1" t="s">
        <v>71</v>
      </c>
      <c r="I35" s="1" t="str">
        <f t="shared" si="0"/>
        <v>insert into CHB_INFOMGR_CONFIG (BASEINFORMATIONID,BASETABLEID,BASECOLUMNID,BASECOLUMNNAME,BASECOLUMNTYPE,BUSINESSPKFLAG,DICTCODE) values (f_guid(),'CHB_INVEST_TRADE_SUB_TMP','CUR_ASSET_TYPE','资金流动类型','S','Y','SVR_FUND_FLOW_TYPE');</v>
      </c>
    </row>
    <row r="36" spans="1:9" x14ac:dyDescent="0.15">
      <c r="A36" s="1">
        <v>25</v>
      </c>
      <c r="B36" s="1" t="s">
        <v>28</v>
      </c>
      <c r="C36" s="1" t="s">
        <v>64</v>
      </c>
      <c r="D36" s="1" t="s">
        <v>69</v>
      </c>
      <c r="E36" s="1" t="s">
        <v>70</v>
      </c>
      <c r="F36" s="1" t="s">
        <v>33</v>
      </c>
      <c r="G36" s="1" t="s">
        <v>24</v>
      </c>
      <c r="I36" s="1" t="str">
        <f t="shared" si="0"/>
        <v>insert into CHB_INFOMGR_CONFIG (BASEINFORMATIONID,BASETABLEID,BASECOLUMNID,BASECOLUMNNAME,BASECOLUMNTYPE,BUSINESSPKFLAG,DICTCODE) values (f_guid(),'CHB_INVEST_TRADE_SUB_TMP','DEALDATE','交易日','D','N','');</v>
      </c>
    </row>
    <row r="37" spans="1:9" x14ac:dyDescent="0.15">
      <c r="B37" s="1" t="s">
        <v>28</v>
      </c>
      <c r="C37" s="1" t="s">
        <v>64</v>
      </c>
      <c r="D37" s="1" t="s">
        <v>90</v>
      </c>
      <c r="E37" s="1" t="s">
        <v>91</v>
      </c>
      <c r="F37" s="1" t="s">
        <v>92</v>
      </c>
      <c r="G37" s="1" t="s">
        <v>25</v>
      </c>
      <c r="I37" s="1" t="str">
        <f t="shared" si="0"/>
        <v>insert into CHB_INFOMGR_CONFIG (BASEINFORMATIONID,BASETABLEID,BASECOLUMNID,BASECOLUMNNAME,BASECOLUMNTYPE,BUSINESSPKFLAG,DICTCODE) values (f_guid(),'CHB_INVEST_TRADE_SUB_TMP','ROW_DATE','数据日期','D','Y','');</v>
      </c>
    </row>
    <row r="38" spans="1:9" x14ac:dyDescent="0.15">
      <c r="A38" s="1">
        <v>26</v>
      </c>
      <c r="B38" s="1" t="s">
        <v>28</v>
      </c>
      <c r="C38" s="1" t="s">
        <v>72</v>
      </c>
      <c r="D38" s="1" t="s">
        <v>73</v>
      </c>
      <c r="E38" s="1" t="s">
        <v>74</v>
      </c>
      <c r="F38" s="1" t="s">
        <v>23</v>
      </c>
      <c r="G38" s="1" t="s">
        <v>25</v>
      </c>
      <c r="I38" s="1" t="str">
        <f t="shared" si="0"/>
        <v>insert into CHB_INFOMGR_CONFIG (BASEINFORMATIONID,BASETABLEID,BASECOLUMNID,BASECOLUMNNAME,BASECOLUMNTYPE,BUSINESSPKFLAG,DICTCODE) values (f_guid(),'CHB_AST_VAL_SUB_TMP','ASSET_CODE','行内资产/负债编码','T','Y','');</v>
      </c>
    </row>
    <row r="39" spans="1:9" x14ac:dyDescent="0.15">
      <c r="A39" s="1">
        <v>27</v>
      </c>
      <c r="B39" s="1" t="s">
        <v>28</v>
      </c>
      <c r="C39" s="1" t="s">
        <v>72</v>
      </c>
      <c r="D39" s="1" t="s">
        <v>75</v>
      </c>
      <c r="E39" s="1" t="s">
        <v>76</v>
      </c>
      <c r="F39" s="1" t="s">
        <v>33</v>
      </c>
      <c r="G39" s="1" t="s">
        <v>25</v>
      </c>
      <c r="I39" s="1" t="str">
        <f t="shared" si="0"/>
        <v>insert into CHB_INFOMGR_CONFIG (BASEINFORMATIONID,BASETABLEID,BASECOLUMNID,BASECOLUMNNAME,BASECOLUMNTYPE,BUSINESSPKFLAG,DICTCODE) values (f_guid(),'CHB_AST_VAL_SUB_TMP','VAL_DATE','估值日期','D','Y','');</v>
      </c>
    </row>
    <row r="40" spans="1:9" x14ac:dyDescent="0.15">
      <c r="B40" s="1" t="s">
        <v>28</v>
      </c>
      <c r="C40" s="1" t="s">
        <v>72</v>
      </c>
      <c r="D40" s="1" t="s">
        <v>90</v>
      </c>
      <c r="E40" s="1" t="s">
        <v>91</v>
      </c>
      <c r="F40" s="1" t="s">
        <v>92</v>
      </c>
      <c r="G40" s="1" t="s">
        <v>25</v>
      </c>
      <c r="I40" s="1" t="str">
        <f t="shared" si="0"/>
        <v>insert into CHB_INFOMGR_CONFIG (BASEINFORMATIONID,BASETABLEID,BASECOLUMNID,BASECOLUMNNAME,BASECOLUMNTYPE,BUSINESSPKFLAG,DICTCODE) values (f_guid(),'CHB_AST_VAL_SUB_TMP','ROW_DATE','数据日期','D','Y','');</v>
      </c>
    </row>
    <row r="41" spans="1:9" x14ac:dyDescent="0.15">
      <c r="A41" s="1">
        <v>28</v>
      </c>
      <c r="B41" s="1" t="s">
        <v>28</v>
      </c>
      <c r="C41" s="1" t="s">
        <v>77</v>
      </c>
      <c r="D41" s="1" t="s">
        <v>78</v>
      </c>
      <c r="E41" s="1" t="s">
        <v>79</v>
      </c>
      <c r="F41" s="1" t="s">
        <v>23</v>
      </c>
      <c r="G41" s="1" t="s">
        <v>24</v>
      </c>
      <c r="I41" s="1" t="s">
        <v>94</v>
      </c>
    </row>
    <row r="42" spans="1:9" x14ac:dyDescent="0.15">
      <c r="A42" s="1">
        <v>29</v>
      </c>
      <c r="B42" s="1" t="s">
        <v>28</v>
      </c>
      <c r="C42" s="1" t="s">
        <v>77</v>
      </c>
      <c r="D42" s="1" t="s">
        <v>80</v>
      </c>
      <c r="E42" s="1" t="s">
        <v>81</v>
      </c>
      <c r="F42" s="1" t="s">
        <v>82</v>
      </c>
      <c r="G42" s="1" t="s">
        <v>24</v>
      </c>
      <c r="I42" s="1" t="str">
        <f>CONCATENATE("insert into CHB_INFOMGR_CONFIG (BASEINFORMATIONID,BASETABLEID,BASECOLUMNID,BASECOLUMNNAME,BASECOLUMNTYPE,BUSINESSPKFLAG,DICTCODE) values (",B42,",'",C42,"','",D42,"','",E42,"','",F42,"','",G42,"','",H42,"');")</f>
        <v>insert into CHB_INFOMGR_CONFIG (BASEINFORMATIONID,BASETABLEID,BASECOLUMNID,BASECOLUMNNAME,BASECOLUMNTYPE,BUSINESSPKFLAG,DICTCODE) values (f_guid(),'CHB_INTERF_ERRODATA','DATAUUID','uuid技术主键','U','N','');</v>
      </c>
    </row>
    <row r="43" spans="1:9" x14ac:dyDescent="0.15">
      <c r="A43" s="1">
        <v>30</v>
      </c>
      <c r="B43" s="1" t="s">
        <v>28</v>
      </c>
      <c r="C43" s="1" t="s">
        <v>77</v>
      </c>
      <c r="D43" s="1" t="s">
        <v>83</v>
      </c>
      <c r="E43" s="1" t="s">
        <v>84</v>
      </c>
      <c r="F43" s="1" t="s">
        <v>23</v>
      </c>
      <c r="G43" s="1" t="s">
        <v>24</v>
      </c>
      <c r="I43" s="1" t="str">
        <f t="shared" ref="I43:I45" si="2">CONCATENATE("insert into CHB_INFOMGR_CONFIG (BASEINFORMATIONID,BASETABLEID,BASECOLUMNID,BASECOLUMNNAME,BASECOLUMNTYPE,BUSINESSPKFLAG,DICTCODE) values (",B43,",'",C43,"','",D43,"','",E43,"','",F43,"','",G43,"','",H43,"');")</f>
        <v>insert into CHB_INFOMGR_CONFIG (BASEINFORMATIONID,BASETABLEID,BASECOLUMNID,BASECOLUMNNAME,BASECOLUMNTYPE,BUSINESSPKFLAG,DICTCODE) values (f_guid(),'CHB_INTERF_ERRODATA','FIRE_NAME','文件名称','T','N','');</v>
      </c>
    </row>
    <row r="44" spans="1:9" x14ac:dyDescent="0.15">
      <c r="A44" s="1">
        <v>31</v>
      </c>
      <c r="B44" s="1" t="s">
        <v>28</v>
      </c>
      <c r="C44" s="1" t="s">
        <v>77</v>
      </c>
      <c r="D44" s="1" t="s">
        <v>85</v>
      </c>
      <c r="E44" s="1" t="s">
        <v>86</v>
      </c>
      <c r="F44" s="1" t="s">
        <v>23</v>
      </c>
      <c r="G44" s="1" t="s">
        <v>25</v>
      </c>
      <c r="I44" s="1" t="str">
        <f t="shared" si="2"/>
        <v>insert into CHB_INFOMGR_CONFIG (BASEINFORMATIONID,BASETABLEID,BASECOLUMNID,BASECOLUMNNAME,BASECOLUMNTYPE,BUSINESSPKFLAG,DICTCODE) values (f_guid(),'CHB_INTERF_ERRODATA','DATAID','业务主键','T','Y','');</v>
      </c>
    </row>
    <row r="45" spans="1:9" x14ac:dyDescent="0.15">
      <c r="A45" s="1">
        <v>32</v>
      </c>
      <c r="B45" s="1" t="s">
        <v>28</v>
      </c>
      <c r="C45" s="1" t="s">
        <v>93</v>
      </c>
      <c r="D45" s="1" t="s">
        <v>87</v>
      </c>
      <c r="E45" s="1" t="s">
        <v>88</v>
      </c>
      <c r="F45" s="1" t="s">
        <v>23</v>
      </c>
      <c r="G45" s="1" t="s">
        <v>24</v>
      </c>
      <c r="I45" s="1" t="str">
        <f t="shared" si="2"/>
        <v>insert into CHB_INFOMGR_CONFIG (BASEINFORMATIONID,BASETABLEID,BASECOLUMNID,BASECOLUMNNAME,BASECOLUMNTYPE,BUSINESSPKFLAG,DICTCODE) values (f_guid(),'CHB_INTERF_ERRODATA','ERR_MSG','错误信息','T','N','');</v>
      </c>
    </row>
  </sheetData>
  <mergeCells count="1">
    <mergeCell ref="A3:H3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2021-03-03T07:42:10Z</dcterms:modified>
</cp:coreProperties>
</file>