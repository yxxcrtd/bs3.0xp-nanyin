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52511" concurrentCalc="0"/>
</workbook>
</file>

<file path=xl/calcChain.xml><?xml version="1.0" encoding="utf-8"?>
<calcChain xmlns="http://schemas.openxmlformats.org/spreadsheetml/2006/main">
  <c r="I74" i="1" l="1"/>
  <c r="I164" i="1"/>
  <c r="I165" i="1"/>
  <c r="I161" i="1"/>
  <c r="I162" i="1"/>
  <c r="I163" i="1"/>
  <c r="I35" i="1"/>
  <c r="I36" i="1"/>
  <c r="I37" i="1"/>
  <c r="I38" i="1"/>
  <c r="I34" i="1"/>
  <c r="I89" i="1"/>
  <c r="I80" i="1"/>
  <c r="I79" i="1"/>
  <c r="I78" i="1"/>
  <c r="I77" i="1"/>
  <c r="I76" i="1"/>
  <c r="I75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73" i="1"/>
  <c r="I72" i="1"/>
  <c r="I71" i="1"/>
  <c r="I99" i="1"/>
  <c r="I98" i="1"/>
  <c r="I97" i="1"/>
  <c r="I96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14" i="1"/>
  <c r="I13" i="1"/>
  <c r="I9" i="1"/>
  <c r="I12" i="1"/>
  <c r="I8" i="1"/>
  <c r="I11" i="1"/>
  <c r="I10" i="1"/>
  <c r="I44" i="1"/>
  <c r="I43" i="1"/>
  <c r="I42" i="1"/>
  <c r="I41" i="1"/>
  <c r="I40" i="1"/>
  <c r="I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33" i="1"/>
  <c r="I32" i="1"/>
  <c r="I31" i="1"/>
  <c r="I30" i="1"/>
  <c r="I29" i="1"/>
  <c r="I95" i="1"/>
  <c r="I94" i="1"/>
  <c r="I93" i="1"/>
  <c r="I7" i="1"/>
  <c r="I6" i="1"/>
  <c r="I5" i="1"/>
  <c r="I4" i="1"/>
  <c r="I81" i="1"/>
  <c r="I25" i="1"/>
  <c r="I23" i="1"/>
  <c r="I20" i="1"/>
  <c r="I16" i="1"/>
  <c r="I87" i="1"/>
  <c r="I84" i="1"/>
  <c r="I92" i="1"/>
  <c r="I91" i="1"/>
  <c r="I90" i="1"/>
  <c r="I100" i="1"/>
  <c r="I101" i="1"/>
  <c r="I102" i="1"/>
  <c r="I103" i="1"/>
  <c r="I104" i="1"/>
  <c r="I24" i="1"/>
  <c r="I26" i="1"/>
  <c r="I27" i="1"/>
  <c r="I28" i="1"/>
  <c r="I21" i="1"/>
  <c r="I22" i="1"/>
  <c r="I17" i="1"/>
  <c r="I18" i="1"/>
  <c r="I19" i="1"/>
  <c r="I88" i="1"/>
  <c r="I15" i="1"/>
  <c r="I85" i="1"/>
  <c r="I86" i="1"/>
  <c r="I82" i="1"/>
  <c r="I83" i="1"/>
</calcChain>
</file>

<file path=xl/sharedStrings.xml><?xml version="1.0" encoding="utf-8"?>
<sst xmlns="http://schemas.openxmlformats.org/spreadsheetml/2006/main" count="1043" uniqueCount="283">
  <si>
    <t>序号</t>
  </si>
  <si>
    <t>查询条件UUID</t>
  </si>
  <si>
    <t>业务数据维护待维护表ID</t>
  </si>
  <si>
    <t>业务基础表字段代码</t>
  </si>
  <si>
    <t>业务基础表字段中文名称</t>
  </si>
  <si>
    <t>业务基础表字段类型，D代表日期，T代表文本，S代表序列, U代表UUID</t>
  </si>
  <si>
    <t>业务主键标志，Y代表是业务主键，N代表非业务主键</t>
  </si>
  <si>
    <t>数据字典代码，只有字段类型为S时才有值</t>
  </si>
  <si>
    <t>BASEINFORMATIONID</t>
  </si>
  <si>
    <t>BASECOLUMNID</t>
  </si>
  <si>
    <t>BASECOLUMNNAME</t>
  </si>
  <si>
    <t>BASECOLUMNTYPE</t>
  </si>
  <si>
    <t>BUSINESSPKFLAG</t>
  </si>
  <si>
    <t>DICTCODE</t>
  </si>
  <si>
    <t>PROFIT_TYPE</t>
  </si>
  <si>
    <t>PROD_NAME</t>
  </si>
  <si>
    <t>PROD_INS_ID</t>
  </si>
  <si>
    <t>产品收益类型</t>
  </si>
  <si>
    <t>产品名称</t>
  </si>
  <si>
    <t>行内标识码</t>
  </si>
  <si>
    <t>S</t>
  </si>
  <si>
    <t>T</t>
  </si>
  <si>
    <t>N</t>
  </si>
  <si>
    <t>Y</t>
  </si>
  <si>
    <t>SVR_PROD_PROFIT_TYPE</t>
  </si>
  <si>
    <t>f_guid()</t>
    <phoneticPr fontId="2" type="noConversion"/>
  </si>
  <si>
    <t>PROD_ID</t>
  </si>
  <si>
    <t>RAISE_VDATE</t>
  </si>
  <si>
    <t>BASETABLEID</t>
    <phoneticPr fontId="2" type="noConversion"/>
  </si>
  <si>
    <t>VDATE</t>
  </si>
  <si>
    <t>MDATE</t>
  </si>
  <si>
    <t>产品代码</t>
  </si>
  <si>
    <t>ASSET_CODE</t>
  </si>
  <si>
    <t>ASSET_ID</t>
  </si>
  <si>
    <t>资产代码</t>
  </si>
  <si>
    <t>起息日</t>
  </si>
  <si>
    <t>到期日</t>
  </si>
  <si>
    <t>POS_DATE</t>
  </si>
  <si>
    <t>持仓日期</t>
  </si>
  <si>
    <t>行内资产/负债编码</t>
  </si>
  <si>
    <t>TRADE_CODE</t>
  </si>
  <si>
    <t>行内交易编码</t>
  </si>
  <si>
    <t>交易日</t>
  </si>
  <si>
    <t>CHB_INTERF_ERRODATA</t>
  </si>
  <si>
    <t>INTERF_TYPE</t>
  </si>
  <si>
    <t>接口类型</t>
  </si>
  <si>
    <t>DATAUUID</t>
  </si>
  <si>
    <t>uuid技术主键</t>
  </si>
  <si>
    <t>U</t>
  </si>
  <si>
    <t>FIRE_NAME</t>
  </si>
  <si>
    <t>文件名称</t>
  </si>
  <si>
    <t>DATAID</t>
  </si>
  <si>
    <t>业务主键</t>
  </si>
  <si>
    <t>ERR_MSG</t>
  </si>
  <si>
    <t>错误信息</t>
  </si>
  <si>
    <t>BOK_BALANCE</t>
  </si>
  <si>
    <t>BOOKSET_ID</t>
  </si>
  <si>
    <t>账套代码</t>
  </si>
  <si>
    <t>BALANCE_DATE</t>
  </si>
  <si>
    <t>余额日期</t>
  </si>
  <si>
    <t>D</t>
  </si>
  <si>
    <t>SUBJECT_NO</t>
  </si>
  <si>
    <t>科目号</t>
  </si>
  <si>
    <t>CHB_ASSETS_BASIS_DATA</t>
  </si>
  <si>
    <t>资产到期日</t>
  </si>
  <si>
    <t>VALUE_DATE</t>
  </si>
  <si>
    <t>估值日期</t>
  </si>
  <si>
    <t>VAL_ID</t>
  </si>
  <si>
    <t>主键</t>
  </si>
  <si>
    <t>CHB_ASSET_INFO</t>
  </si>
  <si>
    <t>行内资产编码</t>
  </si>
  <si>
    <t>STATUS</t>
  </si>
  <si>
    <t>数据状态</t>
  </si>
  <si>
    <t>ASSET_TYPE2</t>
  </si>
  <si>
    <t>资产负债类别</t>
  </si>
  <si>
    <t>SVR_ASSET_TYPE_SECOND_LEVEL</t>
  </si>
  <si>
    <t>ASSET_UUID</t>
  </si>
  <si>
    <t>TRADE_MARKET</t>
  </si>
  <si>
    <t>交易流通场所</t>
  </si>
  <si>
    <t>SVR_TRADE_MARKET</t>
  </si>
  <si>
    <t>CCY</t>
  </si>
  <si>
    <t>币种</t>
  </si>
  <si>
    <t>CURRENCY_CHB</t>
  </si>
  <si>
    <t>ASSET_TYPE</t>
  </si>
  <si>
    <t>TAB页类型</t>
  </si>
  <si>
    <t>SVR_ASSETDEBT_TYPE</t>
  </si>
  <si>
    <t>CHB_ASSET_POSITION</t>
  </si>
  <si>
    <t>CDATE</t>
  </si>
  <si>
    <t>生成日</t>
  </si>
  <si>
    <t>POSUUID</t>
  </si>
  <si>
    <t>CHB_BOT_AST_POS</t>
  </si>
  <si>
    <t>SVR_YES_OR_NO</t>
  </si>
  <si>
    <t>POS_ID</t>
  </si>
  <si>
    <t>PLAN_ASSET_ID</t>
  </si>
  <si>
    <t>资管计划行内资产/负债编码</t>
  </si>
  <si>
    <t>UPDATE_TIME</t>
  </si>
  <si>
    <t>检查时间</t>
  </si>
  <si>
    <t>CHB_INVEST_TRADE</t>
  </si>
  <si>
    <t>TRADE_SEQNO</t>
  </si>
  <si>
    <t>交易UUID</t>
  </si>
  <si>
    <t>DEALDATE</t>
  </si>
  <si>
    <t>CHB_LOAN_DETAIL_INFO</t>
  </si>
  <si>
    <t>ASSETS_INVEST</t>
  </si>
  <si>
    <t>基础资产投向分类</t>
  </si>
  <si>
    <t>SVR_CUSTOMER_TYPE1</t>
  </si>
  <si>
    <t>LOAN_VDATE</t>
  </si>
  <si>
    <t>贷款发放日期</t>
  </si>
  <si>
    <t>CHB_MONTH_ASSET_POSITION</t>
  </si>
  <si>
    <t>BOOKDATE</t>
  </si>
  <si>
    <t>统计日期</t>
  </si>
  <si>
    <t>ASSETTYPE</t>
  </si>
  <si>
    <t>资产一级分类</t>
  </si>
  <si>
    <t>ASSETTYPE2</t>
  </si>
  <si>
    <t>资产二级分类</t>
  </si>
  <si>
    <t>资产ID</t>
  </si>
  <si>
    <t>OLD_ASSET_CODE</t>
  </si>
  <si>
    <t>穿透前原始资产代码</t>
  </si>
  <si>
    <t>ENDDATE</t>
  </si>
  <si>
    <t>结束日期</t>
  </si>
  <si>
    <t>STARTDATE</t>
  </si>
  <si>
    <t>开始日期</t>
  </si>
  <si>
    <t>INVEST_VARIETY</t>
  </si>
  <si>
    <t>投资品种</t>
  </si>
  <si>
    <t>SVR_INVEST_TRADE_TYPE</t>
  </si>
  <si>
    <t>CHB_MONTH_FEE_POSITION</t>
  </si>
  <si>
    <t>报表结束日期</t>
  </si>
  <si>
    <t>报表开始日期</t>
  </si>
  <si>
    <t>PRODID</t>
  </si>
  <si>
    <t>IVSTORIENTATION</t>
  </si>
  <si>
    <t>投资性质</t>
  </si>
  <si>
    <t>INVEST_TYPE</t>
  </si>
  <si>
    <t>产品收益标识</t>
  </si>
  <si>
    <t>PRODPROFITFLAG</t>
  </si>
  <si>
    <t>RAISEMODE</t>
  </si>
  <si>
    <t>募集方式</t>
  </si>
  <si>
    <t>SVR_RAISE_TYPE</t>
  </si>
  <si>
    <t>CHB_MONTH_PRD_POSITION</t>
  </si>
  <si>
    <t>产品收益方式</t>
  </si>
  <si>
    <t>OPERATE_MODE</t>
  </si>
  <si>
    <t>运行方式</t>
  </si>
  <si>
    <t>SVR_OPERATEMODE_DECLARE</t>
  </si>
  <si>
    <t>TERMTYPE</t>
  </si>
  <si>
    <t>期限品种</t>
  </si>
  <si>
    <t>SVR_PRODUCT_TERM</t>
  </si>
  <si>
    <t>SALE_TARGET</t>
  </si>
  <si>
    <t>客户类型</t>
  </si>
  <si>
    <t>SALETARGET_DECLARE</t>
  </si>
  <si>
    <t>CASH_MANA_CATE</t>
  </si>
  <si>
    <t>是否现金管理类</t>
  </si>
  <si>
    <t>ORD_IDENTIFIED</t>
  </si>
  <si>
    <t>投资者类别</t>
  </si>
  <si>
    <t>CUSTOMER_PRIN_TYPE</t>
  </si>
  <si>
    <t>CHB_MST_COUNTER_PARTY</t>
  </si>
  <si>
    <t>COUNTER_TYPE</t>
  </si>
  <si>
    <t>交易对手类型</t>
  </si>
  <si>
    <t>COUNTER_ID</t>
  </si>
  <si>
    <t>交易对手代码</t>
  </si>
  <si>
    <t>COUNTER_NAME</t>
  </si>
  <si>
    <t>交易对手名称</t>
  </si>
  <si>
    <t>UUID</t>
  </si>
  <si>
    <t>COUNTER_TYPE2</t>
  </si>
  <si>
    <t>交易对手二级分类</t>
  </si>
  <si>
    <t>SVR_CUSTOMER_TYPE2</t>
  </si>
  <si>
    <t>COUNTER_TYPE1</t>
  </si>
  <si>
    <t>交易对手一级分类</t>
  </si>
  <si>
    <t>CHB_PRD_BASEINFO</t>
  </si>
  <si>
    <t>募集起始日期</t>
  </si>
  <si>
    <t>PRODUUID</t>
  </si>
  <si>
    <t>CHB_PRD_BONUS_DEAL</t>
  </si>
  <si>
    <t>SETTDATE_DATE</t>
  </si>
  <si>
    <t>确认日</t>
  </si>
  <si>
    <t>TRADE_ID</t>
  </si>
  <si>
    <t>上游系统交易编码</t>
  </si>
  <si>
    <t>CHB_PRD_DEAL</t>
  </si>
  <si>
    <t>SEQNO</t>
  </si>
  <si>
    <t>CUSTOMER_TYPE1</t>
  </si>
  <si>
    <t>客户一级类型</t>
  </si>
  <si>
    <t>CUSTOMER_TYPE2</t>
  </si>
  <si>
    <t>客户二级类型</t>
  </si>
  <si>
    <t>BUY_PLACE</t>
  </si>
  <si>
    <t>销售区域</t>
  </si>
  <si>
    <t>SVR_BUY_PLACE</t>
  </si>
  <si>
    <t>TRADE_TYPE</t>
  </si>
  <si>
    <t>交易类型</t>
  </si>
  <si>
    <t>SVR_DEAL_TYPE</t>
  </si>
  <si>
    <t>CHB_PRD_DECLARE_INFO</t>
  </si>
  <si>
    <t>DECLARE_UUID</t>
  </si>
  <si>
    <t>CHB_PRD_FEE_DEAL</t>
  </si>
  <si>
    <t>FEE_NAME</t>
  </si>
  <si>
    <t>费用名称</t>
  </si>
  <si>
    <t>PAY_DATE</t>
  </si>
  <si>
    <t>支付日</t>
  </si>
  <si>
    <t>CHB_PRD_OPENSCH</t>
  </si>
  <si>
    <t>OPEN_START</t>
  </si>
  <si>
    <t>开放周期起始日</t>
  </si>
  <si>
    <t>流水号</t>
  </si>
  <si>
    <t>PLAN_TYPE</t>
  </si>
  <si>
    <t>计划类型</t>
  </si>
  <si>
    <t>SVR_PLAN_TYPE</t>
  </si>
  <si>
    <t>OPEN_END</t>
  </si>
  <si>
    <t>开放周期结束日</t>
  </si>
  <si>
    <t>CHB_PRD_PERIODYIELD</t>
  </si>
  <si>
    <t>CHANGE_DATE</t>
  </si>
  <si>
    <t>变动日期</t>
  </si>
  <si>
    <t>CHANG_TYPE</t>
  </si>
  <si>
    <t>变动类型</t>
  </si>
  <si>
    <t>SVR_CHANG_TYPE</t>
  </si>
  <si>
    <t>交易编号</t>
  </si>
  <si>
    <t>CHB_PRD_POSITION</t>
  </si>
  <si>
    <t>MST_BOND_CREDIT_RATING</t>
  </si>
  <si>
    <t>O_CODE</t>
  </si>
  <si>
    <t>债券代码（市场代码）</t>
  </si>
  <si>
    <t>GRADE_DATE</t>
  </si>
  <si>
    <t>评级日期</t>
  </si>
  <si>
    <t>O_TYPE</t>
  </si>
  <si>
    <t>评级类型</t>
  </si>
  <si>
    <t>MAIN_GRADE_TYPE</t>
  </si>
  <si>
    <t>PBC_MONTH_ASSET_POSITION</t>
  </si>
  <si>
    <t>ASSET_TYPE3</t>
  </si>
  <si>
    <t>资产三级分类</t>
  </si>
  <si>
    <t>SVR_PBC_ASSET_TYPE_3</t>
  </si>
  <si>
    <t>SVR_PBC_ASSET_TYPE_2</t>
  </si>
  <si>
    <t>ASSET_TYPE1</t>
  </si>
  <si>
    <t>SVR_PBC_ASSET_TYPE_1</t>
  </si>
  <si>
    <t>PBC_MONTH_PRD_POSITION</t>
  </si>
  <si>
    <t>MANAGE_TYPE</t>
  </si>
  <si>
    <t>管理方式</t>
  </si>
  <si>
    <t>SVR_PRO_PROPERTY</t>
  </si>
  <si>
    <t>FIDUCIARY_DUTY</t>
  </si>
  <si>
    <t>受托职责</t>
  </si>
  <si>
    <t>SVR_FIDUCIARY_DUTY</t>
  </si>
  <si>
    <t>主键uuid</t>
  </si>
  <si>
    <t>SVR_STATUS</t>
  </si>
  <si>
    <t>CHB_PRD_DECLARE_INFO</t>
    <phoneticPr fontId="2" type="noConversion"/>
  </si>
  <si>
    <t>CHB_LOAN_DETAIL_INFO</t>
    <phoneticPr fontId="2" type="noConversion"/>
  </si>
  <si>
    <t>SALE_CUST_SVRREPORT</t>
  </si>
  <si>
    <t>SENDDATE</t>
  </si>
  <si>
    <t>下发日期</t>
  </si>
  <si>
    <t>FINPROD_ID</t>
  </si>
  <si>
    <t>ISSUEMEMBER</t>
  </si>
  <si>
    <t>*法人行</t>
    <phoneticPr fontId="2" type="noConversion"/>
  </si>
  <si>
    <t>INORABOARD</t>
  </si>
  <si>
    <t>*境内境外</t>
    <phoneticPr fontId="2" type="noConversion"/>
  </si>
  <si>
    <t>BLN_AREA</t>
    <phoneticPr fontId="2" type="noConversion"/>
  </si>
  <si>
    <t>CUS_CODE</t>
  </si>
  <si>
    <t>*客户组别代码</t>
    <phoneticPr fontId="2" type="noConversion"/>
  </si>
  <si>
    <t>AREA_CODE</t>
  </si>
  <si>
    <t>*行政区域代码</t>
    <phoneticPr fontId="2" type="noConversion"/>
  </si>
  <si>
    <t>SVR_BUY_PLACE</t>
    <phoneticPr fontId="2" type="noConversion"/>
  </si>
  <si>
    <t>*币种</t>
    <phoneticPr fontId="2" type="noConversion"/>
  </si>
  <si>
    <t>SVR_XS_CCY</t>
    <phoneticPr fontId="2" type="noConversion"/>
  </si>
  <si>
    <t>CHB_PRD_DECLARE_INFO</t>
    <phoneticPr fontId="2" type="noConversion"/>
  </si>
  <si>
    <t>delete from CHB_INFOMGR_CONFIG where BASETABLEID in ('CHB_PRD_DECLARE_INFO',
'CHB_PRD_BASEINFO',
'CHB_ASSET_INFO',
'CHB_BOT_AST_POS',
'CHB_INVEST_TRADE',
'CHB_LOAN_DETAIL_INFO',
'CHB_MST_COUNTER_PARTY',
'CHB_PRD_BONUS_DEAL',
'CHB_PRD_DEAL',
'CHB_PRD_FEE_DEAL',
'CHB_PRD_OPENSCH',
'CHB_PRD_PERIODYIELD',
'MST_BOND_CREDIT_RATING',
'SALE_CUST_SVRREPORT',
'BOK_BALANCE',
'CHB_ASSETS_BASIS_DATA',
'CHB_INTERF_ERRODATA',
'CHB_PRD_POSITION',
'CHB_ASSET_POSITION',
'CHB_MONTH_ASSET_POSITION',
'CHB_MONTH_FEE_POSITION',
'CHB_MONTH_PRD_POSITION',
'PBC_MONTH_ASSET_POSITION',
'PBC_MONTH_PRD_POSITION');</t>
    <phoneticPr fontId="2" type="noConversion"/>
  </si>
  <si>
    <t>LOANINFO-DF28-D920-E050-007F01000001</t>
  </si>
  <si>
    <t>LOANINFO-DF28-D920-E050-007F01000002</t>
  </si>
  <si>
    <t>LOANINFO-DF28-D920-E050-007F01000003</t>
  </si>
  <si>
    <t>LOANINFO-DF28-D920-E050-007F01000004</t>
  </si>
  <si>
    <t>LOANINFO-DF28-D920-E050-007F01000005</t>
  </si>
  <si>
    <t>CHB_INFOMGR_CONFIG</t>
    <phoneticPr fontId="2" type="noConversion"/>
  </si>
  <si>
    <t>CHB_CPROD_BALANCE</t>
    <phoneticPr fontId="2" type="noConversion"/>
  </si>
  <si>
    <t>f_guid()</t>
    <phoneticPr fontId="2" type="noConversion"/>
  </si>
  <si>
    <t>f_guid()</t>
    <phoneticPr fontId="2" type="noConversion"/>
  </si>
  <si>
    <t>BAL_ID</t>
    <phoneticPr fontId="2" type="noConversion"/>
  </si>
  <si>
    <t>主键</t>
    <phoneticPr fontId="2" type="noConversion"/>
  </si>
  <si>
    <t>U</t>
    <phoneticPr fontId="2" type="noConversion"/>
  </si>
  <si>
    <t>N</t>
    <phoneticPr fontId="2" type="noConversion"/>
  </si>
  <si>
    <t>PROD_ID</t>
    <phoneticPr fontId="2" type="noConversion"/>
  </si>
  <si>
    <t>产品代码</t>
    <phoneticPr fontId="2" type="noConversion"/>
  </si>
  <si>
    <t>T</t>
    <phoneticPr fontId="2" type="noConversion"/>
  </si>
  <si>
    <t>Y</t>
    <phoneticPr fontId="2" type="noConversion"/>
  </si>
  <si>
    <t>PERIOD_ID</t>
    <phoneticPr fontId="2" type="noConversion"/>
  </si>
  <si>
    <t>CHB_CPROD_BALANCE</t>
    <phoneticPr fontId="2" type="noConversion"/>
  </si>
  <si>
    <t>期次代码</t>
    <phoneticPr fontId="2" type="noConversion"/>
  </si>
  <si>
    <t>SVR_CUS_CODE</t>
    <phoneticPr fontId="2" type="noConversion"/>
  </si>
  <si>
    <t>CHB_EMPLOYEE_INFO</t>
  </si>
  <si>
    <t>EMPLOYEE_TYPE</t>
  </si>
  <si>
    <t>从业人员类型</t>
  </si>
  <si>
    <t>IDENTIFY_NUMBER</t>
  </si>
  <si>
    <t>身份证号码</t>
  </si>
  <si>
    <t>CHB_EMPLOYEE_INFO</t>
    <phoneticPr fontId="2" type="noConversion"/>
  </si>
  <si>
    <t>评级机构</t>
    <phoneticPr fontId="2" type="noConversion"/>
  </si>
  <si>
    <t>GRADE_ORG_ID</t>
    <phoneticPr fontId="2" type="noConversion"/>
  </si>
  <si>
    <t>GRADE_PARTY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</si>
</sst>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b/>
      <sz val="10"/>
      <color theme="1"/>
      <name val="宋体"/>
      <family val="3"/>
      <charset val="134"/>
      <scheme val="minor"/>
    </font>
    <font>
      <sz val="10"/>
      <color rgb="FF333333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0" xfId="0" applyFont="1" applyFill="1"/>
    <xf numFmtId="0" fontId="1" fillId="3" borderId="0" xfId="0" applyFont="1" applyFill="1" applyAlignment="1">
      <alignment wrapText="1"/>
    </xf>
    <xf numFmtId="0" fontId="5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0" xfId="0" applyFont="1" applyFill="1"/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5" borderId="0" xfId="0" applyFont="1" applyFill="1"/>
    <xf numFmtId="0" fontId="1" fillId="5" borderId="0" xfId="0" applyFont="1" applyFill="1"/>
    <xf numFmtId="0" fontId="1" fillId="5" borderId="0" xfId="0" applyFont="1" applyFill="1" applyBorder="1"/>
    <xf numFmtId="0" fontId="3" fillId="0" borderId="0" xfId="0" applyFont="1" applyAlignment="1"/>
    <xf numFmtId="0" fontId="3" fillId="0" borderId="0" xfId="0" applyFont="1"/>
    <xf numFmtId="0" fontId="3" fillId="0" borderId="0" xfId="0" applyFont="1" applyFill="1"/>
    <xf numFmtId="0" fontId="4" fillId="4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5"/>
  <sheetViews>
    <sheetView tabSelected="1" topLeftCell="C67" workbookViewId="0">
      <selection activeCell="F74" sqref="F74"/>
    </sheetView>
  </sheetViews>
  <sheetFormatPr defaultRowHeight="12" x14ac:dyDescent="0.15"/>
  <cols>
    <col min="1" max="1" width="9" style="2"/>
    <col min="2" max="2" width="33.25" style="2" customWidth="1"/>
    <col min="3" max="3" width="28.875" style="2" customWidth="1"/>
    <col min="4" max="4" width="19.25" style="2" bestFit="1" customWidth="1"/>
    <col min="5" max="5" width="27.25" style="2" customWidth="1"/>
    <col min="6" max="6" width="31.75" style="2" customWidth="1"/>
    <col min="7" max="7" width="29.25" style="2" customWidth="1"/>
    <col min="8" max="8" width="20.125" style="2" customWidth="1"/>
    <col min="9" max="16384" width="9" style="2"/>
  </cols>
  <sheetData>
    <row r="1" spans="1:9" x14ac:dyDescent="0.15">
      <c r="B1" s="3" t="s">
        <v>8</v>
      </c>
      <c r="C1" s="3" t="s">
        <v>28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</row>
    <row r="2" spans="1:9" ht="24" x14ac:dyDescent="0.15">
      <c r="A2" s="1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4" t="s">
        <v>7</v>
      </c>
    </row>
    <row r="3" spans="1:9" x14ac:dyDescent="0.15">
      <c r="A3" s="17" t="s">
        <v>258</v>
      </c>
      <c r="B3" s="17"/>
      <c r="C3" s="17"/>
      <c r="D3" s="17"/>
      <c r="E3" s="17"/>
      <c r="F3" s="17"/>
      <c r="G3" s="17"/>
      <c r="H3" s="17"/>
      <c r="I3" s="14" t="s">
        <v>252</v>
      </c>
    </row>
    <row r="4" spans="1:9" x14ac:dyDescent="0.15">
      <c r="A4" s="2">
        <v>1</v>
      </c>
      <c r="B4" s="2" t="s">
        <v>25</v>
      </c>
      <c r="C4" s="2" t="s">
        <v>185</v>
      </c>
      <c r="D4" s="2" t="s">
        <v>16</v>
      </c>
      <c r="E4" s="2" t="s">
        <v>19</v>
      </c>
      <c r="F4" s="2" t="s">
        <v>21</v>
      </c>
      <c r="G4" s="2" t="s">
        <v>23</v>
      </c>
      <c r="I4" s="2" t="str">
        <f t="shared" ref="I4:I7" si="0">CONCATENATE("insert into CHB_INFOMGR_CONFIG (BASEINFORMATIONID,BASETABLEID,BASECOLUMNID,BASECOLUMNNAME,BASECOLUMNTYPE,BUSINESSPKFLAG,DICTCODE) values (",B4,",'",C4,"','",D4,"','",E4,"','",F4,"','",G4,"','",H4,"');")</f>
        <v>insert into CHB_INFOMGR_CONFIG (BASEINFORMATIONID,BASETABLEID,BASECOLUMNID,BASECOLUMNNAME,BASECOLUMNTYPE,BUSINESSPKFLAG,DICTCODE) values (f_guid(),'CHB_PRD_DECLARE_INFO','PROD_INS_ID','行内标识码','T','Y','');</v>
      </c>
    </row>
    <row r="5" spans="1:9" x14ac:dyDescent="0.15">
      <c r="A5" s="2">
        <v>2</v>
      </c>
      <c r="B5" s="2" t="s">
        <v>25</v>
      </c>
      <c r="C5" s="2" t="s">
        <v>251</v>
      </c>
      <c r="D5" s="2" t="s">
        <v>186</v>
      </c>
      <c r="E5" s="2" t="s">
        <v>68</v>
      </c>
      <c r="F5" s="2" t="s">
        <v>48</v>
      </c>
      <c r="G5" s="2" t="s">
        <v>22</v>
      </c>
      <c r="I5" s="2" t="str">
        <f t="shared" si="0"/>
        <v>insert into CHB_INFOMGR_CONFIG (BASEINFORMATIONID,BASETABLEID,BASECOLUMNID,BASECOLUMNNAME,BASECOLUMNTYPE,BUSINESSPKFLAG,DICTCODE) values (f_guid(),'CHB_PRD_DECLARE_INFO','DECLARE_UUID','主键','U','N','');</v>
      </c>
    </row>
    <row r="6" spans="1:9" x14ac:dyDescent="0.15">
      <c r="A6" s="2">
        <v>3</v>
      </c>
      <c r="B6" s="2" t="s">
        <v>25</v>
      </c>
      <c r="C6" s="2" t="s">
        <v>185</v>
      </c>
      <c r="D6" s="2" t="s">
        <v>15</v>
      </c>
      <c r="E6" s="2" t="s">
        <v>18</v>
      </c>
      <c r="F6" s="2" t="s">
        <v>21</v>
      </c>
      <c r="G6" s="2" t="s">
        <v>22</v>
      </c>
      <c r="I6" s="2" t="str">
        <f t="shared" si="0"/>
        <v>insert into CHB_INFOMGR_CONFIG (BASEINFORMATIONID,BASETABLEID,BASECOLUMNID,BASECOLUMNNAME,BASECOLUMNTYPE,BUSINESSPKFLAG,DICTCODE) values (f_guid(),'CHB_PRD_DECLARE_INFO','PROD_NAME','产品名称','T','N','');</v>
      </c>
    </row>
    <row r="7" spans="1:9" x14ac:dyDescent="0.15">
      <c r="A7" s="2">
        <v>4</v>
      </c>
      <c r="B7" s="2" t="s">
        <v>25</v>
      </c>
      <c r="C7" s="2" t="s">
        <v>233</v>
      </c>
      <c r="D7" s="2" t="s">
        <v>14</v>
      </c>
      <c r="E7" s="2" t="s">
        <v>17</v>
      </c>
      <c r="F7" s="2" t="s">
        <v>20</v>
      </c>
      <c r="G7" s="2" t="s">
        <v>22</v>
      </c>
      <c r="H7" s="2" t="s">
        <v>24</v>
      </c>
      <c r="I7" s="2" t="str">
        <f t="shared" si="0"/>
        <v>insert into CHB_INFOMGR_CONFIG (BASEINFORMATIONID,BASETABLEID,BASECOLUMNID,BASECOLUMNNAME,BASECOLUMNTYPE,BUSINESSPKFLAG,DICTCODE) values (f_guid(),'CHB_PRD_DECLARE_INFO','PROFIT_TYPE','产品收益类型','S','N','SVR_PROD_PROFIT_TYPE');</v>
      </c>
    </row>
    <row r="8" spans="1:9" x14ac:dyDescent="0.15">
      <c r="A8" s="2">
        <v>5</v>
      </c>
      <c r="B8" s="2" t="s">
        <v>25</v>
      </c>
      <c r="C8" s="2" t="s">
        <v>165</v>
      </c>
      <c r="D8" s="2" t="s">
        <v>26</v>
      </c>
      <c r="E8" s="2" t="s">
        <v>31</v>
      </c>
      <c r="F8" s="2" t="s">
        <v>21</v>
      </c>
      <c r="G8" s="2" t="s">
        <v>23</v>
      </c>
      <c r="I8" s="2" t="str">
        <f t="shared" ref="I8:I14" si="1">CONCATENATE("insert into CHB_INFOMGR_CONFIG (BASEINFORMATIONID,BASETABLEID,BASECOLUMNID,BASECOLUMNNAME,BASECOLUMNTYPE,BUSINESSPKFLAG,DICTCODE) values (",B8,",'",C8,"','",D8,"','",E8,"','",F8,"','",G8,"','",H8,"');")</f>
        <v>insert into CHB_INFOMGR_CONFIG (BASEINFORMATIONID,BASETABLEID,BASECOLUMNID,BASECOLUMNNAME,BASECOLUMNTYPE,BUSINESSPKFLAG,DICTCODE) values (f_guid(),'CHB_PRD_BASEINFO','PROD_ID','产品代码','T','Y','');</v>
      </c>
    </row>
    <row r="9" spans="1:9" x14ac:dyDescent="0.15">
      <c r="A9" s="2">
        <v>6</v>
      </c>
      <c r="B9" s="2" t="s">
        <v>25</v>
      </c>
      <c r="C9" s="2" t="s">
        <v>165</v>
      </c>
      <c r="D9" s="2" t="s">
        <v>167</v>
      </c>
      <c r="E9" s="2" t="s">
        <v>68</v>
      </c>
      <c r="F9" s="2" t="s">
        <v>48</v>
      </c>
      <c r="G9" s="2" t="s">
        <v>22</v>
      </c>
      <c r="I9" s="2" t="str">
        <f t="shared" si="1"/>
        <v>insert into CHB_INFOMGR_CONFIG (BASEINFORMATIONID,BASETABLEID,BASECOLUMNID,BASECOLUMNNAME,BASECOLUMNTYPE,BUSINESSPKFLAG,DICTCODE) values (f_guid(),'CHB_PRD_BASEINFO','PRODUUID','主键','U','N','');</v>
      </c>
    </row>
    <row r="10" spans="1:9" x14ac:dyDescent="0.15">
      <c r="A10" s="2">
        <v>7</v>
      </c>
      <c r="B10" s="2" t="s">
        <v>25</v>
      </c>
      <c r="C10" s="2" t="s">
        <v>165</v>
      </c>
      <c r="D10" s="2" t="s">
        <v>14</v>
      </c>
      <c r="E10" s="2" t="s">
        <v>17</v>
      </c>
      <c r="F10" s="2" t="s">
        <v>20</v>
      </c>
      <c r="G10" s="2" t="s">
        <v>22</v>
      </c>
      <c r="H10" s="2" t="s">
        <v>24</v>
      </c>
      <c r="I10" s="2" t="str">
        <f t="shared" si="1"/>
        <v>insert into CHB_INFOMGR_CONFIG (BASEINFORMATIONID,BASETABLEID,BASECOLUMNID,BASECOLUMNNAME,BASECOLUMNTYPE,BUSINESSPKFLAG,DICTCODE) values (f_guid(),'CHB_PRD_BASEINFO','PROFIT_TYPE','产品收益类型','S','N','SVR_PROD_PROFIT_TYPE');</v>
      </c>
    </row>
    <row r="11" spans="1:9" x14ac:dyDescent="0.15">
      <c r="A11" s="2">
        <v>8</v>
      </c>
      <c r="B11" s="2" t="s">
        <v>25</v>
      </c>
      <c r="C11" s="2" t="s">
        <v>165</v>
      </c>
      <c r="D11" s="2" t="s">
        <v>29</v>
      </c>
      <c r="E11" s="2" t="s">
        <v>35</v>
      </c>
      <c r="F11" s="2" t="s">
        <v>60</v>
      </c>
      <c r="G11" s="2" t="s">
        <v>22</v>
      </c>
      <c r="I11" s="2" t="str">
        <f t="shared" si="1"/>
        <v>insert into CHB_INFOMGR_CONFIG (BASEINFORMATIONID,BASETABLEID,BASECOLUMNID,BASECOLUMNNAME,BASECOLUMNTYPE,BUSINESSPKFLAG,DICTCODE) values (f_guid(),'CHB_PRD_BASEINFO','VDATE','起息日','D','N','');</v>
      </c>
    </row>
    <row r="12" spans="1:9" x14ac:dyDescent="0.15">
      <c r="A12" s="2">
        <v>9</v>
      </c>
      <c r="B12" s="2" t="s">
        <v>25</v>
      </c>
      <c r="C12" s="2" t="s">
        <v>165</v>
      </c>
      <c r="D12" s="2" t="s">
        <v>27</v>
      </c>
      <c r="E12" s="2" t="s">
        <v>166</v>
      </c>
      <c r="F12" s="2" t="s">
        <v>60</v>
      </c>
      <c r="G12" s="2" t="s">
        <v>22</v>
      </c>
      <c r="I12" s="2" t="str">
        <f t="shared" si="1"/>
        <v>insert into CHB_INFOMGR_CONFIG (BASEINFORMATIONID,BASETABLEID,BASECOLUMNID,BASECOLUMNNAME,BASECOLUMNTYPE,BUSINESSPKFLAG,DICTCODE) values (f_guid(),'CHB_PRD_BASEINFO','RAISE_VDATE','募集起始日期','D','N','');</v>
      </c>
    </row>
    <row r="13" spans="1:9" x14ac:dyDescent="0.15">
      <c r="A13" s="2">
        <v>10</v>
      </c>
      <c r="B13" s="2" t="s">
        <v>25</v>
      </c>
      <c r="C13" s="2" t="s">
        <v>165</v>
      </c>
      <c r="D13" s="2" t="s">
        <v>15</v>
      </c>
      <c r="E13" s="2" t="s">
        <v>18</v>
      </c>
      <c r="F13" s="2" t="s">
        <v>21</v>
      </c>
      <c r="G13" s="2" t="s">
        <v>22</v>
      </c>
      <c r="I13" s="2" t="str">
        <f t="shared" si="1"/>
        <v>insert into CHB_INFOMGR_CONFIG (BASEINFORMATIONID,BASETABLEID,BASECOLUMNID,BASECOLUMNNAME,BASECOLUMNTYPE,BUSINESSPKFLAG,DICTCODE) values (f_guid(),'CHB_PRD_BASEINFO','PROD_NAME','产品名称','T','N','');</v>
      </c>
    </row>
    <row r="14" spans="1:9" x14ac:dyDescent="0.15">
      <c r="A14" s="2">
        <v>11</v>
      </c>
      <c r="B14" s="2" t="s">
        <v>25</v>
      </c>
      <c r="C14" s="2" t="s">
        <v>165</v>
      </c>
      <c r="D14" s="2" t="s">
        <v>30</v>
      </c>
      <c r="E14" s="2" t="s">
        <v>36</v>
      </c>
      <c r="F14" s="2" t="s">
        <v>60</v>
      </c>
      <c r="G14" s="2" t="s">
        <v>22</v>
      </c>
      <c r="I14" s="2" t="str">
        <f t="shared" si="1"/>
        <v>insert into CHB_INFOMGR_CONFIG (BASEINFORMATIONID,BASETABLEID,BASECOLUMNID,BASECOLUMNNAME,BASECOLUMNTYPE,BUSINESSPKFLAG,DICTCODE) values (f_guid(),'CHB_PRD_BASEINFO','MDATE','到期日','D','N','');</v>
      </c>
    </row>
    <row r="15" spans="1:9" x14ac:dyDescent="0.15">
      <c r="A15" s="2">
        <v>12</v>
      </c>
      <c r="B15" s="2" t="s">
        <v>25</v>
      </c>
      <c r="C15" s="5" t="s">
        <v>69</v>
      </c>
      <c r="D15" s="6" t="s">
        <v>30</v>
      </c>
      <c r="E15" s="2" t="s">
        <v>36</v>
      </c>
      <c r="F15" s="2" t="s">
        <v>60</v>
      </c>
      <c r="G15" s="2" t="s">
        <v>22</v>
      </c>
      <c r="I15" s="2" t="str">
        <f t="shared" ref="I15:I27" si="2">CONCATENATE("insert into CHB_INFOMGR_CONFIG (BASEINFORMATIONID,BASETABLEID,BASECOLUMNID,BASECOLUMNNAME,BASECOLUMNTYPE,BUSINESSPKFLAG,DICTCODE) values (",B15,",'",C15,"','",D15,"','",E15,"','",F15,"','",G15,"','",H15,"');")</f>
        <v>insert into CHB_INFOMGR_CONFIG (BASEINFORMATIONID,BASETABLEID,BASECOLUMNID,BASECOLUMNNAME,BASECOLUMNTYPE,BUSINESSPKFLAG,DICTCODE) values (f_guid(),'CHB_ASSET_INFO','MDATE','到期日','D','N','');</v>
      </c>
    </row>
    <row r="16" spans="1:9" x14ac:dyDescent="0.15">
      <c r="A16" s="2">
        <v>13</v>
      </c>
      <c r="B16" s="2" t="s">
        <v>25</v>
      </c>
      <c r="C16" s="5" t="s">
        <v>69</v>
      </c>
      <c r="D16" s="2" t="s">
        <v>29</v>
      </c>
      <c r="E16" s="2" t="s">
        <v>35</v>
      </c>
      <c r="F16" s="2" t="s">
        <v>60</v>
      </c>
      <c r="G16" s="2" t="s">
        <v>22</v>
      </c>
      <c r="I16" s="2" t="str">
        <f t="shared" si="2"/>
        <v>insert into CHB_INFOMGR_CONFIG (BASEINFORMATIONID,BASETABLEID,BASECOLUMNID,BASECOLUMNNAME,BASECOLUMNTYPE,BUSINESSPKFLAG,DICTCODE) values (f_guid(),'CHB_ASSET_INFO','VDATE','起息日','D','N','');</v>
      </c>
    </row>
    <row r="17" spans="1:9" x14ac:dyDescent="0.15">
      <c r="A17" s="2">
        <v>14</v>
      </c>
      <c r="B17" s="2" t="s">
        <v>25</v>
      </c>
      <c r="C17" s="5" t="s">
        <v>69</v>
      </c>
      <c r="D17" s="7" t="s">
        <v>32</v>
      </c>
      <c r="E17" s="6" t="s">
        <v>70</v>
      </c>
      <c r="F17" s="2" t="s">
        <v>21</v>
      </c>
      <c r="G17" s="2" t="s">
        <v>23</v>
      </c>
      <c r="I17" s="2" t="str">
        <f t="shared" si="2"/>
        <v>insert into CHB_INFOMGR_CONFIG (BASEINFORMATIONID,BASETABLEID,BASECOLUMNID,BASECOLUMNNAME,BASECOLUMNTYPE,BUSINESSPKFLAG,DICTCODE) values (f_guid(),'CHB_ASSET_INFO','ASSET_CODE','行内资产编码','T','Y','');</v>
      </c>
    </row>
    <row r="18" spans="1:9" x14ac:dyDescent="0.15">
      <c r="A18" s="2">
        <v>15</v>
      </c>
      <c r="B18" s="2" t="s">
        <v>25</v>
      </c>
      <c r="C18" s="5" t="s">
        <v>69</v>
      </c>
      <c r="D18" s="6" t="s">
        <v>71</v>
      </c>
      <c r="E18" s="6" t="s">
        <v>72</v>
      </c>
      <c r="F18" s="2" t="s">
        <v>20</v>
      </c>
      <c r="G18" s="2" t="s">
        <v>22</v>
      </c>
      <c r="H18" s="2" t="s">
        <v>232</v>
      </c>
      <c r="I18" s="2" t="str">
        <f t="shared" si="2"/>
        <v>insert into CHB_INFOMGR_CONFIG (BASEINFORMATIONID,BASETABLEID,BASECOLUMNID,BASECOLUMNNAME,BASECOLUMNTYPE,BUSINESSPKFLAG,DICTCODE) values (f_guid(),'CHB_ASSET_INFO','STATUS','数据状态','S','N','SVR_STATUS');</v>
      </c>
    </row>
    <row r="19" spans="1:9" x14ac:dyDescent="0.15">
      <c r="A19" s="2">
        <v>16</v>
      </c>
      <c r="B19" s="2" t="s">
        <v>25</v>
      </c>
      <c r="C19" s="5" t="s">
        <v>69</v>
      </c>
      <c r="D19" s="7" t="s">
        <v>73</v>
      </c>
      <c r="E19" s="7" t="s">
        <v>74</v>
      </c>
      <c r="F19" s="2" t="s">
        <v>20</v>
      </c>
      <c r="G19" s="2" t="s">
        <v>22</v>
      </c>
      <c r="H19" s="2" t="s">
        <v>75</v>
      </c>
      <c r="I19" s="2" t="str">
        <f t="shared" si="2"/>
        <v>insert into CHB_INFOMGR_CONFIG (BASEINFORMATIONID,BASETABLEID,BASECOLUMNID,BASECOLUMNNAME,BASECOLUMNTYPE,BUSINESSPKFLAG,DICTCODE) values (f_guid(),'CHB_ASSET_INFO','ASSET_TYPE2','资产负债类别','S','N','SVR_ASSET_TYPE_SECOND_LEVEL');</v>
      </c>
    </row>
    <row r="20" spans="1:9" x14ac:dyDescent="0.15">
      <c r="A20" s="2">
        <v>17</v>
      </c>
      <c r="B20" s="2" t="s">
        <v>25</v>
      </c>
      <c r="C20" s="5" t="s">
        <v>69</v>
      </c>
      <c r="D20" s="2" t="s">
        <v>76</v>
      </c>
      <c r="E20" s="2" t="s">
        <v>68</v>
      </c>
      <c r="F20" s="2" t="s">
        <v>48</v>
      </c>
      <c r="G20" s="2" t="s">
        <v>22</v>
      </c>
      <c r="I20" s="2" t="str">
        <f t="shared" si="2"/>
        <v>insert into CHB_INFOMGR_CONFIG (BASEINFORMATIONID,BASETABLEID,BASECOLUMNID,BASECOLUMNNAME,BASECOLUMNTYPE,BUSINESSPKFLAG,DICTCODE) values (f_guid(),'CHB_ASSET_INFO','ASSET_UUID','主键','U','N','');</v>
      </c>
    </row>
    <row r="21" spans="1:9" x14ac:dyDescent="0.15">
      <c r="A21" s="2">
        <v>18</v>
      </c>
      <c r="B21" s="2" t="s">
        <v>25</v>
      </c>
      <c r="C21" s="7" t="s">
        <v>69</v>
      </c>
      <c r="D21" s="7" t="s">
        <v>77</v>
      </c>
      <c r="E21" s="7" t="s">
        <v>78</v>
      </c>
      <c r="F21" s="2" t="s">
        <v>20</v>
      </c>
      <c r="G21" s="2" t="s">
        <v>22</v>
      </c>
      <c r="H21" s="2" t="s">
        <v>79</v>
      </c>
      <c r="I21" s="2" t="str">
        <f t="shared" si="2"/>
        <v>insert into CHB_INFOMGR_CONFIG (BASEINFORMATIONID,BASETABLEID,BASECOLUMNID,BASECOLUMNNAME,BASECOLUMNTYPE,BUSINESSPKFLAG,DICTCODE) values (f_guid(),'CHB_ASSET_INFO','TRADE_MARKET','交易流通场所','S','N','SVR_TRADE_MARKET');</v>
      </c>
    </row>
    <row r="22" spans="1:9" x14ac:dyDescent="0.15">
      <c r="A22" s="2">
        <v>19</v>
      </c>
      <c r="B22" s="2" t="s">
        <v>25</v>
      </c>
      <c r="C22" s="7" t="s">
        <v>69</v>
      </c>
      <c r="D22" s="7" t="s">
        <v>80</v>
      </c>
      <c r="E22" s="7" t="s">
        <v>81</v>
      </c>
      <c r="F22" s="2" t="s">
        <v>20</v>
      </c>
      <c r="G22" s="2" t="s">
        <v>22</v>
      </c>
      <c r="H22" s="2" t="s">
        <v>82</v>
      </c>
      <c r="I22" s="2" t="str">
        <f t="shared" si="2"/>
        <v>insert into CHB_INFOMGR_CONFIG (BASEINFORMATIONID,BASETABLEID,BASECOLUMNID,BASECOLUMNNAME,BASECOLUMNTYPE,BUSINESSPKFLAG,DICTCODE) values (f_guid(),'CHB_ASSET_INFO','CCY','币种','S','N','CURRENCY_CHB');</v>
      </c>
    </row>
    <row r="23" spans="1:9" x14ac:dyDescent="0.15">
      <c r="A23" s="2">
        <v>20</v>
      </c>
      <c r="B23" s="2" t="s">
        <v>25</v>
      </c>
      <c r="C23" s="7" t="s">
        <v>69</v>
      </c>
      <c r="D23" s="2" t="s">
        <v>83</v>
      </c>
      <c r="E23" s="2" t="s">
        <v>84</v>
      </c>
      <c r="F23" s="2" t="s">
        <v>20</v>
      </c>
      <c r="G23" s="2" t="s">
        <v>22</v>
      </c>
      <c r="H23" s="2" t="s">
        <v>85</v>
      </c>
      <c r="I23" s="2" t="str">
        <f t="shared" si="2"/>
        <v>insert into CHB_INFOMGR_CONFIG (BASEINFORMATIONID,BASETABLEID,BASECOLUMNID,BASECOLUMNNAME,BASECOLUMNTYPE,BUSINESSPKFLAG,DICTCODE) values (f_guid(),'CHB_ASSET_INFO','ASSET_TYPE','TAB页类型','S','N','SVR_ASSETDEBT_TYPE');</v>
      </c>
    </row>
    <row r="24" spans="1:9" x14ac:dyDescent="0.15">
      <c r="A24" s="2">
        <v>21</v>
      </c>
      <c r="B24" s="2" t="s">
        <v>25</v>
      </c>
      <c r="C24" s="2" t="s">
        <v>90</v>
      </c>
      <c r="D24" s="2" t="s">
        <v>92</v>
      </c>
      <c r="E24" s="2" t="s">
        <v>68</v>
      </c>
      <c r="F24" s="2" t="s">
        <v>48</v>
      </c>
      <c r="G24" s="2" t="s">
        <v>22</v>
      </c>
      <c r="I24" s="2" t="str">
        <f t="shared" si="2"/>
        <v>insert into CHB_INFOMGR_CONFIG (BASEINFORMATIONID,BASETABLEID,BASECOLUMNID,BASECOLUMNNAME,BASECOLUMNTYPE,BUSINESSPKFLAG,DICTCODE) values (f_guid(),'CHB_BOT_AST_POS','POS_ID','主键','U','N','');</v>
      </c>
    </row>
    <row r="25" spans="1:9" x14ac:dyDescent="0.15">
      <c r="A25" s="2">
        <v>22</v>
      </c>
      <c r="B25" s="2" t="s">
        <v>25</v>
      </c>
      <c r="C25" s="2" t="s">
        <v>90</v>
      </c>
      <c r="D25" s="2" t="s">
        <v>71</v>
      </c>
      <c r="E25" s="2" t="s">
        <v>72</v>
      </c>
      <c r="F25" s="2" t="s">
        <v>20</v>
      </c>
      <c r="G25" s="2" t="s">
        <v>22</v>
      </c>
      <c r="H25" s="2" t="s">
        <v>232</v>
      </c>
      <c r="I25" s="2" t="str">
        <f t="shared" si="2"/>
        <v>insert into CHB_INFOMGR_CONFIG (BASEINFORMATIONID,BASETABLEID,BASECOLUMNID,BASECOLUMNNAME,BASECOLUMNTYPE,BUSINESSPKFLAG,DICTCODE) values (f_guid(),'CHB_BOT_AST_POS','STATUS','数据状态','S','N','SVR_STATUS');</v>
      </c>
    </row>
    <row r="26" spans="1:9" x14ac:dyDescent="0.15">
      <c r="A26" s="2">
        <v>23</v>
      </c>
      <c r="B26" s="2" t="s">
        <v>25</v>
      </c>
      <c r="C26" s="2" t="s">
        <v>90</v>
      </c>
      <c r="D26" s="2" t="s">
        <v>93</v>
      </c>
      <c r="E26" s="2" t="s">
        <v>94</v>
      </c>
      <c r="F26" s="2" t="s">
        <v>21</v>
      </c>
      <c r="G26" s="2" t="s">
        <v>23</v>
      </c>
      <c r="I26" s="2" t="str">
        <f t="shared" si="2"/>
        <v>insert into CHB_INFOMGR_CONFIG (BASEINFORMATIONID,BASETABLEID,BASECOLUMNID,BASECOLUMNNAME,BASECOLUMNTYPE,BUSINESSPKFLAG,DICTCODE) values (f_guid(),'CHB_BOT_AST_POS','PLAN_ASSET_ID','资管计划行内资产/负债编码','T','Y','');</v>
      </c>
    </row>
    <row r="27" spans="1:9" x14ac:dyDescent="0.15">
      <c r="A27" s="2">
        <v>24</v>
      </c>
      <c r="B27" s="2" t="s">
        <v>25</v>
      </c>
      <c r="C27" s="2" t="s">
        <v>90</v>
      </c>
      <c r="D27" s="2" t="s">
        <v>37</v>
      </c>
      <c r="E27" s="2" t="s">
        <v>38</v>
      </c>
      <c r="F27" s="2" t="s">
        <v>60</v>
      </c>
      <c r="G27" s="2" t="s">
        <v>23</v>
      </c>
      <c r="I27" s="2" t="str">
        <f t="shared" si="2"/>
        <v>insert into CHB_INFOMGR_CONFIG (BASEINFORMATIONID,BASETABLEID,BASECOLUMNID,BASECOLUMNNAME,BASECOLUMNTYPE,BUSINESSPKFLAG,DICTCODE) values (f_guid(),'CHB_BOT_AST_POS','POS_DATE','持仓日期','D','Y','');</v>
      </c>
    </row>
    <row r="28" spans="1:9" x14ac:dyDescent="0.15">
      <c r="A28" s="2">
        <v>25</v>
      </c>
      <c r="B28" s="2" t="s">
        <v>25</v>
      </c>
      <c r="C28" s="2" t="s">
        <v>90</v>
      </c>
      <c r="D28" s="2" t="s">
        <v>32</v>
      </c>
      <c r="E28" s="2" t="s">
        <v>39</v>
      </c>
      <c r="F28" s="2" t="s">
        <v>21</v>
      </c>
      <c r="G28" s="2" t="s">
        <v>23</v>
      </c>
      <c r="I28" s="2" t="str">
        <f>CONCATENATE("insert into CHB_INFOMGR_CONFIG (BASEINFORMATIONID,BASETABLEID,BASECOLUMNID,BASECOLUMNNAME,BASECOLUMNTYPE,BUSINESSPKFLAG,DICTCODE) values (",B28,",'",C28,"','",D28,"','",E28,"','",F28,"','",G28,"','",H28,"');")</f>
        <v>insert into CHB_INFOMGR_CONFIG (BASEINFORMATIONID,BASETABLEID,BASECOLUMNID,BASECOLUMNNAME,BASECOLUMNTYPE,BUSINESSPKFLAG,DICTCODE) values (f_guid(),'CHB_BOT_AST_POS','ASSET_CODE','行内资产/负债编码','T','Y','');</v>
      </c>
    </row>
    <row r="29" spans="1:9" x14ac:dyDescent="0.15">
      <c r="A29" s="2">
        <v>26</v>
      </c>
      <c r="B29" s="2" t="s">
        <v>25</v>
      </c>
      <c r="C29" s="2" t="s">
        <v>97</v>
      </c>
      <c r="D29" s="2" t="s">
        <v>32</v>
      </c>
      <c r="E29" s="2" t="s">
        <v>39</v>
      </c>
      <c r="F29" s="2" t="s">
        <v>21</v>
      </c>
      <c r="G29" s="2" t="s">
        <v>22</v>
      </c>
      <c r="I29" s="2" t="str">
        <f t="shared" ref="I29:I47" si="3">CONCATENATE("insert into CHB_INFOMGR_CONFIG (BASEINFORMATIONID,BASETABLEID,BASECOLUMNID,BASECOLUMNNAME,BASECOLUMNTYPE,BUSINESSPKFLAG,DICTCODE) values (",B29,",'",C29,"','",D29,"','",E29,"','",F29,"','",G29,"','",H29,"');")</f>
        <v>insert into CHB_INFOMGR_CONFIG (BASEINFORMATIONID,BASETABLEID,BASECOLUMNID,BASECOLUMNNAME,BASECOLUMNTYPE,BUSINESSPKFLAG,DICTCODE) values (f_guid(),'CHB_INVEST_TRADE','ASSET_CODE','行内资产/负债编码','T','N','');</v>
      </c>
    </row>
    <row r="30" spans="1:9" x14ac:dyDescent="0.15">
      <c r="A30" s="2">
        <v>27</v>
      </c>
      <c r="B30" s="2" t="s">
        <v>25</v>
      </c>
      <c r="C30" s="2" t="s">
        <v>97</v>
      </c>
      <c r="D30" s="2" t="s">
        <v>98</v>
      </c>
      <c r="E30" s="2" t="s">
        <v>99</v>
      </c>
      <c r="F30" s="2" t="s">
        <v>48</v>
      </c>
      <c r="G30" s="2" t="s">
        <v>22</v>
      </c>
      <c r="I30" s="2" t="str">
        <f t="shared" si="3"/>
        <v>insert into CHB_INFOMGR_CONFIG (BASEINFORMATIONID,BASETABLEID,BASECOLUMNID,BASECOLUMNNAME,BASECOLUMNTYPE,BUSINESSPKFLAG,DICTCODE) values (f_guid(),'CHB_INVEST_TRADE','TRADE_SEQNO','交易UUID','U','N','');</v>
      </c>
    </row>
    <row r="31" spans="1:9" x14ac:dyDescent="0.15">
      <c r="A31" s="2">
        <v>28</v>
      </c>
      <c r="B31" s="2" t="s">
        <v>25</v>
      </c>
      <c r="C31" s="2" t="s">
        <v>97</v>
      </c>
      <c r="D31" s="2" t="s">
        <v>26</v>
      </c>
      <c r="E31" s="2" t="s">
        <v>31</v>
      </c>
      <c r="F31" s="2" t="s">
        <v>21</v>
      </c>
      <c r="G31" s="2" t="s">
        <v>22</v>
      </c>
      <c r="I31" s="2" t="str">
        <f t="shared" si="3"/>
        <v>insert into CHB_INFOMGR_CONFIG (BASEINFORMATIONID,BASETABLEID,BASECOLUMNID,BASECOLUMNNAME,BASECOLUMNTYPE,BUSINESSPKFLAG,DICTCODE) values (f_guid(),'CHB_INVEST_TRADE','PROD_ID','产品代码','T','N','');</v>
      </c>
    </row>
    <row r="32" spans="1:9" x14ac:dyDescent="0.15">
      <c r="A32" s="2">
        <v>29</v>
      </c>
      <c r="B32" s="2" t="s">
        <v>25</v>
      </c>
      <c r="C32" s="2" t="s">
        <v>97</v>
      </c>
      <c r="D32" s="2" t="s">
        <v>100</v>
      </c>
      <c r="E32" s="2" t="s">
        <v>42</v>
      </c>
      <c r="F32" s="2" t="s">
        <v>60</v>
      </c>
      <c r="G32" s="2" t="s">
        <v>22</v>
      </c>
      <c r="I32" s="2" t="str">
        <f t="shared" si="3"/>
        <v>insert into CHB_INFOMGR_CONFIG (BASEINFORMATIONID,BASETABLEID,BASECOLUMNID,BASECOLUMNNAME,BASECOLUMNTYPE,BUSINESSPKFLAG,DICTCODE) values (f_guid(),'CHB_INVEST_TRADE','DEALDATE','交易日','D','N','');</v>
      </c>
    </row>
    <row r="33" spans="1:9" x14ac:dyDescent="0.15">
      <c r="A33" s="2">
        <v>30</v>
      </c>
      <c r="B33" s="2" t="s">
        <v>25</v>
      </c>
      <c r="C33" s="2" t="s">
        <v>97</v>
      </c>
      <c r="D33" s="2" t="s">
        <v>40</v>
      </c>
      <c r="E33" s="2" t="s">
        <v>41</v>
      </c>
      <c r="F33" s="2" t="s">
        <v>21</v>
      </c>
      <c r="G33" s="2" t="s">
        <v>23</v>
      </c>
      <c r="I33" s="2" t="str">
        <f t="shared" si="3"/>
        <v>insert into CHB_INFOMGR_CONFIG (BASEINFORMATIONID,BASETABLEID,BASECOLUMNID,BASECOLUMNNAME,BASECOLUMNTYPE,BUSINESSPKFLAG,DICTCODE) values (f_guid(),'CHB_INVEST_TRADE','TRADE_CODE','行内交易编码','T','Y','');</v>
      </c>
    </row>
    <row r="34" spans="1:9" x14ac:dyDescent="0.15">
      <c r="A34" s="2">
        <v>31</v>
      </c>
      <c r="B34" s="15" t="s">
        <v>253</v>
      </c>
      <c r="C34" s="2" t="s">
        <v>234</v>
      </c>
      <c r="D34" s="2" t="s">
        <v>32</v>
      </c>
      <c r="E34" s="2" t="s">
        <v>34</v>
      </c>
      <c r="F34" s="2" t="s">
        <v>21</v>
      </c>
      <c r="G34" s="2" t="s">
        <v>23</v>
      </c>
      <c r="I34" s="2" t="str">
        <f>CONCATENATE("insert into CHB_INFOMGR_CONFIG (BASEINFORMATIONID,BASETABLEID,BASECOLUMNID,BASECOLUMNNAME,BASECOLUMNTYPE,BUSINESSPKFLAG,DICTCODE) values ('",B34,"','",C34,"','",D34,"','",E34,"','",F34,"','",G34,"','",H34,"');")</f>
        <v>insert into CHB_INFOMGR_CONFIG (BASEINFORMATIONID,BASETABLEID,BASECOLUMNID,BASECOLUMNNAME,BASECOLUMNTYPE,BUSINESSPKFLAG,DICTCODE) values ('LOANINFO-DF28-D920-E050-007F01000001','CHB_LOAN_DETAIL_INFO','ASSET_CODE','资产代码','T','Y','');</v>
      </c>
    </row>
    <row r="35" spans="1:9" x14ac:dyDescent="0.15">
      <c r="A35" s="2">
        <v>32</v>
      </c>
      <c r="B35" s="15" t="s">
        <v>254</v>
      </c>
      <c r="C35" s="2" t="s">
        <v>101</v>
      </c>
      <c r="D35" s="2" t="s">
        <v>76</v>
      </c>
      <c r="E35" s="2" t="s">
        <v>47</v>
      </c>
      <c r="F35" s="2" t="s">
        <v>48</v>
      </c>
      <c r="G35" s="2" t="s">
        <v>22</v>
      </c>
      <c r="I35" s="15" t="str">
        <f t="shared" ref="I35:I38" si="4">CONCATENATE("insert into CHB_INFOMGR_CONFIG (BASEINFORMATIONID,BASETABLEID,BASECOLUMNID,BASECOLUMNNAME,BASECOLUMNTYPE,BUSINESSPKFLAG,DICTCODE) values ('",B35,"','",C35,"','",D35,"','",E35,"','",F35,"','",G35,"','",H35,"');")</f>
        <v>insert into CHB_INFOMGR_CONFIG (BASEINFORMATIONID,BASETABLEID,BASECOLUMNID,BASECOLUMNNAME,BASECOLUMNTYPE,BUSINESSPKFLAG,DICTCODE) values ('LOANINFO-DF28-D920-E050-007F01000002','CHB_LOAN_DETAIL_INFO','ASSET_UUID','uuid技术主键','U','N','');</v>
      </c>
    </row>
    <row r="36" spans="1:9" x14ac:dyDescent="0.15">
      <c r="A36" s="2">
        <v>33</v>
      </c>
      <c r="B36" s="15" t="s">
        <v>255</v>
      </c>
      <c r="C36" s="2" t="s">
        <v>101</v>
      </c>
      <c r="D36" s="2" t="s">
        <v>102</v>
      </c>
      <c r="E36" s="2" t="s">
        <v>103</v>
      </c>
      <c r="F36" s="2" t="s">
        <v>20</v>
      </c>
      <c r="G36" s="2" t="s">
        <v>22</v>
      </c>
      <c r="H36" s="2" t="s">
        <v>104</v>
      </c>
      <c r="I36" s="15" t="str">
        <f t="shared" si="4"/>
        <v>insert into CHB_INFOMGR_CONFIG (BASEINFORMATIONID,BASETABLEID,BASECOLUMNID,BASECOLUMNNAME,BASECOLUMNTYPE,BUSINESSPKFLAG,DICTCODE) values ('LOANINFO-DF28-D920-E050-007F01000003','CHB_LOAN_DETAIL_INFO','ASSETS_INVEST','基础资产投向分类','S','N','SVR_CUSTOMER_TYPE1');</v>
      </c>
    </row>
    <row r="37" spans="1:9" x14ac:dyDescent="0.15">
      <c r="A37" s="2">
        <v>34</v>
      </c>
      <c r="B37" s="15" t="s">
        <v>256</v>
      </c>
      <c r="C37" s="2" t="s">
        <v>101</v>
      </c>
      <c r="D37" s="2" t="s">
        <v>71</v>
      </c>
      <c r="E37" s="2" t="s">
        <v>72</v>
      </c>
      <c r="F37" s="2" t="s">
        <v>20</v>
      </c>
      <c r="G37" s="2" t="s">
        <v>22</v>
      </c>
      <c r="H37" s="2" t="s">
        <v>232</v>
      </c>
      <c r="I37" s="15" t="str">
        <f t="shared" si="4"/>
        <v>insert into CHB_INFOMGR_CONFIG (BASEINFORMATIONID,BASETABLEID,BASECOLUMNID,BASECOLUMNNAME,BASECOLUMNTYPE,BUSINESSPKFLAG,DICTCODE) values ('LOANINFO-DF28-D920-E050-007F01000004','CHB_LOAN_DETAIL_INFO','STATUS','数据状态','S','N','SVR_STATUS');</v>
      </c>
    </row>
    <row r="38" spans="1:9" x14ac:dyDescent="0.15">
      <c r="A38" s="2">
        <v>35</v>
      </c>
      <c r="B38" s="15" t="s">
        <v>257</v>
      </c>
      <c r="C38" s="2" t="s">
        <v>101</v>
      </c>
      <c r="D38" s="2" t="s">
        <v>105</v>
      </c>
      <c r="E38" s="2" t="s">
        <v>106</v>
      </c>
      <c r="F38" s="2" t="s">
        <v>60</v>
      </c>
      <c r="G38" s="2" t="s">
        <v>22</v>
      </c>
      <c r="I38" s="15" t="str">
        <f t="shared" si="4"/>
        <v>insert into CHB_INFOMGR_CONFIG (BASEINFORMATIONID,BASETABLEID,BASECOLUMNID,BASECOLUMNNAME,BASECOLUMNTYPE,BUSINESSPKFLAG,DICTCODE) values ('LOANINFO-DF28-D920-E050-007F01000005','CHB_LOAN_DETAIL_INFO','LOAN_VDATE','贷款发放日期','D','N','');</v>
      </c>
    </row>
    <row r="39" spans="1:9" x14ac:dyDescent="0.15">
      <c r="A39" s="2">
        <v>36</v>
      </c>
      <c r="B39" s="2" t="s">
        <v>25</v>
      </c>
      <c r="C39" s="2" t="s">
        <v>152</v>
      </c>
      <c r="D39" s="2" t="s">
        <v>153</v>
      </c>
      <c r="E39" s="2" t="s">
        <v>154</v>
      </c>
      <c r="F39" s="2" t="s">
        <v>20</v>
      </c>
      <c r="G39" s="2" t="s">
        <v>22</v>
      </c>
      <c r="H39" s="2" t="s">
        <v>153</v>
      </c>
      <c r="I39" s="2" t="str">
        <f t="shared" si="3"/>
        <v>insert into CHB_INFOMGR_CONFIG (BASEINFORMATIONID,BASETABLEID,BASECOLUMNID,BASECOLUMNNAME,BASECOLUMNTYPE,BUSINESSPKFLAG,DICTCODE) values (f_guid(),'CHB_MST_COUNTER_PARTY','COUNTER_TYPE','交易对手类型','S','N','COUNTER_TYPE');</v>
      </c>
    </row>
    <row r="40" spans="1:9" x14ac:dyDescent="0.15">
      <c r="A40" s="2">
        <v>37</v>
      </c>
      <c r="B40" s="2" t="s">
        <v>25</v>
      </c>
      <c r="C40" s="2" t="s">
        <v>152</v>
      </c>
      <c r="D40" s="2" t="s">
        <v>155</v>
      </c>
      <c r="E40" s="2" t="s">
        <v>156</v>
      </c>
      <c r="F40" s="2" t="s">
        <v>21</v>
      </c>
      <c r="G40" s="2" t="s">
        <v>23</v>
      </c>
      <c r="I40" s="2" t="str">
        <f t="shared" si="3"/>
        <v>insert into CHB_INFOMGR_CONFIG (BASEINFORMATIONID,BASETABLEID,BASECOLUMNID,BASECOLUMNNAME,BASECOLUMNTYPE,BUSINESSPKFLAG,DICTCODE) values (f_guid(),'CHB_MST_COUNTER_PARTY','COUNTER_ID','交易对手代码','T','Y','');</v>
      </c>
    </row>
    <row r="41" spans="1:9" x14ac:dyDescent="0.15">
      <c r="A41" s="2">
        <v>38</v>
      </c>
      <c r="B41" s="2" t="s">
        <v>25</v>
      </c>
      <c r="C41" s="2" t="s">
        <v>152</v>
      </c>
      <c r="D41" s="2" t="s">
        <v>157</v>
      </c>
      <c r="E41" s="2" t="s">
        <v>158</v>
      </c>
      <c r="F41" s="2" t="s">
        <v>21</v>
      </c>
      <c r="G41" s="2" t="s">
        <v>22</v>
      </c>
      <c r="I41" s="2" t="str">
        <f t="shared" si="3"/>
        <v>insert into CHB_INFOMGR_CONFIG (BASEINFORMATIONID,BASETABLEID,BASECOLUMNID,BASECOLUMNNAME,BASECOLUMNTYPE,BUSINESSPKFLAG,DICTCODE) values (f_guid(),'CHB_MST_COUNTER_PARTY','COUNTER_NAME','交易对手名称','T','N','');</v>
      </c>
    </row>
    <row r="42" spans="1:9" x14ac:dyDescent="0.15">
      <c r="A42" s="2">
        <v>39</v>
      </c>
      <c r="B42" s="2" t="s">
        <v>25</v>
      </c>
      <c r="C42" s="2" t="s">
        <v>152</v>
      </c>
      <c r="D42" s="2" t="s">
        <v>159</v>
      </c>
      <c r="E42" s="2" t="s">
        <v>47</v>
      </c>
      <c r="F42" s="2" t="s">
        <v>48</v>
      </c>
      <c r="G42" s="2" t="s">
        <v>22</v>
      </c>
      <c r="I42" s="2" t="str">
        <f t="shared" si="3"/>
        <v>insert into CHB_INFOMGR_CONFIG (BASEINFORMATIONID,BASETABLEID,BASECOLUMNID,BASECOLUMNNAME,BASECOLUMNTYPE,BUSINESSPKFLAG,DICTCODE) values (f_guid(),'CHB_MST_COUNTER_PARTY','UUID','uuid技术主键','U','N','');</v>
      </c>
    </row>
    <row r="43" spans="1:9" x14ac:dyDescent="0.15">
      <c r="A43" s="2">
        <v>40</v>
      </c>
      <c r="B43" s="2" t="s">
        <v>25</v>
      </c>
      <c r="C43" s="2" t="s">
        <v>152</v>
      </c>
      <c r="D43" s="2" t="s">
        <v>160</v>
      </c>
      <c r="E43" s="2" t="s">
        <v>161</v>
      </c>
      <c r="F43" s="2" t="s">
        <v>20</v>
      </c>
      <c r="G43" s="2" t="s">
        <v>22</v>
      </c>
      <c r="H43" s="2" t="s">
        <v>162</v>
      </c>
      <c r="I43" s="2" t="str">
        <f t="shared" si="3"/>
        <v>insert into CHB_INFOMGR_CONFIG (BASEINFORMATIONID,BASETABLEID,BASECOLUMNID,BASECOLUMNNAME,BASECOLUMNTYPE,BUSINESSPKFLAG,DICTCODE) values (f_guid(),'CHB_MST_COUNTER_PARTY','COUNTER_TYPE2','交易对手二级分类','S','N','SVR_CUSTOMER_TYPE2');</v>
      </c>
    </row>
    <row r="44" spans="1:9" x14ac:dyDescent="0.15">
      <c r="A44" s="2">
        <v>41</v>
      </c>
      <c r="B44" s="2" t="s">
        <v>25</v>
      </c>
      <c r="C44" s="2" t="s">
        <v>152</v>
      </c>
      <c r="D44" s="2" t="s">
        <v>163</v>
      </c>
      <c r="E44" s="2" t="s">
        <v>164</v>
      </c>
      <c r="F44" s="2" t="s">
        <v>20</v>
      </c>
      <c r="G44" s="2" t="s">
        <v>22</v>
      </c>
      <c r="H44" s="2" t="s">
        <v>104</v>
      </c>
      <c r="I44" s="2" t="str">
        <f t="shared" si="3"/>
        <v>insert into CHB_INFOMGR_CONFIG (BASEINFORMATIONID,BASETABLEID,BASECOLUMNID,BASECOLUMNNAME,BASECOLUMNTYPE,BUSINESSPKFLAG,DICTCODE) values (f_guid(),'CHB_MST_COUNTER_PARTY','COUNTER_TYPE1','交易对手一级分类','S','N','SVR_CUSTOMER_TYPE1');</v>
      </c>
    </row>
    <row r="45" spans="1:9" x14ac:dyDescent="0.15">
      <c r="A45" s="2">
        <v>42</v>
      </c>
      <c r="B45" s="2" t="s">
        <v>25</v>
      </c>
      <c r="C45" s="2" t="s">
        <v>168</v>
      </c>
      <c r="D45" s="2" t="s">
        <v>169</v>
      </c>
      <c r="E45" s="2" t="s">
        <v>170</v>
      </c>
      <c r="F45" s="2" t="s">
        <v>60</v>
      </c>
      <c r="G45" s="2" t="s">
        <v>22</v>
      </c>
      <c r="I45" s="2" t="str">
        <f t="shared" si="3"/>
        <v>insert into CHB_INFOMGR_CONFIG (BASEINFORMATIONID,BASETABLEID,BASECOLUMNID,BASECOLUMNNAME,BASECOLUMNTYPE,BUSINESSPKFLAG,DICTCODE) values (f_guid(),'CHB_PRD_BONUS_DEAL','SETTDATE_DATE','确认日','D','N','');</v>
      </c>
    </row>
    <row r="46" spans="1:9" x14ac:dyDescent="0.15">
      <c r="A46" s="2">
        <v>43</v>
      </c>
      <c r="B46" s="2" t="s">
        <v>25</v>
      </c>
      <c r="C46" s="2" t="s">
        <v>168</v>
      </c>
      <c r="D46" s="2" t="s">
        <v>26</v>
      </c>
      <c r="E46" s="2" t="s">
        <v>31</v>
      </c>
      <c r="F46" s="2" t="s">
        <v>21</v>
      </c>
      <c r="G46" s="2" t="s">
        <v>22</v>
      </c>
      <c r="I46" s="2" t="str">
        <f t="shared" si="3"/>
        <v>insert into CHB_INFOMGR_CONFIG (BASEINFORMATIONID,BASETABLEID,BASECOLUMNID,BASECOLUMNNAME,BASECOLUMNTYPE,BUSINESSPKFLAG,DICTCODE) values (f_guid(),'CHB_PRD_BONUS_DEAL','PROD_ID','产品代码','T','N','');</v>
      </c>
    </row>
    <row r="47" spans="1:9" x14ac:dyDescent="0.15">
      <c r="A47" s="2">
        <v>44</v>
      </c>
      <c r="B47" s="2" t="s">
        <v>25</v>
      </c>
      <c r="C47" s="2" t="s">
        <v>168</v>
      </c>
      <c r="D47" s="2" t="s">
        <v>171</v>
      </c>
      <c r="E47" s="2" t="s">
        <v>172</v>
      </c>
      <c r="F47" s="2" t="s">
        <v>21</v>
      </c>
      <c r="G47" s="2" t="s">
        <v>23</v>
      </c>
      <c r="I47" s="2" t="str">
        <f t="shared" si="3"/>
        <v>insert into CHB_INFOMGR_CONFIG (BASEINFORMATIONID,BASETABLEID,BASECOLUMNID,BASECOLUMNNAME,BASECOLUMNTYPE,BUSINESSPKFLAG,DICTCODE) values (f_guid(),'CHB_PRD_BONUS_DEAL','TRADE_ID','上游系统交易编码','T','Y','');</v>
      </c>
    </row>
    <row r="48" spans="1:9" x14ac:dyDescent="0.15">
      <c r="A48" s="2">
        <v>45</v>
      </c>
      <c r="B48" s="2" t="s">
        <v>25</v>
      </c>
      <c r="C48" s="2" t="s">
        <v>173</v>
      </c>
      <c r="D48" s="2" t="s">
        <v>174</v>
      </c>
      <c r="E48" s="2" t="s">
        <v>68</v>
      </c>
      <c r="F48" s="2" t="s">
        <v>48</v>
      </c>
      <c r="G48" s="2" t="s">
        <v>22</v>
      </c>
      <c r="I48" s="2" t="str">
        <f t="shared" ref="I48:I159" si="5">CONCATENATE("insert into CHB_INFOMGR_CONFIG (BASEINFORMATIONID,BASETABLEID,BASECOLUMNID,BASECOLUMNNAME,BASECOLUMNTYPE,BUSINESSPKFLAG,DICTCODE) values (",B48,",'",C48,"','",D48,"','",E48,"','",F48,"','",G48,"','",H48,"');")</f>
        <v>insert into CHB_INFOMGR_CONFIG (BASEINFORMATIONID,BASETABLEID,BASECOLUMNID,BASECOLUMNNAME,BASECOLUMNTYPE,BUSINESSPKFLAG,DICTCODE) values (f_guid(),'CHB_PRD_DEAL','SEQNO','主键','U','N','');</v>
      </c>
    </row>
    <row r="49" spans="1:9" x14ac:dyDescent="0.15">
      <c r="A49" s="2">
        <v>46</v>
      </c>
      <c r="B49" s="2" t="s">
        <v>25</v>
      </c>
      <c r="C49" s="2" t="s">
        <v>173</v>
      </c>
      <c r="D49" s="2" t="s">
        <v>175</v>
      </c>
      <c r="E49" s="2" t="s">
        <v>176</v>
      </c>
      <c r="F49" s="2" t="s">
        <v>20</v>
      </c>
      <c r="G49" s="2" t="s">
        <v>23</v>
      </c>
      <c r="H49" s="2" t="s">
        <v>104</v>
      </c>
      <c r="I49" s="2" t="str">
        <f t="shared" si="5"/>
        <v>insert into CHB_INFOMGR_CONFIG (BASEINFORMATIONID,BASETABLEID,BASECOLUMNID,BASECOLUMNNAME,BASECOLUMNTYPE,BUSINESSPKFLAG,DICTCODE) values (f_guid(),'CHB_PRD_DEAL','CUSTOMER_TYPE1','客户一级类型','S','Y','SVR_CUSTOMER_TYPE1');</v>
      </c>
    </row>
    <row r="50" spans="1:9" x14ac:dyDescent="0.15">
      <c r="A50" s="2">
        <v>47</v>
      </c>
      <c r="B50" s="2" t="s">
        <v>25</v>
      </c>
      <c r="C50" s="2" t="s">
        <v>173</v>
      </c>
      <c r="D50" s="2" t="s">
        <v>177</v>
      </c>
      <c r="E50" s="2" t="s">
        <v>178</v>
      </c>
      <c r="F50" s="2" t="s">
        <v>20</v>
      </c>
      <c r="G50" s="2" t="s">
        <v>23</v>
      </c>
      <c r="H50" s="2" t="s">
        <v>162</v>
      </c>
      <c r="I50" s="2" t="str">
        <f t="shared" si="5"/>
        <v>insert into CHB_INFOMGR_CONFIG (BASEINFORMATIONID,BASETABLEID,BASECOLUMNID,BASECOLUMNNAME,BASECOLUMNTYPE,BUSINESSPKFLAG,DICTCODE) values (f_guid(),'CHB_PRD_DEAL','CUSTOMER_TYPE2','客户二级类型','S','Y','SVR_CUSTOMER_TYPE2');</v>
      </c>
    </row>
    <row r="51" spans="1:9" x14ac:dyDescent="0.15">
      <c r="A51" s="2">
        <v>48</v>
      </c>
      <c r="B51" s="2" t="s">
        <v>25</v>
      </c>
      <c r="C51" s="2" t="s">
        <v>173</v>
      </c>
      <c r="D51" s="2" t="s">
        <v>179</v>
      </c>
      <c r="E51" s="2" t="s">
        <v>180</v>
      </c>
      <c r="F51" s="2" t="s">
        <v>20</v>
      </c>
      <c r="G51" s="2" t="s">
        <v>23</v>
      </c>
      <c r="H51" s="2" t="s">
        <v>181</v>
      </c>
      <c r="I51" s="2" t="str">
        <f t="shared" si="5"/>
        <v>insert into CHB_INFOMGR_CONFIG (BASEINFORMATIONID,BASETABLEID,BASECOLUMNID,BASECOLUMNNAME,BASECOLUMNTYPE,BUSINESSPKFLAG,DICTCODE) values (f_guid(),'CHB_PRD_DEAL','BUY_PLACE','销售区域','S','Y','SVR_BUY_PLACE');</v>
      </c>
    </row>
    <row r="52" spans="1:9" x14ac:dyDescent="0.15">
      <c r="A52" s="2">
        <v>49</v>
      </c>
      <c r="B52" s="2" t="s">
        <v>25</v>
      </c>
      <c r="C52" s="2" t="s">
        <v>173</v>
      </c>
      <c r="D52" s="2" t="s">
        <v>26</v>
      </c>
      <c r="E52" s="2" t="s">
        <v>31</v>
      </c>
      <c r="F52" s="2" t="s">
        <v>21</v>
      </c>
      <c r="G52" s="2" t="s">
        <v>23</v>
      </c>
      <c r="I52" s="2" t="str">
        <f t="shared" si="5"/>
        <v>insert into CHB_INFOMGR_CONFIG (BASEINFORMATIONID,BASETABLEID,BASECOLUMNID,BASECOLUMNNAME,BASECOLUMNTYPE,BUSINESSPKFLAG,DICTCODE) values (f_guid(),'CHB_PRD_DEAL','PROD_ID','产品代码','T','Y','');</v>
      </c>
    </row>
    <row r="53" spans="1:9" x14ac:dyDescent="0.15">
      <c r="A53" s="2">
        <v>50</v>
      </c>
      <c r="B53" s="2" t="s">
        <v>25</v>
      </c>
      <c r="C53" s="2" t="s">
        <v>173</v>
      </c>
      <c r="D53" s="2" t="s">
        <v>169</v>
      </c>
      <c r="E53" s="2" t="s">
        <v>170</v>
      </c>
      <c r="F53" s="2" t="s">
        <v>60</v>
      </c>
      <c r="G53" s="2" t="s">
        <v>23</v>
      </c>
      <c r="I53" s="2" t="str">
        <f t="shared" si="5"/>
        <v>insert into CHB_INFOMGR_CONFIG (BASEINFORMATIONID,BASETABLEID,BASECOLUMNID,BASECOLUMNNAME,BASECOLUMNTYPE,BUSINESSPKFLAG,DICTCODE) values (f_guid(),'CHB_PRD_DEAL','SETTDATE_DATE','确认日','D','Y','');</v>
      </c>
    </row>
    <row r="54" spans="1:9" x14ac:dyDescent="0.15">
      <c r="A54" s="2">
        <v>51</v>
      </c>
      <c r="B54" s="2" t="s">
        <v>25</v>
      </c>
      <c r="C54" s="2" t="s">
        <v>173</v>
      </c>
      <c r="D54" s="2" t="s">
        <v>182</v>
      </c>
      <c r="E54" s="2" t="s">
        <v>183</v>
      </c>
      <c r="F54" s="2" t="s">
        <v>20</v>
      </c>
      <c r="G54" s="2" t="s">
        <v>23</v>
      </c>
      <c r="H54" s="2" t="s">
        <v>184</v>
      </c>
      <c r="I54" s="2" t="str">
        <f t="shared" si="5"/>
        <v>insert into CHB_INFOMGR_CONFIG (BASEINFORMATIONID,BASETABLEID,BASECOLUMNID,BASECOLUMNNAME,BASECOLUMNTYPE,BUSINESSPKFLAG,DICTCODE) values (f_guid(),'CHB_PRD_DEAL','TRADE_TYPE','交易类型','S','Y','SVR_DEAL_TYPE');</v>
      </c>
    </row>
    <row r="55" spans="1:9" x14ac:dyDescent="0.15">
      <c r="A55" s="2">
        <v>52</v>
      </c>
      <c r="B55" s="2" t="s">
        <v>25</v>
      </c>
      <c r="C55" s="2" t="s">
        <v>187</v>
      </c>
      <c r="D55" s="2" t="s">
        <v>171</v>
      </c>
      <c r="E55" s="2" t="s">
        <v>172</v>
      </c>
      <c r="F55" s="2" t="s">
        <v>21</v>
      </c>
      <c r="G55" s="2" t="s">
        <v>23</v>
      </c>
      <c r="I55" s="2" t="str">
        <f t="shared" si="5"/>
        <v>insert into CHB_INFOMGR_CONFIG (BASEINFORMATIONID,BASETABLEID,BASECOLUMNID,BASECOLUMNNAME,BASECOLUMNTYPE,BUSINESSPKFLAG,DICTCODE) values (f_guid(),'CHB_PRD_FEE_DEAL','TRADE_ID','上游系统交易编码','T','Y','');</v>
      </c>
    </row>
    <row r="56" spans="1:9" x14ac:dyDescent="0.15">
      <c r="A56" s="2">
        <v>53</v>
      </c>
      <c r="B56" s="2" t="s">
        <v>25</v>
      </c>
      <c r="C56" s="2" t="s">
        <v>187</v>
      </c>
      <c r="D56" s="2" t="s">
        <v>188</v>
      </c>
      <c r="E56" s="2" t="s">
        <v>189</v>
      </c>
      <c r="F56" s="2" t="s">
        <v>21</v>
      </c>
      <c r="G56" s="2" t="s">
        <v>22</v>
      </c>
      <c r="I56" s="2" t="str">
        <f t="shared" si="5"/>
        <v>insert into CHB_INFOMGR_CONFIG (BASEINFORMATIONID,BASETABLEID,BASECOLUMNID,BASECOLUMNNAME,BASECOLUMNTYPE,BUSINESSPKFLAG,DICTCODE) values (f_guid(),'CHB_PRD_FEE_DEAL','FEE_NAME','费用名称','T','N','');</v>
      </c>
    </row>
    <row r="57" spans="1:9" x14ac:dyDescent="0.15">
      <c r="A57" s="2">
        <v>54</v>
      </c>
      <c r="B57" s="2" t="s">
        <v>25</v>
      </c>
      <c r="C57" s="2" t="s">
        <v>187</v>
      </c>
      <c r="D57" s="2" t="s">
        <v>15</v>
      </c>
      <c r="E57" s="2" t="s">
        <v>18</v>
      </c>
      <c r="F57" s="2" t="s">
        <v>21</v>
      </c>
      <c r="G57" s="2" t="s">
        <v>22</v>
      </c>
      <c r="I57" s="2" t="str">
        <f t="shared" si="5"/>
        <v>insert into CHB_INFOMGR_CONFIG (BASEINFORMATIONID,BASETABLEID,BASECOLUMNID,BASECOLUMNNAME,BASECOLUMNTYPE,BUSINESSPKFLAG,DICTCODE) values (f_guid(),'CHB_PRD_FEE_DEAL','PROD_NAME','产品名称','T','N','');</v>
      </c>
    </row>
    <row r="58" spans="1:9" x14ac:dyDescent="0.15">
      <c r="A58" s="2">
        <v>55</v>
      </c>
      <c r="B58" s="2" t="s">
        <v>25</v>
      </c>
      <c r="C58" s="2" t="s">
        <v>187</v>
      </c>
      <c r="D58" s="2" t="s">
        <v>174</v>
      </c>
      <c r="E58" s="2" t="s">
        <v>68</v>
      </c>
      <c r="F58" s="2" t="s">
        <v>48</v>
      </c>
      <c r="G58" s="2" t="s">
        <v>22</v>
      </c>
      <c r="I58" s="2" t="str">
        <f t="shared" si="5"/>
        <v>insert into CHB_INFOMGR_CONFIG (BASEINFORMATIONID,BASETABLEID,BASECOLUMNID,BASECOLUMNNAME,BASECOLUMNTYPE,BUSINESSPKFLAG,DICTCODE) values (f_guid(),'CHB_PRD_FEE_DEAL','SEQNO','主键','U','N','');</v>
      </c>
    </row>
    <row r="59" spans="1:9" x14ac:dyDescent="0.15">
      <c r="A59" s="2">
        <v>56</v>
      </c>
      <c r="B59" s="2" t="s">
        <v>25</v>
      </c>
      <c r="C59" s="2" t="s">
        <v>187</v>
      </c>
      <c r="D59" s="2" t="s">
        <v>190</v>
      </c>
      <c r="E59" s="2" t="s">
        <v>191</v>
      </c>
      <c r="F59" s="2" t="s">
        <v>60</v>
      </c>
      <c r="G59" s="2" t="s">
        <v>22</v>
      </c>
      <c r="I59" s="2" t="str">
        <f t="shared" si="5"/>
        <v>insert into CHB_INFOMGR_CONFIG (BASEINFORMATIONID,BASETABLEID,BASECOLUMNID,BASECOLUMNNAME,BASECOLUMNTYPE,BUSINESSPKFLAG,DICTCODE) values (f_guid(),'CHB_PRD_FEE_DEAL','PAY_DATE','支付日','D','N','');</v>
      </c>
    </row>
    <row r="60" spans="1:9" x14ac:dyDescent="0.15">
      <c r="A60" s="2">
        <v>57</v>
      </c>
      <c r="B60" s="2" t="s">
        <v>25</v>
      </c>
      <c r="C60" s="2" t="s">
        <v>187</v>
      </c>
      <c r="D60" s="2" t="s">
        <v>26</v>
      </c>
      <c r="E60" s="2" t="s">
        <v>31</v>
      </c>
      <c r="F60" s="2" t="s">
        <v>21</v>
      </c>
      <c r="G60" s="2" t="s">
        <v>22</v>
      </c>
      <c r="I60" s="2" t="str">
        <f t="shared" si="5"/>
        <v>insert into CHB_INFOMGR_CONFIG (BASEINFORMATIONID,BASETABLEID,BASECOLUMNID,BASECOLUMNNAME,BASECOLUMNTYPE,BUSINESSPKFLAG,DICTCODE) values (f_guid(),'CHB_PRD_FEE_DEAL','PROD_ID','产品代码','T','N','');</v>
      </c>
    </row>
    <row r="61" spans="1:9" x14ac:dyDescent="0.15">
      <c r="A61" s="2">
        <v>58</v>
      </c>
      <c r="B61" s="2" t="s">
        <v>25</v>
      </c>
      <c r="C61" s="2" t="s">
        <v>192</v>
      </c>
      <c r="D61" s="2" t="s">
        <v>193</v>
      </c>
      <c r="E61" s="2" t="s">
        <v>194</v>
      </c>
      <c r="F61" s="2" t="s">
        <v>60</v>
      </c>
      <c r="G61" s="2" t="s">
        <v>23</v>
      </c>
      <c r="I61" s="2" t="str">
        <f t="shared" si="5"/>
        <v>insert into CHB_INFOMGR_CONFIG (BASEINFORMATIONID,BASETABLEID,BASECOLUMNID,BASECOLUMNNAME,BASECOLUMNTYPE,BUSINESSPKFLAG,DICTCODE) values (f_guid(),'CHB_PRD_OPENSCH','OPEN_START','开放周期起始日','D','Y','');</v>
      </c>
    </row>
    <row r="62" spans="1:9" x14ac:dyDescent="0.15">
      <c r="A62" s="2">
        <v>59</v>
      </c>
      <c r="B62" s="2" t="s">
        <v>25</v>
      </c>
      <c r="C62" s="2" t="s">
        <v>192</v>
      </c>
      <c r="D62" s="2" t="s">
        <v>26</v>
      </c>
      <c r="E62" s="2" t="s">
        <v>31</v>
      </c>
      <c r="F62" s="2" t="s">
        <v>21</v>
      </c>
      <c r="G62" s="2" t="s">
        <v>23</v>
      </c>
      <c r="I62" s="2" t="str">
        <f t="shared" si="5"/>
        <v>insert into CHB_INFOMGR_CONFIG (BASEINFORMATIONID,BASETABLEID,BASECOLUMNID,BASECOLUMNNAME,BASECOLUMNTYPE,BUSINESSPKFLAG,DICTCODE) values (f_guid(),'CHB_PRD_OPENSCH','PROD_ID','产品代码','T','Y','');</v>
      </c>
    </row>
    <row r="63" spans="1:9" x14ac:dyDescent="0.15">
      <c r="A63" s="2">
        <v>60</v>
      </c>
      <c r="B63" s="2" t="s">
        <v>25</v>
      </c>
      <c r="C63" s="2" t="s">
        <v>192</v>
      </c>
      <c r="D63" s="2" t="s">
        <v>174</v>
      </c>
      <c r="E63" s="2" t="s">
        <v>195</v>
      </c>
      <c r="F63" s="2" t="s">
        <v>48</v>
      </c>
      <c r="G63" s="2" t="s">
        <v>22</v>
      </c>
      <c r="I63" s="2" t="str">
        <f t="shared" si="5"/>
        <v>insert into CHB_INFOMGR_CONFIG (BASEINFORMATIONID,BASETABLEID,BASECOLUMNID,BASECOLUMNNAME,BASECOLUMNTYPE,BUSINESSPKFLAG,DICTCODE) values (f_guid(),'CHB_PRD_OPENSCH','SEQNO','流水号','U','N','');</v>
      </c>
    </row>
    <row r="64" spans="1:9" x14ac:dyDescent="0.15">
      <c r="A64" s="2">
        <v>61</v>
      </c>
      <c r="B64" s="2" t="s">
        <v>25</v>
      </c>
      <c r="C64" s="2" t="s">
        <v>192</v>
      </c>
      <c r="D64" s="2" t="s">
        <v>196</v>
      </c>
      <c r="E64" s="2" t="s">
        <v>197</v>
      </c>
      <c r="F64" s="2" t="s">
        <v>20</v>
      </c>
      <c r="G64" s="2" t="s">
        <v>23</v>
      </c>
      <c r="H64" s="2" t="s">
        <v>198</v>
      </c>
      <c r="I64" s="2" t="str">
        <f t="shared" si="5"/>
        <v>insert into CHB_INFOMGR_CONFIG (BASEINFORMATIONID,BASETABLEID,BASECOLUMNID,BASECOLUMNNAME,BASECOLUMNTYPE,BUSINESSPKFLAG,DICTCODE) values (f_guid(),'CHB_PRD_OPENSCH','PLAN_TYPE','计划类型','S','Y','SVR_PLAN_TYPE');</v>
      </c>
    </row>
    <row r="65" spans="1:9" x14ac:dyDescent="0.15">
      <c r="A65" s="2">
        <v>62</v>
      </c>
      <c r="B65" s="2" t="s">
        <v>25</v>
      </c>
      <c r="C65" s="2" t="s">
        <v>192</v>
      </c>
      <c r="D65" s="2" t="s">
        <v>199</v>
      </c>
      <c r="E65" s="2" t="s">
        <v>200</v>
      </c>
      <c r="F65" s="2" t="s">
        <v>60</v>
      </c>
      <c r="G65" s="2" t="s">
        <v>23</v>
      </c>
      <c r="I65" s="2" t="str">
        <f t="shared" si="5"/>
        <v>insert into CHB_INFOMGR_CONFIG (BASEINFORMATIONID,BASETABLEID,BASECOLUMNID,BASECOLUMNNAME,BASECOLUMNTYPE,BUSINESSPKFLAG,DICTCODE) values (f_guid(),'CHB_PRD_OPENSCH','OPEN_END','开放周期结束日','D','Y','');</v>
      </c>
    </row>
    <row r="66" spans="1:9" x14ac:dyDescent="0.15">
      <c r="A66" s="2">
        <v>63</v>
      </c>
      <c r="B66" s="2" t="s">
        <v>25</v>
      </c>
      <c r="C66" s="2" t="s">
        <v>192</v>
      </c>
      <c r="D66" s="2" t="s">
        <v>15</v>
      </c>
      <c r="E66" s="2" t="s">
        <v>18</v>
      </c>
      <c r="F66" s="2" t="s">
        <v>21</v>
      </c>
      <c r="G66" s="2" t="s">
        <v>22</v>
      </c>
      <c r="I66" s="2" t="str">
        <f t="shared" si="5"/>
        <v>insert into CHB_INFOMGR_CONFIG (BASEINFORMATIONID,BASETABLEID,BASECOLUMNID,BASECOLUMNNAME,BASECOLUMNTYPE,BUSINESSPKFLAG,DICTCODE) values (f_guid(),'CHB_PRD_OPENSCH','PROD_NAME','产品名称','T','N','');</v>
      </c>
    </row>
    <row r="67" spans="1:9" x14ac:dyDescent="0.15">
      <c r="A67" s="2">
        <v>64</v>
      </c>
      <c r="B67" s="2" t="s">
        <v>25</v>
      </c>
      <c r="C67" s="2" t="s">
        <v>201</v>
      </c>
      <c r="D67" s="2" t="s">
        <v>202</v>
      </c>
      <c r="E67" s="2" t="s">
        <v>203</v>
      </c>
      <c r="F67" s="2" t="s">
        <v>60</v>
      </c>
      <c r="G67" s="2" t="s">
        <v>23</v>
      </c>
      <c r="I67" s="2" t="str">
        <f t="shared" si="5"/>
        <v>insert into CHB_INFOMGR_CONFIG (BASEINFORMATIONID,BASETABLEID,BASECOLUMNID,BASECOLUMNNAME,BASECOLUMNTYPE,BUSINESSPKFLAG,DICTCODE) values (f_guid(),'CHB_PRD_PERIODYIELD','CHANGE_DATE','变动日期','D','Y','');</v>
      </c>
    </row>
    <row r="68" spans="1:9" x14ac:dyDescent="0.15">
      <c r="A68" s="2">
        <v>65</v>
      </c>
      <c r="B68" s="2" t="s">
        <v>25</v>
      </c>
      <c r="C68" s="2" t="s">
        <v>201</v>
      </c>
      <c r="D68" s="2" t="s">
        <v>204</v>
      </c>
      <c r="E68" s="2" t="s">
        <v>205</v>
      </c>
      <c r="F68" s="2" t="s">
        <v>20</v>
      </c>
      <c r="G68" s="2" t="s">
        <v>23</v>
      </c>
      <c r="H68" s="2" t="s">
        <v>206</v>
      </c>
      <c r="I68" s="2" t="str">
        <f t="shared" si="5"/>
        <v>insert into CHB_INFOMGR_CONFIG (BASEINFORMATIONID,BASETABLEID,BASECOLUMNID,BASECOLUMNNAME,BASECOLUMNTYPE,BUSINESSPKFLAG,DICTCODE) values (f_guid(),'CHB_PRD_PERIODYIELD','CHANG_TYPE','变动类型','S','Y','SVR_CHANG_TYPE');</v>
      </c>
    </row>
    <row r="69" spans="1:9" x14ac:dyDescent="0.15">
      <c r="A69" s="2">
        <v>66</v>
      </c>
      <c r="B69" s="2" t="s">
        <v>25</v>
      </c>
      <c r="C69" s="2" t="s">
        <v>201</v>
      </c>
      <c r="D69" s="2" t="s">
        <v>174</v>
      </c>
      <c r="E69" s="2" t="s">
        <v>207</v>
      </c>
      <c r="F69" s="2" t="s">
        <v>48</v>
      </c>
      <c r="G69" s="2" t="s">
        <v>22</v>
      </c>
      <c r="I69" s="2" t="str">
        <f t="shared" si="5"/>
        <v>insert into CHB_INFOMGR_CONFIG (BASEINFORMATIONID,BASETABLEID,BASECOLUMNID,BASECOLUMNNAME,BASECOLUMNTYPE,BUSINESSPKFLAG,DICTCODE) values (f_guid(),'CHB_PRD_PERIODYIELD','SEQNO','交易编号','U','N','');</v>
      </c>
    </row>
    <row r="70" spans="1:9" x14ac:dyDescent="0.15">
      <c r="A70" s="2">
        <v>67</v>
      </c>
      <c r="B70" s="2" t="s">
        <v>25</v>
      </c>
      <c r="C70" s="2" t="s">
        <v>201</v>
      </c>
      <c r="D70" s="2" t="s">
        <v>26</v>
      </c>
      <c r="E70" s="2" t="s">
        <v>31</v>
      </c>
      <c r="F70" s="2" t="s">
        <v>21</v>
      </c>
      <c r="G70" s="2" t="s">
        <v>23</v>
      </c>
      <c r="I70" s="2" t="str">
        <f t="shared" si="5"/>
        <v>insert into CHB_INFOMGR_CONFIG (BASEINFORMATIONID,BASETABLEID,BASECOLUMNID,BASECOLUMNNAME,BASECOLUMNTYPE,BUSINESSPKFLAG,DICTCODE) values (f_guid(),'CHB_PRD_PERIODYIELD','PROD_ID','产品代码','T','Y','');</v>
      </c>
    </row>
    <row r="71" spans="1:9" x14ac:dyDescent="0.15">
      <c r="A71" s="2">
        <v>68</v>
      </c>
      <c r="B71" s="2" t="s">
        <v>25</v>
      </c>
      <c r="C71" s="2" t="s">
        <v>209</v>
      </c>
      <c r="D71" s="2" t="s">
        <v>210</v>
      </c>
      <c r="E71" s="2" t="s">
        <v>211</v>
      </c>
      <c r="F71" s="2" t="s">
        <v>21</v>
      </c>
      <c r="G71" s="2" t="s">
        <v>23</v>
      </c>
      <c r="I71" s="2" t="str">
        <f t="shared" ref="I71:I95" si="6">CONCATENATE("insert into CHB_INFOMGR_CONFIG (BASEINFORMATIONID,BASETABLEID,BASECOLUMNID,BASECOLUMNNAME,BASECOLUMNTYPE,BUSINESSPKFLAG,DICTCODE) values (",B71,",'",C71,"','",D71,"','",E71,"','",F71,"','",G71,"','",H71,"');")</f>
        <v>insert into CHB_INFOMGR_CONFIG (BASEINFORMATIONID,BASETABLEID,BASECOLUMNID,BASECOLUMNNAME,BASECOLUMNTYPE,BUSINESSPKFLAG,DICTCODE) values (f_guid(),'MST_BOND_CREDIT_RATING','O_CODE','债券代码（市场代码）','T','Y','');</v>
      </c>
    </row>
    <row r="72" spans="1:9" x14ac:dyDescent="0.15">
      <c r="A72" s="2">
        <v>69</v>
      </c>
      <c r="B72" s="2" t="s">
        <v>25</v>
      </c>
      <c r="C72" s="2" t="s">
        <v>209</v>
      </c>
      <c r="D72" s="2" t="s">
        <v>212</v>
      </c>
      <c r="E72" s="2" t="s">
        <v>213</v>
      </c>
      <c r="F72" s="2" t="s">
        <v>60</v>
      </c>
      <c r="G72" s="2" t="s">
        <v>23</v>
      </c>
      <c r="I72" s="2" t="str">
        <f t="shared" si="6"/>
        <v>insert into CHB_INFOMGR_CONFIG (BASEINFORMATIONID,BASETABLEID,BASECOLUMNID,BASECOLUMNNAME,BASECOLUMNTYPE,BUSINESSPKFLAG,DICTCODE) values (f_guid(),'MST_BOND_CREDIT_RATING','GRADE_DATE','评级日期','D','Y','');</v>
      </c>
    </row>
    <row r="73" spans="1:9" x14ac:dyDescent="0.15">
      <c r="A73" s="2">
        <v>70</v>
      </c>
      <c r="B73" s="2" t="s">
        <v>25</v>
      </c>
      <c r="C73" s="2" t="s">
        <v>209</v>
      </c>
      <c r="D73" s="2" t="s">
        <v>214</v>
      </c>
      <c r="E73" s="2" t="s">
        <v>215</v>
      </c>
      <c r="F73" s="2" t="s">
        <v>20</v>
      </c>
      <c r="G73" s="2" t="s">
        <v>23</v>
      </c>
      <c r="H73" s="2" t="s">
        <v>216</v>
      </c>
      <c r="I73" s="2" t="str">
        <f t="shared" si="6"/>
        <v>insert into CHB_INFOMGR_CONFIG (BASEINFORMATIONID,BASETABLEID,BASECOLUMNID,BASECOLUMNNAME,BASECOLUMNTYPE,BUSINESSPKFLAG,DICTCODE) values (f_guid(),'MST_BOND_CREDIT_RATING','O_TYPE','评级类型','S','Y','MAIN_GRADE_TYPE');</v>
      </c>
    </row>
    <row r="74" spans="1:9" s="11" customFormat="1" x14ac:dyDescent="0.15">
      <c r="A74" s="11">
        <v>70</v>
      </c>
      <c r="B74" s="11" t="s">
        <v>25</v>
      </c>
      <c r="C74" s="11" t="s">
        <v>209</v>
      </c>
      <c r="D74" s="11" t="s">
        <v>281</v>
      </c>
      <c r="E74" s="11" t="s">
        <v>280</v>
      </c>
      <c r="F74" s="11" t="s">
        <v>20</v>
      </c>
      <c r="G74" s="11" t="s">
        <v>23</v>
      </c>
      <c r="H74" s="11" t="s">
        <v>282</v>
      </c>
      <c r="I74" s="11" t="str">
        <f t="shared" ref="I74" si="7">CONCATENATE("insert into CHB_INFOMGR_CONFIG (BASEINFORMATIONID,BASETABLEID,BASECOLUMNID,BASECOLUMNNAME,BASECOLUMNTYPE,BUSINESSPKFLAG,DICTCODE) values (",B74,",'",C74,"','",D74,"','",E74,"','",F74,"','",G74,"','",H74,"');")</f>
        <v>insert into CHB_INFOMGR_CONFIG (BASEINFORMATIONID,BASETABLEID,BASECOLUMNID,BASECOLUMNNAME,BASECOLUMNTYPE,BUSINESSPKFLAG,DICTCODE) values (f_guid(),'MST_BOND_CREDIT_RATING','GRADE_ORG_ID','评级机构','S','Y','GRADE_PARTY');</v>
      </c>
    </row>
    <row r="75" spans="1:9" x14ac:dyDescent="0.15">
      <c r="A75" s="2">
        <v>71</v>
      </c>
      <c r="B75" s="2" t="s">
        <v>25</v>
      </c>
      <c r="C75" s="2" t="s">
        <v>235</v>
      </c>
      <c r="D75" s="2" t="s">
        <v>236</v>
      </c>
      <c r="E75" s="2" t="s">
        <v>237</v>
      </c>
      <c r="F75" s="2" t="s">
        <v>60</v>
      </c>
      <c r="G75" s="2" t="s">
        <v>23</v>
      </c>
      <c r="I75" s="2" t="str">
        <f t="shared" ref="I75:I89" si="8">CONCATENATE("insert into CHB_INFOMGR_CONFIG (BASEINFORMATIONID,BASETABLEID,BASECOLUMNID,BASECOLUMNNAME,BASECOLUMNTYPE,BUSINESSPKFLAG,DICTCODE) values (",B75,",'",C75,"','",D75,"','",E75,"','",F75,"','",G75,"','",H75,"');")</f>
        <v>insert into CHB_INFOMGR_CONFIG (BASEINFORMATIONID,BASETABLEID,BASECOLUMNID,BASECOLUMNNAME,BASECOLUMNTYPE,BUSINESSPKFLAG,DICTCODE) values (f_guid(),'SALE_CUST_SVRREPORT','SENDDATE','下发日期','D','Y','');</v>
      </c>
    </row>
    <row r="76" spans="1:9" x14ac:dyDescent="0.15">
      <c r="A76" s="2">
        <v>72</v>
      </c>
      <c r="B76" s="2" t="s">
        <v>25</v>
      </c>
      <c r="C76" s="2" t="s">
        <v>235</v>
      </c>
      <c r="D76" s="2" t="s">
        <v>238</v>
      </c>
      <c r="E76" s="2" t="s">
        <v>31</v>
      </c>
      <c r="F76" s="2" t="s">
        <v>21</v>
      </c>
      <c r="G76" s="2" t="s">
        <v>23</v>
      </c>
      <c r="I76" s="2" t="str">
        <f t="shared" si="8"/>
        <v>insert into CHB_INFOMGR_CONFIG (BASEINFORMATIONID,BASETABLEID,BASECOLUMNID,BASECOLUMNNAME,BASECOLUMNTYPE,BUSINESSPKFLAG,DICTCODE) values (f_guid(),'SALE_CUST_SVRREPORT','FINPROD_ID','产品代码','T','Y','');</v>
      </c>
    </row>
    <row r="77" spans="1:9" x14ac:dyDescent="0.15">
      <c r="A77" s="2">
        <v>73</v>
      </c>
      <c r="B77" s="2" t="s">
        <v>25</v>
      </c>
      <c r="C77" s="2" t="s">
        <v>235</v>
      </c>
      <c r="D77" s="2" t="s">
        <v>239</v>
      </c>
      <c r="E77" s="2" t="s">
        <v>240</v>
      </c>
      <c r="F77" s="2" t="s">
        <v>21</v>
      </c>
      <c r="G77" s="2" t="s">
        <v>23</v>
      </c>
      <c r="I77" s="2" t="str">
        <f t="shared" si="8"/>
        <v>insert into CHB_INFOMGR_CONFIG (BASEINFORMATIONID,BASETABLEID,BASECOLUMNID,BASECOLUMNNAME,BASECOLUMNTYPE,BUSINESSPKFLAG,DICTCODE) values (f_guid(),'SALE_CUST_SVRREPORT','ISSUEMEMBER','*法人行','T','Y','');</v>
      </c>
    </row>
    <row r="78" spans="1:9" x14ac:dyDescent="0.15">
      <c r="A78" s="2">
        <v>74</v>
      </c>
      <c r="B78" s="2" t="s">
        <v>25</v>
      </c>
      <c r="C78" s="2" t="s">
        <v>235</v>
      </c>
      <c r="D78" s="2" t="s">
        <v>241</v>
      </c>
      <c r="E78" s="2" t="s">
        <v>242</v>
      </c>
      <c r="F78" s="2" t="s">
        <v>20</v>
      </c>
      <c r="G78" s="2" t="s">
        <v>23</v>
      </c>
      <c r="H78" s="2" t="s">
        <v>243</v>
      </c>
      <c r="I78" s="2" t="str">
        <f t="shared" si="8"/>
        <v>insert into CHB_INFOMGR_CONFIG (BASEINFORMATIONID,BASETABLEID,BASECOLUMNID,BASECOLUMNNAME,BASECOLUMNTYPE,BUSINESSPKFLAG,DICTCODE) values (f_guid(),'SALE_CUST_SVRREPORT','INORABOARD','*境内境外','S','Y','BLN_AREA');</v>
      </c>
    </row>
    <row r="79" spans="1:9" x14ac:dyDescent="0.15">
      <c r="A79" s="2">
        <v>75</v>
      </c>
      <c r="B79" s="2" t="s">
        <v>25</v>
      </c>
      <c r="C79" s="2" t="s">
        <v>235</v>
      </c>
      <c r="D79" s="2" t="s">
        <v>244</v>
      </c>
      <c r="E79" s="2" t="s">
        <v>245</v>
      </c>
      <c r="F79" s="2" t="s">
        <v>20</v>
      </c>
      <c r="G79" s="2" t="s">
        <v>23</v>
      </c>
      <c r="H79" s="2" t="s">
        <v>273</v>
      </c>
      <c r="I79" s="2" t="str">
        <f t="shared" si="8"/>
        <v>insert into CHB_INFOMGR_CONFIG (BASEINFORMATIONID,BASETABLEID,BASECOLUMNID,BASECOLUMNNAME,BASECOLUMNTYPE,BUSINESSPKFLAG,DICTCODE) values (f_guid(),'SALE_CUST_SVRREPORT','CUS_CODE','*客户组别代码','S','Y','SVR_CUS_CODE');</v>
      </c>
    </row>
    <row r="80" spans="1:9" x14ac:dyDescent="0.15">
      <c r="A80" s="2">
        <v>76</v>
      </c>
      <c r="B80" s="2" t="s">
        <v>25</v>
      </c>
      <c r="C80" s="2" t="s">
        <v>235</v>
      </c>
      <c r="D80" s="2" t="s">
        <v>246</v>
      </c>
      <c r="E80" s="2" t="s">
        <v>247</v>
      </c>
      <c r="F80" s="2" t="s">
        <v>20</v>
      </c>
      <c r="G80" s="2" t="s">
        <v>23</v>
      </c>
      <c r="H80" s="2" t="s">
        <v>248</v>
      </c>
      <c r="I80" s="2" t="str">
        <f t="shared" si="8"/>
        <v>insert into CHB_INFOMGR_CONFIG (BASEINFORMATIONID,BASETABLEID,BASECOLUMNID,BASECOLUMNNAME,BASECOLUMNTYPE,BUSINESSPKFLAG,DICTCODE) values (f_guid(),'SALE_CUST_SVRREPORT','AREA_CODE','*行政区域代码','S','Y','SVR_BUY_PLACE');</v>
      </c>
    </row>
    <row r="81" spans="1:9" x14ac:dyDescent="0.15">
      <c r="A81" s="2">
        <v>77</v>
      </c>
      <c r="B81" s="2" t="s">
        <v>25</v>
      </c>
      <c r="C81" s="2" t="s">
        <v>55</v>
      </c>
      <c r="D81" s="2" t="s">
        <v>56</v>
      </c>
      <c r="E81" s="2" t="s">
        <v>57</v>
      </c>
      <c r="F81" s="2" t="s">
        <v>21</v>
      </c>
      <c r="G81" s="2" t="s">
        <v>23</v>
      </c>
      <c r="I81" s="2" t="str">
        <f t="shared" ref="I81:I88" si="9">CONCATENATE("insert into CHB_INFOMGR_CONFIG (BASEINFORMATIONID,BASETABLEID,BASECOLUMNID,BASECOLUMNNAME,BASECOLUMNTYPE,BUSINESSPKFLAG,DICTCODE) values (",B81,",'",C81,"','",D81,"','",E81,"','",F81,"','",G81,"','",H81,"');")</f>
        <v>insert into CHB_INFOMGR_CONFIG (BASEINFORMATIONID,BASETABLEID,BASECOLUMNID,BASECOLUMNNAME,BASECOLUMNTYPE,BUSINESSPKFLAG,DICTCODE) values (f_guid(),'BOK_BALANCE','BOOKSET_ID','账套代码','T','Y','');</v>
      </c>
    </row>
    <row r="82" spans="1:9" x14ac:dyDescent="0.15">
      <c r="A82" s="2">
        <v>78</v>
      </c>
      <c r="B82" s="2" t="s">
        <v>25</v>
      </c>
      <c r="C82" s="2" t="s">
        <v>55</v>
      </c>
      <c r="D82" s="2" t="s">
        <v>58</v>
      </c>
      <c r="E82" s="2" t="s">
        <v>59</v>
      </c>
      <c r="F82" s="2" t="s">
        <v>60</v>
      </c>
      <c r="G82" s="2" t="s">
        <v>23</v>
      </c>
      <c r="I82" s="2" t="str">
        <f t="shared" si="9"/>
        <v>insert into CHB_INFOMGR_CONFIG (BASEINFORMATIONID,BASETABLEID,BASECOLUMNID,BASECOLUMNNAME,BASECOLUMNTYPE,BUSINESSPKFLAG,DICTCODE) values (f_guid(),'BOK_BALANCE','BALANCE_DATE','余额日期','D','Y','');</v>
      </c>
    </row>
    <row r="83" spans="1:9" x14ac:dyDescent="0.15">
      <c r="A83" s="2">
        <v>79</v>
      </c>
      <c r="B83" s="2" t="s">
        <v>25</v>
      </c>
      <c r="C83" s="2" t="s">
        <v>55</v>
      </c>
      <c r="D83" s="2" t="s">
        <v>61</v>
      </c>
      <c r="E83" s="2" t="s">
        <v>62</v>
      </c>
      <c r="F83" s="2" t="s">
        <v>21</v>
      </c>
      <c r="G83" s="2" t="s">
        <v>23</v>
      </c>
      <c r="I83" s="2" t="str">
        <f t="shared" si="9"/>
        <v>insert into CHB_INFOMGR_CONFIG (BASEINFORMATIONID,BASETABLEID,BASECOLUMNID,BASECOLUMNNAME,BASECOLUMNTYPE,BUSINESSPKFLAG,DICTCODE) values (f_guid(),'BOK_BALANCE','SUBJECT_NO','科目号','T','Y','');</v>
      </c>
    </row>
    <row r="84" spans="1:9" x14ac:dyDescent="0.15">
      <c r="A84" s="2">
        <v>80</v>
      </c>
      <c r="B84" s="2" t="s">
        <v>25</v>
      </c>
      <c r="C84" s="2" t="s">
        <v>63</v>
      </c>
      <c r="D84" s="2" t="s">
        <v>33</v>
      </c>
      <c r="E84" s="2" t="s">
        <v>34</v>
      </c>
      <c r="F84" s="2" t="s">
        <v>21</v>
      </c>
      <c r="G84" s="2" t="s">
        <v>23</v>
      </c>
      <c r="I84" s="2" t="str">
        <f t="shared" si="9"/>
        <v>insert into CHB_INFOMGR_CONFIG (BASEINFORMATIONID,BASETABLEID,BASECOLUMNID,BASECOLUMNNAME,BASECOLUMNTYPE,BUSINESSPKFLAG,DICTCODE) values (f_guid(),'CHB_ASSETS_BASIS_DATA','ASSET_ID','资产代码','T','Y','');</v>
      </c>
    </row>
    <row r="85" spans="1:9" x14ac:dyDescent="0.15">
      <c r="A85" s="2">
        <v>81</v>
      </c>
      <c r="B85" s="2" t="s">
        <v>25</v>
      </c>
      <c r="C85" s="7" t="s">
        <v>63</v>
      </c>
      <c r="D85" s="7" t="s">
        <v>30</v>
      </c>
      <c r="E85" s="6" t="s">
        <v>64</v>
      </c>
      <c r="F85" s="2" t="s">
        <v>60</v>
      </c>
      <c r="G85" s="2" t="s">
        <v>22</v>
      </c>
      <c r="I85" s="2" t="str">
        <f t="shared" si="9"/>
        <v>insert into CHB_INFOMGR_CONFIG (BASEINFORMATIONID,BASETABLEID,BASECOLUMNID,BASECOLUMNNAME,BASECOLUMNTYPE,BUSINESSPKFLAG,DICTCODE) values (f_guid(),'CHB_ASSETS_BASIS_DATA','MDATE','资产到期日','D','N','');</v>
      </c>
    </row>
    <row r="86" spans="1:9" x14ac:dyDescent="0.15">
      <c r="A86" s="2">
        <v>82</v>
      </c>
      <c r="B86" s="2" t="s">
        <v>25</v>
      </c>
      <c r="C86" s="7" t="s">
        <v>63</v>
      </c>
      <c r="D86" s="6" t="s">
        <v>26</v>
      </c>
      <c r="E86" s="6" t="s">
        <v>31</v>
      </c>
      <c r="F86" s="2" t="s">
        <v>21</v>
      </c>
      <c r="G86" s="2" t="s">
        <v>23</v>
      </c>
      <c r="I86" s="2" t="str">
        <f t="shared" si="9"/>
        <v>insert into CHB_INFOMGR_CONFIG (BASEINFORMATIONID,BASETABLEID,BASECOLUMNID,BASECOLUMNNAME,BASECOLUMNTYPE,BUSINESSPKFLAG,DICTCODE) values (f_guid(),'CHB_ASSETS_BASIS_DATA','PROD_ID','产品代码','T','Y','');</v>
      </c>
    </row>
    <row r="87" spans="1:9" ht="14.25" customHeight="1" x14ac:dyDescent="0.15">
      <c r="A87" s="2">
        <v>83</v>
      </c>
      <c r="B87" s="2" t="s">
        <v>25</v>
      </c>
      <c r="C87" s="7" t="s">
        <v>63</v>
      </c>
      <c r="D87" s="2" t="s">
        <v>65</v>
      </c>
      <c r="E87" s="2" t="s">
        <v>66</v>
      </c>
      <c r="F87" s="2" t="s">
        <v>60</v>
      </c>
      <c r="G87" s="2" t="s">
        <v>23</v>
      </c>
      <c r="I87" s="2" t="str">
        <f t="shared" si="9"/>
        <v>insert into CHB_INFOMGR_CONFIG (BASEINFORMATIONID,BASETABLEID,BASECOLUMNID,BASECOLUMNNAME,BASECOLUMNTYPE,BUSINESSPKFLAG,DICTCODE) values (f_guid(),'CHB_ASSETS_BASIS_DATA','VALUE_DATE','估值日期','D','Y','');</v>
      </c>
    </row>
    <row r="88" spans="1:9" s="8" customFormat="1" x14ac:dyDescent="0.15">
      <c r="A88" s="2">
        <v>84</v>
      </c>
      <c r="B88" s="2" t="s">
        <v>25</v>
      </c>
      <c r="C88" s="9" t="s">
        <v>63</v>
      </c>
      <c r="D88" s="10" t="s">
        <v>67</v>
      </c>
      <c r="E88" s="8" t="s">
        <v>68</v>
      </c>
      <c r="F88" s="8" t="s">
        <v>48</v>
      </c>
      <c r="G88" s="8" t="s">
        <v>22</v>
      </c>
      <c r="I88" s="8" t="str">
        <f t="shared" si="9"/>
        <v>insert into CHB_INFOMGR_CONFIG (BASEINFORMATIONID,BASETABLEID,BASECOLUMNID,BASECOLUMNNAME,BASECOLUMNTYPE,BUSINESSPKFLAG,DICTCODE) values (f_guid(),'CHB_ASSETS_BASIS_DATA','VAL_ID','主键','U','N','');</v>
      </c>
    </row>
    <row r="89" spans="1:9" x14ac:dyDescent="0.15">
      <c r="A89" s="2">
        <v>85</v>
      </c>
      <c r="B89" s="2" t="s">
        <v>25</v>
      </c>
      <c r="C89" s="2" t="s">
        <v>235</v>
      </c>
      <c r="D89" s="2" t="s">
        <v>80</v>
      </c>
      <c r="E89" s="2" t="s">
        <v>249</v>
      </c>
      <c r="F89" s="2" t="s">
        <v>20</v>
      </c>
      <c r="G89" s="2" t="s">
        <v>23</v>
      </c>
      <c r="H89" s="2" t="s">
        <v>250</v>
      </c>
      <c r="I89" s="2" t="str">
        <f t="shared" si="8"/>
        <v>insert into CHB_INFOMGR_CONFIG (BASEINFORMATIONID,BASETABLEID,BASECOLUMNID,BASECOLUMNNAME,BASECOLUMNTYPE,BUSINESSPKFLAG,DICTCODE) values (f_guid(),'SALE_CUST_SVRREPORT','CCY','*币种','S','Y','SVR_XS_CCY');</v>
      </c>
    </row>
    <row r="90" spans="1:9" x14ac:dyDescent="0.15">
      <c r="A90" s="2">
        <v>86</v>
      </c>
      <c r="B90" s="2" t="s">
        <v>25</v>
      </c>
      <c r="C90" s="2" t="s">
        <v>43</v>
      </c>
      <c r="D90" s="2" t="s">
        <v>44</v>
      </c>
      <c r="E90" s="2" t="s">
        <v>45</v>
      </c>
      <c r="F90" s="2" t="s">
        <v>21</v>
      </c>
      <c r="G90" s="2" t="s">
        <v>22</v>
      </c>
      <c r="I90" s="2" t="str">
        <f t="shared" si="6"/>
        <v>insert into CHB_INFOMGR_CONFIG (BASEINFORMATIONID,BASETABLEID,BASECOLUMNID,BASECOLUMNNAME,BASECOLUMNTYPE,BUSINESSPKFLAG,DICTCODE) values (f_guid(),'CHB_INTERF_ERRODATA','INTERF_TYPE','接口类型','T','N','');</v>
      </c>
    </row>
    <row r="91" spans="1:9" x14ac:dyDescent="0.15">
      <c r="A91" s="2">
        <v>87</v>
      </c>
      <c r="B91" s="2" t="s">
        <v>25</v>
      </c>
      <c r="C91" s="2" t="s">
        <v>43</v>
      </c>
      <c r="D91" s="2" t="s">
        <v>49</v>
      </c>
      <c r="E91" s="2" t="s">
        <v>50</v>
      </c>
      <c r="F91" s="2" t="s">
        <v>21</v>
      </c>
      <c r="G91" s="2" t="s">
        <v>22</v>
      </c>
      <c r="I91" s="2" t="str">
        <f t="shared" si="6"/>
        <v>insert into CHB_INFOMGR_CONFIG (BASEINFORMATIONID,BASETABLEID,BASECOLUMNID,BASECOLUMNNAME,BASECOLUMNTYPE,BUSINESSPKFLAG,DICTCODE) values (f_guid(),'CHB_INTERF_ERRODATA','FIRE_NAME','文件名称','T','N','');</v>
      </c>
    </row>
    <row r="92" spans="1:9" x14ac:dyDescent="0.15">
      <c r="A92" s="2">
        <v>88</v>
      </c>
      <c r="B92" s="2" t="s">
        <v>25</v>
      </c>
      <c r="C92" s="2" t="s">
        <v>43</v>
      </c>
      <c r="D92" s="2" t="s">
        <v>46</v>
      </c>
      <c r="E92" s="2" t="s">
        <v>47</v>
      </c>
      <c r="F92" s="2" t="s">
        <v>48</v>
      </c>
      <c r="G92" s="2" t="s">
        <v>22</v>
      </c>
      <c r="I92" s="2" t="str">
        <f t="shared" si="6"/>
        <v>insert into CHB_INFOMGR_CONFIG (BASEINFORMATIONID,BASETABLEID,BASECOLUMNID,BASECOLUMNNAME,BASECOLUMNTYPE,BUSINESSPKFLAG,DICTCODE) values (f_guid(),'CHB_INTERF_ERRODATA','DATAUUID','uuid技术主键','U','N','');</v>
      </c>
    </row>
    <row r="93" spans="1:9" x14ac:dyDescent="0.15">
      <c r="A93" s="2">
        <v>89</v>
      </c>
      <c r="B93" s="2" t="s">
        <v>25</v>
      </c>
      <c r="C93" s="2" t="s">
        <v>43</v>
      </c>
      <c r="D93" s="2" t="s">
        <v>53</v>
      </c>
      <c r="E93" s="2" t="s">
        <v>54</v>
      </c>
      <c r="F93" s="2" t="s">
        <v>21</v>
      </c>
      <c r="G93" s="2" t="s">
        <v>22</v>
      </c>
      <c r="I93" s="2" t="str">
        <f t="shared" si="6"/>
        <v>insert into CHB_INFOMGR_CONFIG (BASEINFORMATIONID,BASETABLEID,BASECOLUMNID,BASECOLUMNNAME,BASECOLUMNTYPE,BUSINESSPKFLAG,DICTCODE) values (f_guid(),'CHB_INTERF_ERRODATA','ERR_MSG','错误信息','T','N','');</v>
      </c>
    </row>
    <row r="94" spans="1:9" x14ac:dyDescent="0.15">
      <c r="A94" s="2">
        <v>90</v>
      </c>
      <c r="B94" s="2" t="s">
        <v>25</v>
      </c>
      <c r="C94" s="2" t="s">
        <v>43</v>
      </c>
      <c r="D94" s="2" t="s">
        <v>51</v>
      </c>
      <c r="E94" s="2" t="s">
        <v>52</v>
      </c>
      <c r="F94" s="2" t="s">
        <v>21</v>
      </c>
      <c r="G94" s="2" t="s">
        <v>23</v>
      </c>
      <c r="I94" s="2" t="str">
        <f t="shared" si="6"/>
        <v>insert into CHB_INFOMGR_CONFIG (BASEINFORMATIONID,BASETABLEID,BASECOLUMNID,BASECOLUMNNAME,BASECOLUMNTYPE,BUSINESSPKFLAG,DICTCODE) values (f_guid(),'CHB_INTERF_ERRODATA','DATAID','业务主键','T','Y','');</v>
      </c>
    </row>
    <row r="95" spans="1:9" x14ac:dyDescent="0.15">
      <c r="A95" s="2">
        <v>91</v>
      </c>
      <c r="B95" s="2" t="s">
        <v>25</v>
      </c>
      <c r="C95" s="2" t="s">
        <v>43</v>
      </c>
      <c r="D95" s="2" t="s">
        <v>95</v>
      </c>
      <c r="E95" s="2" t="s">
        <v>96</v>
      </c>
      <c r="F95" s="2" t="s">
        <v>60</v>
      </c>
      <c r="G95" s="2" t="s">
        <v>22</v>
      </c>
      <c r="I95" s="2" t="str">
        <f t="shared" si="6"/>
        <v>insert into CHB_INFOMGR_CONFIG (BASEINFORMATIONID,BASETABLEID,BASECOLUMNID,BASECOLUMNNAME,BASECOLUMNTYPE,BUSINESSPKFLAG,DICTCODE) values (f_guid(),'CHB_INTERF_ERRODATA','UPDATE_TIME','检查时间','D','N','');</v>
      </c>
    </row>
    <row r="96" spans="1:9" s="11" customFormat="1" x14ac:dyDescent="0.15">
      <c r="A96" s="11">
        <v>92</v>
      </c>
      <c r="B96" s="11" t="s">
        <v>25</v>
      </c>
      <c r="C96" s="11" t="s">
        <v>208</v>
      </c>
      <c r="D96" s="11" t="s">
        <v>80</v>
      </c>
      <c r="E96" s="11" t="s">
        <v>81</v>
      </c>
      <c r="F96" s="11" t="s">
        <v>20</v>
      </c>
      <c r="G96" s="11" t="s">
        <v>23</v>
      </c>
      <c r="H96" s="11" t="s">
        <v>82</v>
      </c>
      <c r="I96" s="11" t="str">
        <f t="shared" si="5"/>
        <v>insert into CHB_INFOMGR_CONFIG (BASEINFORMATIONID,BASETABLEID,BASECOLUMNID,BASECOLUMNNAME,BASECOLUMNTYPE,BUSINESSPKFLAG,DICTCODE) values (f_guid(),'CHB_PRD_POSITION','CCY','币种','S','Y','CURRENCY_CHB');</v>
      </c>
    </row>
    <row r="97" spans="1:9" s="11" customFormat="1" x14ac:dyDescent="0.15">
      <c r="A97" s="11">
        <v>93</v>
      </c>
      <c r="B97" s="11" t="s">
        <v>25</v>
      </c>
      <c r="C97" s="11" t="s">
        <v>208</v>
      </c>
      <c r="D97" s="11" t="s">
        <v>26</v>
      </c>
      <c r="E97" s="11" t="s">
        <v>31</v>
      </c>
      <c r="F97" s="11" t="s">
        <v>21</v>
      </c>
      <c r="G97" s="11" t="s">
        <v>23</v>
      </c>
      <c r="I97" s="11" t="str">
        <f t="shared" si="5"/>
        <v>insert into CHB_INFOMGR_CONFIG (BASEINFORMATIONID,BASETABLEID,BASECOLUMNID,BASECOLUMNNAME,BASECOLUMNTYPE,BUSINESSPKFLAG,DICTCODE) values (f_guid(),'CHB_PRD_POSITION','PROD_ID','产品代码','T','Y','');</v>
      </c>
    </row>
    <row r="98" spans="1:9" s="11" customFormat="1" x14ac:dyDescent="0.15">
      <c r="A98" s="11">
        <v>94</v>
      </c>
      <c r="B98" s="11" t="s">
        <v>25</v>
      </c>
      <c r="C98" s="11" t="s">
        <v>208</v>
      </c>
      <c r="D98" s="11" t="s">
        <v>87</v>
      </c>
      <c r="E98" s="11" t="s">
        <v>88</v>
      </c>
      <c r="F98" s="11" t="s">
        <v>60</v>
      </c>
      <c r="G98" s="11" t="s">
        <v>23</v>
      </c>
      <c r="I98" s="11" t="str">
        <f t="shared" si="5"/>
        <v>insert into CHB_INFOMGR_CONFIG (BASEINFORMATIONID,BASETABLEID,BASECOLUMNID,BASECOLUMNNAME,BASECOLUMNTYPE,BUSINESSPKFLAG,DICTCODE) values (f_guid(),'CHB_PRD_POSITION','CDATE','生成日','D','Y','');</v>
      </c>
    </row>
    <row r="99" spans="1:9" s="11" customFormat="1" x14ac:dyDescent="0.15">
      <c r="A99" s="11">
        <v>95</v>
      </c>
      <c r="B99" s="11" t="s">
        <v>25</v>
      </c>
      <c r="C99" s="11" t="s">
        <v>208</v>
      </c>
      <c r="D99" s="11" t="s">
        <v>179</v>
      </c>
      <c r="E99" s="11" t="s">
        <v>180</v>
      </c>
      <c r="F99" s="11" t="s">
        <v>21</v>
      </c>
      <c r="G99" s="11" t="s">
        <v>23</v>
      </c>
      <c r="I99" s="11" t="str">
        <f t="shared" si="5"/>
        <v>insert into CHB_INFOMGR_CONFIG (BASEINFORMATIONID,BASETABLEID,BASECOLUMNID,BASECOLUMNNAME,BASECOLUMNTYPE,BUSINESSPKFLAG,DICTCODE) values (f_guid(),'CHB_PRD_POSITION','BUY_PLACE','销售区域','T','Y','');</v>
      </c>
    </row>
    <row r="100" spans="1:9" s="11" customFormat="1" x14ac:dyDescent="0.15">
      <c r="A100" s="11">
        <v>96</v>
      </c>
      <c r="B100" s="11" t="s">
        <v>25</v>
      </c>
      <c r="C100" s="12" t="s">
        <v>86</v>
      </c>
      <c r="D100" s="13" t="s">
        <v>32</v>
      </c>
      <c r="E100" s="13" t="s">
        <v>34</v>
      </c>
      <c r="F100" s="11" t="s">
        <v>21</v>
      </c>
      <c r="G100" s="11" t="s">
        <v>23</v>
      </c>
      <c r="I100" s="11" t="str">
        <f t="shared" ref="I100:I138" si="10">CONCATENATE("insert into CHB_INFOMGR_CONFIG (BASEINFORMATIONID,BASETABLEID,BASECOLUMNID,BASECOLUMNNAME,BASECOLUMNTYPE,BUSINESSPKFLAG,DICTCODE) values (",B100,",'",C100,"','",D100,"','",E100,"','",F100,"','",G100,"','",H100,"');")</f>
        <v>insert into CHB_INFOMGR_CONFIG (BASEINFORMATIONID,BASETABLEID,BASECOLUMNID,BASECOLUMNNAME,BASECOLUMNTYPE,BUSINESSPKFLAG,DICTCODE) values (f_guid(),'CHB_ASSET_POSITION','ASSET_CODE','资产代码','T','Y','');</v>
      </c>
    </row>
    <row r="101" spans="1:9" s="11" customFormat="1" x14ac:dyDescent="0.15">
      <c r="A101" s="11">
        <v>97</v>
      </c>
      <c r="B101" s="11" t="s">
        <v>25</v>
      </c>
      <c r="C101" s="12" t="s">
        <v>86</v>
      </c>
      <c r="D101" s="13" t="s">
        <v>87</v>
      </c>
      <c r="E101" s="13" t="s">
        <v>88</v>
      </c>
      <c r="F101" s="11" t="s">
        <v>60</v>
      </c>
      <c r="G101" s="11" t="s">
        <v>23</v>
      </c>
      <c r="I101" s="11" t="str">
        <f t="shared" si="10"/>
        <v>insert into CHB_INFOMGR_CONFIG (BASEINFORMATIONID,BASETABLEID,BASECOLUMNID,BASECOLUMNNAME,BASECOLUMNTYPE,BUSINESSPKFLAG,DICTCODE) values (f_guid(),'CHB_ASSET_POSITION','CDATE','生成日','D','Y','');</v>
      </c>
    </row>
    <row r="102" spans="1:9" s="11" customFormat="1" x14ac:dyDescent="0.15">
      <c r="A102" s="11">
        <v>98</v>
      </c>
      <c r="B102" s="11" t="s">
        <v>25</v>
      </c>
      <c r="C102" s="12" t="s">
        <v>86</v>
      </c>
      <c r="D102" s="13" t="s">
        <v>89</v>
      </c>
      <c r="E102" s="13" t="s">
        <v>68</v>
      </c>
      <c r="F102" s="11" t="s">
        <v>48</v>
      </c>
      <c r="G102" s="11" t="s">
        <v>22</v>
      </c>
      <c r="I102" s="11" t="str">
        <f t="shared" si="10"/>
        <v>insert into CHB_INFOMGR_CONFIG (BASEINFORMATIONID,BASETABLEID,BASECOLUMNID,BASECOLUMNNAME,BASECOLUMNTYPE,BUSINESSPKFLAG,DICTCODE) values (f_guid(),'CHB_ASSET_POSITION','POSUUID','主键','U','N','');</v>
      </c>
    </row>
    <row r="103" spans="1:9" s="11" customFormat="1" x14ac:dyDescent="0.15">
      <c r="A103" s="11">
        <v>99</v>
      </c>
      <c r="B103" s="11" t="s">
        <v>25</v>
      </c>
      <c r="C103" s="12" t="s">
        <v>86</v>
      </c>
      <c r="D103" s="13" t="s">
        <v>26</v>
      </c>
      <c r="E103" s="13" t="s">
        <v>31</v>
      </c>
      <c r="F103" s="11" t="s">
        <v>21</v>
      </c>
      <c r="G103" s="11" t="s">
        <v>23</v>
      </c>
      <c r="I103" s="11" t="str">
        <f t="shared" si="10"/>
        <v>insert into CHB_INFOMGR_CONFIG (BASEINFORMATIONID,BASETABLEID,BASECOLUMNID,BASECOLUMNNAME,BASECOLUMNTYPE,BUSINESSPKFLAG,DICTCODE) values (f_guid(),'CHB_ASSET_POSITION','PROD_ID','产品代码','T','Y','');</v>
      </c>
    </row>
    <row r="104" spans="1:9" s="11" customFormat="1" x14ac:dyDescent="0.15">
      <c r="A104" s="11">
        <v>100</v>
      </c>
      <c r="B104" s="11" t="s">
        <v>25</v>
      </c>
      <c r="C104" s="12" t="s">
        <v>86</v>
      </c>
      <c r="D104" s="13" t="s">
        <v>80</v>
      </c>
      <c r="E104" s="13" t="s">
        <v>81</v>
      </c>
      <c r="F104" s="11" t="s">
        <v>20</v>
      </c>
      <c r="G104" s="11" t="s">
        <v>23</v>
      </c>
      <c r="H104" s="11" t="s">
        <v>82</v>
      </c>
      <c r="I104" s="11" t="str">
        <f t="shared" si="10"/>
        <v>insert into CHB_INFOMGR_CONFIG (BASEINFORMATIONID,BASETABLEID,BASECOLUMNID,BASECOLUMNNAME,BASECOLUMNTYPE,BUSINESSPKFLAG,DICTCODE) values (f_guid(),'CHB_ASSET_POSITION','CCY','币种','S','Y','CURRENCY_CHB');</v>
      </c>
    </row>
    <row r="105" spans="1:9" s="11" customFormat="1" x14ac:dyDescent="0.15">
      <c r="A105" s="11">
        <v>101</v>
      </c>
      <c r="B105" s="11" t="s">
        <v>25</v>
      </c>
      <c r="C105" s="11" t="s">
        <v>107</v>
      </c>
      <c r="D105" s="11" t="s">
        <v>108</v>
      </c>
      <c r="E105" s="11" t="s">
        <v>109</v>
      </c>
      <c r="F105" s="11" t="s">
        <v>60</v>
      </c>
      <c r="G105" s="11" t="s">
        <v>23</v>
      </c>
      <c r="I105" s="11" t="str">
        <f t="shared" si="10"/>
        <v>insert into CHB_INFOMGR_CONFIG (BASEINFORMATIONID,BASETABLEID,BASECOLUMNID,BASECOLUMNNAME,BASECOLUMNTYPE,BUSINESSPKFLAG,DICTCODE) values (f_guid(),'CHB_MONTH_ASSET_POSITION','BOOKDATE','统计日期','D','Y','');</v>
      </c>
    </row>
    <row r="106" spans="1:9" s="11" customFormat="1" x14ac:dyDescent="0.15">
      <c r="A106" s="11">
        <v>102</v>
      </c>
      <c r="B106" s="11" t="s">
        <v>25</v>
      </c>
      <c r="C106" s="11" t="s">
        <v>107</v>
      </c>
      <c r="D106" s="11" t="s">
        <v>110</v>
      </c>
      <c r="E106" s="11" t="s">
        <v>111</v>
      </c>
      <c r="F106" s="11" t="s">
        <v>20</v>
      </c>
      <c r="G106" s="11" t="s">
        <v>22</v>
      </c>
      <c r="H106" s="11" t="s">
        <v>85</v>
      </c>
      <c r="I106" s="11" t="str">
        <f t="shared" si="10"/>
        <v>insert into CHB_INFOMGR_CONFIG (BASEINFORMATIONID,BASETABLEID,BASECOLUMNID,BASECOLUMNNAME,BASECOLUMNTYPE,BUSINESSPKFLAG,DICTCODE) values (f_guid(),'CHB_MONTH_ASSET_POSITION','ASSETTYPE','资产一级分类','S','N','SVR_ASSETDEBT_TYPE');</v>
      </c>
    </row>
    <row r="107" spans="1:9" s="11" customFormat="1" x14ac:dyDescent="0.15">
      <c r="A107" s="11">
        <v>103</v>
      </c>
      <c r="B107" s="11" t="s">
        <v>25</v>
      </c>
      <c r="C107" s="11" t="s">
        <v>107</v>
      </c>
      <c r="D107" s="11" t="s">
        <v>26</v>
      </c>
      <c r="E107" s="11" t="s">
        <v>31</v>
      </c>
      <c r="F107" s="11" t="s">
        <v>21</v>
      </c>
      <c r="G107" s="11" t="s">
        <v>23</v>
      </c>
      <c r="I107" s="11" t="str">
        <f t="shared" si="10"/>
        <v>insert into CHB_INFOMGR_CONFIG (BASEINFORMATIONID,BASETABLEID,BASECOLUMNID,BASECOLUMNNAME,BASECOLUMNTYPE,BUSINESSPKFLAG,DICTCODE) values (f_guid(),'CHB_MONTH_ASSET_POSITION','PROD_ID','产品代码','T','Y','');</v>
      </c>
    </row>
    <row r="108" spans="1:9" s="11" customFormat="1" x14ac:dyDescent="0.15">
      <c r="A108" s="11">
        <v>104</v>
      </c>
      <c r="B108" s="11" t="s">
        <v>25</v>
      </c>
      <c r="C108" s="11" t="s">
        <v>107</v>
      </c>
      <c r="D108" s="11" t="s">
        <v>112</v>
      </c>
      <c r="E108" s="11" t="s">
        <v>113</v>
      </c>
      <c r="F108" s="11" t="s">
        <v>20</v>
      </c>
      <c r="G108" s="11" t="s">
        <v>22</v>
      </c>
      <c r="H108" s="11" t="s">
        <v>75</v>
      </c>
      <c r="I108" s="11" t="str">
        <f t="shared" si="10"/>
        <v>insert into CHB_INFOMGR_CONFIG (BASEINFORMATIONID,BASETABLEID,BASECOLUMNID,BASECOLUMNNAME,BASECOLUMNTYPE,BUSINESSPKFLAG,DICTCODE) values (f_guid(),'CHB_MONTH_ASSET_POSITION','ASSETTYPE2','资产二级分类','S','N','SVR_ASSET_TYPE_SECOND_LEVEL');</v>
      </c>
    </row>
    <row r="109" spans="1:9" s="11" customFormat="1" x14ac:dyDescent="0.15">
      <c r="A109" s="11">
        <v>105</v>
      </c>
      <c r="B109" s="11" t="s">
        <v>25</v>
      </c>
      <c r="C109" s="11" t="s">
        <v>107</v>
      </c>
      <c r="D109" s="11" t="s">
        <v>32</v>
      </c>
      <c r="E109" s="11" t="s">
        <v>114</v>
      </c>
      <c r="F109" s="11" t="s">
        <v>21</v>
      </c>
      <c r="G109" s="11" t="s">
        <v>23</v>
      </c>
      <c r="I109" s="11" t="str">
        <f t="shared" si="10"/>
        <v>insert into CHB_INFOMGR_CONFIG (BASEINFORMATIONID,BASETABLEID,BASECOLUMNID,BASECOLUMNNAME,BASECOLUMNTYPE,BUSINESSPKFLAG,DICTCODE) values (f_guid(),'CHB_MONTH_ASSET_POSITION','ASSET_CODE','资产ID','T','Y','');</v>
      </c>
    </row>
    <row r="110" spans="1:9" s="11" customFormat="1" x14ac:dyDescent="0.15">
      <c r="A110" s="11">
        <v>106</v>
      </c>
      <c r="B110" s="11" t="s">
        <v>25</v>
      </c>
      <c r="C110" s="11" t="s">
        <v>107</v>
      </c>
      <c r="D110" s="11" t="s">
        <v>115</v>
      </c>
      <c r="E110" s="11" t="s">
        <v>116</v>
      </c>
      <c r="F110" s="11" t="s">
        <v>21</v>
      </c>
      <c r="G110" s="11" t="s">
        <v>23</v>
      </c>
      <c r="I110" s="11" t="str">
        <f t="shared" si="10"/>
        <v>insert into CHB_INFOMGR_CONFIG (BASEINFORMATIONID,BASETABLEID,BASECOLUMNID,BASECOLUMNNAME,BASECOLUMNTYPE,BUSINESSPKFLAG,DICTCODE) values (f_guid(),'CHB_MONTH_ASSET_POSITION','OLD_ASSET_CODE','穿透前原始资产代码','T','Y','');</v>
      </c>
    </row>
    <row r="111" spans="1:9" s="11" customFormat="1" x14ac:dyDescent="0.15">
      <c r="A111" s="11">
        <v>107</v>
      </c>
      <c r="B111" s="11" t="s">
        <v>25</v>
      </c>
      <c r="C111" s="11" t="s">
        <v>107</v>
      </c>
      <c r="D111" s="11" t="s">
        <v>89</v>
      </c>
      <c r="E111" s="11" t="s">
        <v>68</v>
      </c>
      <c r="F111" s="11" t="s">
        <v>48</v>
      </c>
      <c r="G111" s="11" t="s">
        <v>22</v>
      </c>
      <c r="I111" s="11" t="str">
        <f t="shared" si="10"/>
        <v>insert into CHB_INFOMGR_CONFIG (BASEINFORMATIONID,BASETABLEID,BASECOLUMNID,BASECOLUMNNAME,BASECOLUMNTYPE,BUSINESSPKFLAG,DICTCODE) values (f_guid(),'CHB_MONTH_ASSET_POSITION','POSUUID','主键','U','N','');</v>
      </c>
    </row>
    <row r="112" spans="1:9" s="11" customFormat="1" x14ac:dyDescent="0.15">
      <c r="A112" s="11">
        <v>108</v>
      </c>
      <c r="B112" s="11" t="s">
        <v>25</v>
      </c>
      <c r="C112" s="11" t="s">
        <v>107</v>
      </c>
      <c r="D112" s="11" t="s">
        <v>117</v>
      </c>
      <c r="E112" s="11" t="s">
        <v>118</v>
      </c>
      <c r="F112" s="11" t="s">
        <v>60</v>
      </c>
      <c r="G112" s="11" t="s">
        <v>22</v>
      </c>
      <c r="I112" s="11" t="str">
        <f t="shared" si="10"/>
        <v>insert into CHB_INFOMGR_CONFIG (BASEINFORMATIONID,BASETABLEID,BASECOLUMNID,BASECOLUMNNAME,BASECOLUMNTYPE,BUSINESSPKFLAG,DICTCODE) values (f_guid(),'CHB_MONTH_ASSET_POSITION','ENDDATE','结束日期','D','N','');</v>
      </c>
    </row>
    <row r="113" spans="1:9" s="11" customFormat="1" x14ac:dyDescent="0.15">
      <c r="A113" s="11">
        <v>109</v>
      </c>
      <c r="B113" s="11" t="s">
        <v>25</v>
      </c>
      <c r="C113" s="11" t="s">
        <v>107</v>
      </c>
      <c r="D113" s="11" t="s">
        <v>119</v>
      </c>
      <c r="E113" s="11" t="s">
        <v>120</v>
      </c>
      <c r="F113" s="11" t="s">
        <v>60</v>
      </c>
      <c r="G113" s="11" t="s">
        <v>22</v>
      </c>
      <c r="I113" s="11" t="str">
        <f t="shared" si="10"/>
        <v>insert into CHB_INFOMGR_CONFIG (BASEINFORMATIONID,BASETABLEID,BASECOLUMNID,BASECOLUMNNAME,BASECOLUMNTYPE,BUSINESSPKFLAG,DICTCODE) values (f_guid(),'CHB_MONTH_ASSET_POSITION','STARTDATE','开始日期','D','N','');</v>
      </c>
    </row>
    <row r="114" spans="1:9" s="11" customFormat="1" x14ac:dyDescent="0.15">
      <c r="A114" s="11">
        <v>110</v>
      </c>
      <c r="B114" s="11" t="s">
        <v>25</v>
      </c>
      <c r="C114" s="11" t="s">
        <v>107</v>
      </c>
      <c r="D114" s="11" t="s">
        <v>121</v>
      </c>
      <c r="E114" s="11" t="s">
        <v>122</v>
      </c>
      <c r="F114" s="11" t="s">
        <v>20</v>
      </c>
      <c r="G114" s="11" t="s">
        <v>22</v>
      </c>
      <c r="H114" s="11" t="s">
        <v>123</v>
      </c>
      <c r="I114" s="11" t="str">
        <f t="shared" si="10"/>
        <v>insert into CHB_INFOMGR_CONFIG (BASEINFORMATIONID,BASETABLEID,BASECOLUMNID,BASECOLUMNNAME,BASECOLUMNTYPE,BUSINESSPKFLAG,DICTCODE) values (f_guid(),'CHB_MONTH_ASSET_POSITION','INVEST_VARIETY','投资品种','S','N','SVR_INVEST_TRADE_TYPE');</v>
      </c>
    </row>
    <row r="115" spans="1:9" s="11" customFormat="1" x14ac:dyDescent="0.15">
      <c r="A115" s="11">
        <v>111</v>
      </c>
      <c r="B115" s="11" t="s">
        <v>25</v>
      </c>
      <c r="C115" s="11" t="s">
        <v>124</v>
      </c>
      <c r="D115" s="11" t="s">
        <v>117</v>
      </c>
      <c r="E115" s="11" t="s">
        <v>125</v>
      </c>
      <c r="F115" s="11" t="s">
        <v>60</v>
      </c>
      <c r="G115" s="11" t="s">
        <v>22</v>
      </c>
      <c r="I115" s="11" t="str">
        <f t="shared" si="10"/>
        <v>insert into CHB_INFOMGR_CONFIG (BASEINFORMATIONID,BASETABLEID,BASECOLUMNID,BASECOLUMNNAME,BASECOLUMNTYPE,BUSINESSPKFLAG,DICTCODE) values (f_guid(),'CHB_MONTH_FEE_POSITION','ENDDATE','报表结束日期','D','N','');</v>
      </c>
    </row>
    <row r="116" spans="1:9" s="11" customFormat="1" x14ac:dyDescent="0.15">
      <c r="A116" s="11">
        <v>112</v>
      </c>
      <c r="B116" s="11" t="s">
        <v>25</v>
      </c>
      <c r="C116" s="11" t="s">
        <v>124</v>
      </c>
      <c r="D116" s="11" t="s">
        <v>119</v>
      </c>
      <c r="E116" s="11" t="s">
        <v>126</v>
      </c>
      <c r="F116" s="11" t="s">
        <v>60</v>
      </c>
      <c r="G116" s="11" t="s">
        <v>22</v>
      </c>
      <c r="I116" s="11" t="str">
        <f t="shared" si="10"/>
        <v>insert into CHB_INFOMGR_CONFIG (BASEINFORMATIONID,BASETABLEID,BASECOLUMNID,BASECOLUMNNAME,BASECOLUMNTYPE,BUSINESSPKFLAG,DICTCODE) values (f_guid(),'CHB_MONTH_FEE_POSITION','STARTDATE','报表开始日期','D','N','');</v>
      </c>
    </row>
    <row r="117" spans="1:9" s="11" customFormat="1" x14ac:dyDescent="0.15">
      <c r="A117" s="11">
        <v>113</v>
      </c>
      <c r="B117" s="11" t="s">
        <v>25</v>
      </c>
      <c r="C117" s="11" t="s">
        <v>124</v>
      </c>
      <c r="D117" s="11" t="s">
        <v>127</v>
      </c>
      <c r="E117" s="11" t="s">
        <v>31</v>
      </c>
      <c r="F117" s="11" t="s">
        <v>21</v>
      </c>
      <c r="G117" s="11" t="s">
        <v>23</v>
      </c>
      <c r="I117" s="11" t="str">
        <f t="shared" si="10"/>
        <v>insert into CHB_INFOMGR_CONFIG (BASEINFORMATIONID,BASETABLEID,BASECOLUMNID,BASECOLUMNNAME,BASECOLUMNTYPE,BUSINESSPKFLAG,DICTCODE) values (f_guid(),'CHB_MONTH_FEE_POSITION','PRODID','产品代码','T','Y','');</v>
      </c>
    </row>
    <row r="118" spans="1:9" s="11" customFormat="1" x14ac:dyDescent="0.15">
      <c r="A118" s="11">
        <v>114</v>
      </c>
      <c r="B118" s="11" t="s">
        <v>25</v>
      </c>
      <c r="C118" s="11" t="s">
        <v>124</v>
      </c>
      <c r="D118" s="11" t="s">
        <v>128</v>
      </c>
      <c r="E118" s="11" t="s">
        <v>129</v>
      </c>
      <c r="F118" s="11" t="s">
        <v>20</v>
      </c>
      <c r="G118" s="11" t="s">
        <v>22</v>
      </c>
      <c r="H118" s="11" t="s">
        <v>130</v>
      </c>
      <c r="I118" s="11" t="str">
        <f t="shared" si="10"/>
        <v>insert into CHB_INFOMGR_CONFIG (BASEINFORMATIONID,BASETABLEID,BASECOLUMNID,BASECOLUMNNAME,BASECOLUMNTYPE,BUSINESSPKFLAG,DICTCODE) values (f_guid(),'CHB_MONTH_FEE_POSITION','IVSTORIENTATION','投资性质','S','N','INVEST_TYPE');</v>
      </c>
    </row>
    <row r="119" spans="1:9" s="11" customFormat="1" x14ac:dyDescent="0.15">
      <c r="A119" s="11">
        <v>115</v>
      </c>
      <c r="B119" s="11" t="s">
        <v>25</v>
      </c>
      <c r="C119" s="11" t="s">
        <v>124</v>
      </c>
      <c r="D119" s="11" t="s">
        <v>14</v>
      </c>
      <c r="E119" s="11" t="s">
        <v>131</v>
      </c>
      <c r="F119" s="11" t="s">
        <v>20</v>
      </c>
      <c r="G119" s="11" t="s">
        <v>22</v>
      </c>
      <c r="H119" s="11" t="s">
        <v>132</v>
      </c>
      <c r="I119" s="11" t="str">
        <f t="shared" si="10"/>
        <v>insert into CHB_INFOMGR_CONFIG (BASEINFORMATIONID,BASETABLEID,BASECOLUMNID,BASECOLUMNNAME,BASECOLUMNTYPE,BUSINESSPKFLAG,DICTCODE) values (f_guid(),'CHB_MONTH_FEE_POSITION','PROFIT_TYPE','产品收益标识','S','N','PRODPROFITFLAG');</v>
      </c>
    </row>
    <row r="120" spans="1:9" s="11" customFormat="1" x14ac:dyDescent="0.15">
      <c r="A120" s="11">
        <v>116</v>
      </c>
      <c r="B120" s="11" t="s">
        <v>25</v>
      </c>
      <c r="C120" s="11" t="s">
        <v>124</v>
      </c>
      <c r="D120" s="11" t="s">
        <v>89</v>
      </c>
      <c r="E120" s="11" t="s">
        <v>68</v>
      </c>
      <c r="F120" s="11" t="s">
        <v>48</v>
      </c>
      <c r="G120" s="11" t="s">
        <v>22</v>
      </c>
      <c r="I120" s="11" t="str">
        <f t="shared" si="10"/>
        <v>insert into CHB_INFOMGR_CONFIG (BASEINFORMATIONID,BASETABLEID,BASECOLUMNID,BASECOLUMNNAME,BASECOLUMNTYPE,BUSINESSPKFLAG,DICTCODE) values (f_guid(),'CHB_MONTH_FEE_POSITION','POSUUID','主键','U','N','');</v>
      </c>
    </row>
    <row r="121" spans="1:9" s="11" customFormat="1" x14ac:dyDescent="0.15">
      <c r="A121" s="11">
        <v>117</v>
      </c>
      <c r="B121" s="11" t="s">
        <v>25</v>
      </c>
      <c r="C121" s="11" t="s">
        <v>124</v>
      </c>
      <c r="D121" s="11" t="s">
        <v>108</v>
      </c>
      <c r="E121" s="11" t="s">
        <v>109</v>
      </c>
      <c r="F121" s="11" t="s">
        <v>60</v>
      </c>
      <c r="G121" s="11" t="s">
        <v>23</v>
      </c>
      <c r="I121" s="11" t="str">
        <f t="shared" si="10"/>
        <v>insert into CHB_INFOMGR_CONFIG (BASEINFORMATIONID,BASETABLEID,BASECOLUMNID,BASECOLUMNNAME,BASECOLUMNTYPE,BUSINESSPKFLAG,DICTCODE) values (f_guid(),'CHB_MONTH_FEE_POSITION','BOOKDATE','统计日期','D','Y','');</v>
      </c>
    </row>
    <row r="122" spans="1:9" s="11" customFormat="1" x14ac:dyDescent="0.15">
      <c r="A122" s="11">
        <v>118</v>
      </c>
      <c r="B122" s="11" t="s">
        <v>25</v>
      </c>
      <c r="C122" s="11" t="s">
        <v>124</v>
      </c>
      <c r="D122" s="11" t="s">
        <v>80</v>
      </c>
      <c r="E122" s="11" t="s">
        <v>81</v>
      </c>
      <c r="F122" s="11" t="s">
        <v>20</v>
      </c>
      <c r="G122" s="11" t="s">
        <v>23</v>
      </c>
      <c r="H122" s="11" t="s">
        <v>82</v>
      </c>
      <c r="I122" s="11" t="str">
        <f t="shared" si="10"/>
        <v>insert into CHB_INFOMGR_CONFIG (BASEINFORMATIONID,BASETABLEID,BASECOLUMNID,BASECOLUMNNAME,BASECOLUMNTYPE,BUSINESSPKFLAG,DICTCODE) values (f_guid(),'CHB_MONTH_FEE_POSITION','CCY','币种','S','Y','CURRENCY_CHB');</v>
      </c>
    </row>
    <row r="123" spans="1:9" s="11" customFormat="1" x14ac:dyDescent="0.15">
      <c r="A123" s="11">
        <v>119</v>
      </c>
      <c r="B123" s="11" t="s">
        <v>25</v>
      </c>
      <c r="C123" s="11" t="s">
        <v>124</v>
      </c>
      <c r="D123" s="11" t="s">
        <v>133</v>
      </c>
      <c r="E123" s="11" t="s">
        <v>134</v>
      </c>
      <c r="F123" s="11" t="s">
        <v>20</v>
      </c>
      <c r="G123" s="11" t="s">
        <v>22</v>
      </c>
      <c r="H123" s="11" t="s">
        <v>135</v>
      </c>
      <c r="I123" s="11" t="str">
        <f t="shared" si="10"/>
        <v>insert into CHB_INFOMGR_CONFIG (BASEINFORMATIONID,BASETABLEID,BASECOLUMNID,BASECOLUMNNAME,BASECOLUMNTYPE,BUSINESSPKFLAG,DICTCODE) values (f_guid(),'CHB_MONTH_FEE_POSITION','RAISEMODE','募集方式','S','N','SVR_RAISE_TYPE');</v>
      </c>
    </row>
    <row r="124" spans="1:9" s="11" customFormat="1" x14ac:dyDescent="0.15">
      <c r="A124" s="11">
        <v>120</v>
      </c>
      <c r="B124" s="11" t="s">
        <v>25</v>
      </c>
      <c r="C124" s="11" t="s">
        <v>136</v>
      </c>
      <c r="D124" s="11" t="s">
        <v>14</v>
      </c>
      <c r="E124" s="11" t="s">
        <v>137</v>
      </c>
      <c r="F124" s="11" t="s">
        <v>20</v>
      </c>
      <c r="G124" s="11" t="s">
        <v>22</v>
      </c>
      <c r="H124" s="11" t="s">
        <v>132</v>
      </c>
      <c r="I124" s="11" t="str">
        <f t="shared" si="10"/>
        <v>insert into CHB_INFOMGR_CONFIG (BASEINFORMATIONID,BASETABLEID,BASECOLUMNID,BASECOLUMNNAME,BASECOLUMNTYPE,BUSINESSPKFLAG,DICTCODE) values (f_guid(),'CHB_MONTH_PRD_POSITION','PROFIT_TYPE','产品收益方式','S','N','PRODPROFITFLAG');</v>
      </c>
    </row>
    <row r="125" spans="1:9" s="11" customFormat="1" x14ac:dyDescent="0.15">
      <c r="A125" s="11">
        <v>121</v>
      </c>
      <c r="B125" s="11" t="s">
        <v>25</v>
      </c>
      <c r="C125" s="11" t="s">
        <v>136</v>
      </c>
      <c r="D125" s="11" t="s">
        <v>138</v>
      </c>
      <c r="E125" s="11" t="s">
        <v>139</v>
      </c>
      <c r="F125" s="11" t="s">
        <v>20</v>
      </c>
      <c r="G125" s="11" t="s">
        <v>22</v>
      </c>
      <c r="H125" s="11" t="s">
        <v>140</v>
      </c>
      <c r="I125" s="11" t="str">
        <f t="shared" si="10"/>
        <v>insert into CHB_INFOMGR_CONFIG (BASEINFORMATIONID,BASETABLEID,BASECOLUMNID,BASECOLUMNNAME,BASECOLUMNTYPE,BUSINESSPKFLAG,DICTCODE) values (f_guid(),'CHB_MONTH_PRD_POSITION','OPERATE_MODE','运行方式','S','N','SVR_OPERATEMODE_DECLARE');</v>
      </c>
    </row>
    <row r="126" spans="1:9" s="11" customFormat="1" x14ac:dyDescent="0.15">
      <c r="A126" s="11">
        <v>122</v>
      </c>
      <c r="B126" s="11" t="s">
        <v>25</v>
      </c>
      <c r="C126" s="11" t="s">
        <v>136</v>
      </c>
      <c r="D126" s="11" t="s">
        <v>141</v>
      </c>
      <c r="E126" s="11" t="s">
        <v>142</v>
      </c>
      <c r="F126" s="11" t="s">
        <v>20</v>
      </c>
      <c r="G126" s="11" t="s">
        <v>22</v>
      </c>
      <c r="H126" s="11" t="s">
        <v>143</v>
      </c>
      <c r="I126" s="11" t="str">
        <f t="shared" si="10"/>
        <v>insert into CHB_INFOMGR_CONFIG (BASEINFORMATIONID,BASETABLEID,BASECOLUMNID,BASECOLUMNNAME,BASECOLUMNTYPE,BUSINESSPKFLAG,DICTCODE) values (f_guid(),'CHB_MONTH_PRD_POSITION','TERMTYPE','期限品种','S','N','SVR_PRODUCT_TERM');</v>
      </c>
    </row>
    <row r="127" spans="1:9" s="11" customFormat="1" x14ac:dyDescent="0.15">
      <c r="A127" s="11">
        <v>123</v>
      </c>
      <c r="B127" s="11" t="s">
        <v>25</v>
      </c>
      <c r="C127" s="11" t="s">
        <v>136</v>
      </c>
      <c r="D127" s="11" t="s">
        <v>144</v>
      </c>
      <c r="E127" s="11" t="s">
        <v>145</v>
      </c>
      <c r="F127" s="11" t="s">
        <v>20</v>
      </c>
      <c r="G127" s="11" t="s">
        <v>22</v>
      </c>
      <c r="H127" s="11" t="s">
        <v>146</v>
      </c>
      <c r="I127" s="11" t="str">
        <f t="shared" si="10"/>
        <v>insert into CHB_INFOMGR_CONFIG (BASEINFORMATIONID,BASETABLEID,BASECOLUMNID,BASECOLUMNNAME,BASECOLUMNTYPE,BUSINESSPKFLAG,DICTCODE) values (f_guid(),'CHB_MONTH_PRD_POSITION','SALE_TARGET','客户类型','S','N','SALETARGET_DECLARE');</v>
      </c>
    </row>
    <row r="128" spans="1:9" s="11" customFormat="1" x14ac:dyDescent="0.15">
      <c r="A128" s="11">
        <v>124</v>
      </c>
      <c r="B128" s="11" t="s">
        <v>25</v>
      </c>
      <c r="C128" s="11" t="s">
        <v>136</v>
      </c>
      <c r="D128" s="11" t="s">
        <v>147</v>
      </c>
      <c r="E128" s="11" t="s">
        <v>148</v>
      </c>
      <c r="F128" s="11" t="s">
        <v>20</v>
      </c>
      <c r="G128" s="11" t="s">
        <v>22</v>
      </c>
      <c r="H128" s="11" t="s">
        <v>91</v>
      </c>
      <c r="I128" s="11" t="str">
        <f t="shared" si="10"/>
        <v>insert into CHB_INFOMGR_CONFIG (BASEINFORMATIONID,BASETABLEID,BASECOLUMNID,BASECOLUMNNAME,BASECOLUMNTYPE,BUSINESSPKFLAG,DICTCODE) values (f_guid(),'CHB_MONTH_PRD_POSITION','CASH_MANA_CATE','是否现金管理类','S','N','SVR_YES_OR_NO');</v>
      </c>
    </row>
    <row r="129" spans="1:9" s="11" customFormat="1" x14ac:dyDescent="0.15">
      <c r="A129" s="11">
        <v>125</v>
      </c>
      <c r="B129" s="11" t="s">
        <v>25</v>
      </c>
      <c r="C129" s="11" t="s">
        <v>136</v>
      </c>
      <c r="D129" s="11" t="s">
        <v>29</v>
      </c>
      <c r="E129" s="11" t="s">
        <v>35</v>
      </c>
      <c r="F129" s="11" t="s">
        <v>60</v>
      </c>
      <c r="G129" s="11" t="s">
        <v>22</v>
      </c>
      <c r="I129" s="11" t="str">
        <f t="shared" si="10"/>
        <v>insert into CHB_INFOMGR_CONFIG (BASEINFORMATIONID,BASETABLEID,BASECOLUMNID,BASECOLUMNNAME,BASECOLUMNTYPE,BUSINESSPKFLAG,DICTCODE) values (f_guid(),'CHB_MONTH_PRD_POSITION','VDATE','起息日','D','N','');</v>
      </c>
    </row>
    <row r="130" spans="1:9" s="11" customFormat="1" x14ac:dyDescent="0.15">
      <c r="A130" s="11">
        <v>126</v>
      </c>
      <c r="B130" s="11" t="s">
        <v>25</v>
      </c>
      <c r="C130" s="11" t="s">
        <v>136</v>
      </c>
      <c r="D130" s="11" t="s">
        <v>149</v>
      </c>
      <c r="E130" s="11" t="s">
        <v>150</v>
      </c>
      <c r="F130" s="11" t="s">
        <v>20</v>
      </c>
      <c r="G130" s="11" t="s">
        <v>22</v>
      </c>
      <c r="H130" s="11" t="s">
        <v>151</v>
      </c>
      <c r="I130" s="11" t="str">
        <f t="shared" si="10"/>
        <v>insert into CHB_INFOMGR_CONFIG (BASEINFORMATIONID,BASETABLEID,BASECOLUMNID,BASECOLUMNNAME,BASECOLUMNTYPE,BUSINESSPKFLAG,DICTCODE) values (f_guid(),'CHB_MONTH_PRD_POSITION','ORD_IDENTIFIED','投资者类别','S','N','CUSTOMER_PRIN_TYPE');</v>
      </c>
    </row>
    <row r="131" spans="1:9" s="11" customFormat="1" x14ac:dyDescent="0.15">
      <c r="A131" s="11">
        <v>127</v>
      </c>
      <c r="B131" s="11" t="s">
        <v>25</v>
      </c>
      <c r="C131" s="11" t="s">
        <v>136</v>
      </c>
      <c r="D131" s="11" t="s">
        <v>128</v>
      </c>
      <c r="E131" s="11" t="s">
        <v>129</v>
      </c>
      <c r="F131" s="11" t="s">
        <v>20</v>
      </c>
      <c r="G131" s="11" t="s">
        <v>22</v>
      </c>
      <c r="H131" s="11" t="s">
        <v>130</v>
      </c>
      <c r="I131" s="11" t="str">
        <f t="shared" si="10"/>
        <v>insert into CHB_INFOMGR_CONFIG (BASEINFORMATIONID,BASETABLEID,BASECOLUMNID,BASECOLUMNNAME,BASECOLUMNTYPE,BUSINESSPKFLAG,DICTCODE) values (f_guid(),'CHB_MONTH_PRD_POSITION','IVSTORIENTATION','投资性质','S','N','INVEST_TYPE');</v>
      </c>
    </row>
    <row r="132" spans="1:9" s="11" customFormat="1" x14ac:dyDescent="0.15">
      <c r="A132" s="11">
        <v>128</v>
      </c>
      <c r="B132" s="11" t="s">
        <v>25</v>
      </c>
      <c r="C132" s="11" t="s">
        <v>136</v>
      </c>
      <c r="D132" s="11" t="s">
        <v>119</v>
      </c>
      <c r="E132" s="11" t="s">
        <v>126</v>
      </c>
      <c r="F132" s="11" t="s">
        <v>60</v>
      </c>
      <c r="G132" s="11" t="s">
        <v>22</v>
      </c>
      <c r="I132" s="11" t="str">
        <f t="shared" si="10"/>
        <v>insert into CHB_INFOMGR_CONFIG (BASEINFORMATIONID,BASETABLEID,BASECOLUMNID,BASECOLUMNNAME,BASECOLUMNTYPE,BUSINESSPKFLAG,DICTCODE) values (f_guid(),'CHB_MONTH_PRD_POSITION','STARTDATE','报表开始日期','D','N','');</v>
      </c>
    </row>
    <row r="133" spans="1:9" s="11" customFormat="1" x14ac:dyDescent="0.15">
      <c r="A133" s="11">
        <v>129</v>
      </c>
      <c r="B133" s="11" t="s">
        <v>25</v>
      </c>
      <c r="C133" s="11" t="s">
        <v>136</v>
      </c>
      <c r="D133" s="11" t="s">
        <v>89</v>
      </c>
      <c r="E133" s="11" t="s">
        <v>68</v>
      </c>
      <c r="F133" s="11" t="s">
        <v>48</v>
      </c>
      <c r="G133" s="11" t="s">
        <v>22</v>
      </c>
      <c r="I133" s="11" t="str">
        <f t="shared" si="10"/>
        <v>insert into CHB_INFOMGR_CONFIG (BASEINFORMATIONID,BASETABLEID,BASECOLUMNID,BASECOLUMNNAME,BASECOLUMNTYPE,BUSINESSPKFLAG,DICTCODE) values (f_guid(),'CHB_MONTH_PRD_POSITION','POSUUID','主键','U','N','');</v>
      </c>
    </row>
    <row r="134" spans="1:9" s="11" customFormat="1" x14ac:dyDescent="0.15">
      <c r="A134" s="11">
        <v>130</v>
      </c>
      <c r="B134" s="11" t="s">
        <v>25</v>
      </c>
      <c r="C134" s="11" t="s">
        <v>136</v>
      </c>
      <c r="D134" s="11" t="s">
        <v>127</v>
      </c>
      <c r="E134" s="11" t="s">
        <v>31</v>
      </c>
      <c r="F134" s="11" t="s">
        <v>21</v>
      </c>
      <c r="G134" s="11" t="s">
        <v>23</v>
      </c>
      <c r="I134" s="11" t="str">
        <f t="shared" si="10"/>
        <v>insert into CHB_INFOMGR_CONFIG (BASEINFORMATIONID,BASETABLEID,BASECOLUMNID,BASECOLUMNNAME,BASECOLUMNTYPE,BUSINESSPKFLAG,DICTCODE) values (f_guid(),'CHB_MONTH_PRD_POSITION','PRODID','产品代码','T','Y','');</v>
      </c>
    </row>
    <row r="135" spans="1:9" s="11" customFormat="1" x14ac:dyDescent="0.15">
      <c r="A135" s="11">
        <v>131</v>
      </c>
      <c r="B135" s="11" t="s">
        <v>25</v>
      </c>
      <c r="C135" s="11" t="s">
        <v>136</v>
      </c>
      <c r="D135" s="11" t="s">
        <v>117</v>
      </c>
      <c r="E135" s="11" t="s">
        <v>125</v>
      </c>
      <c r="F135" s="11" t="s">
        <v>60</v>
      </c>
      <c r="G135" s="11" t="s">
        <v>22</v>
      </c>
      <c r="I135" s="11" t="str">
        <f t="shared" si="10"/>
        <v>insert into CHB_INFOMGR_CONFIG (BASEINFORMATIONID,BASETABLEID,BASECOLUMNID,BASECOLUMNNAME,BASECOLUMNTYPE,BUSINESSPKFLAG,DICTCODE) values (f_guid(),'CHB_MONTH_PRD_POSITION','ENDDATE','报表结束日期','D','N','');</v>
      </c>
    </row>
    <row r="136" spans="1:9" s="11" customFormat="1" x14ac:dyDescent="0.15">
      <c r="A136" s="11">
        <v>132</v>
      </c>
      <c r="B136" s="11" t="s">
        <v>25</v>
      </c>
      <c r="C136" s="11" t="s">
        <v>136</v>
      </c>
      <c r="D136" s="11" t="s">
        <v>133</v>
      </c>
      <c r="E136" s="11" t="s">
        <v>134</v>
      </c>
      <c r="F136" s="11" t="s">
        <v>20</v>
      </c>
      <c r="G136" s="11" t="s">
        <v>22</v>
      </c>
      <c r="H136" s="11" t="s">
        <v>135</v>
      </c>
      <c r="I136" s="11" t="str">
        <f t="shared" si="10"/>
        <v>insert into CHB_INFOMGR_CONFIG (BASEINFORMATIONID,BASETABLEID,BASECOLUMNID,BASECOLUMNNAME,BASECOLUMNTYPE,BUSINESSPKFLAG,DICTCODE) values (f_guid(),'CHB_MONTH_PRD_POSITION','RAISEMODE','募集方式','S','N','SVR_RAISE_TYPE');</v>
      </c>
    </row>
    <row r="137" spans="1:9" s="11" customFormat="1" x14ac:dyDescent="0.15">
      <c r="A137" s="11">
        <v>133</v>
      </c>
      <c r="B137" s="11" t="s">
        <v>25</v>
      </c>
      <c r="C137" s="11" t="s">
        <v>136</v>
      </c>
      <c r="D137" s="11" t="s">
        <v>80</v>
      </c>
      <c r="E137" s="11" t="s">
        <v>81</v>
      </c>
      <c r="F137" s="11" t="s">
        <v>20</v>
      </c>
      <c r="G137" s="11" t="s">
        <v>23</v>
      </c>
      <c r="H137" s="11" t="s">
        <v>82</v>
      </c>
      <c r="I137" s="11" t="str">
        <f t="shared" si="10"/>
        <v>insert into CHB_INFOMGR_CONFIG (BASEINFORMATIONID,BASETABLEID,BASECOLUMNID,BASECOLUMNNAME,BASECOLUMNTYPE,BUSINESSPKFLAG,DICTCODE) values (f_guid(),'CHB_MONTH_PRD_POSITION','CCY','币种','S','Y','CURRENCY_CHB');</v>
      </c>
    </row>
    <row r="138" spans="1:9" s="11" customFormat="1" x14ac:dyDescent="0.15">
      <c r="A138" s="11">
        <v>134</v>
      </c>
      <c r="B138" s="11" t="s">
        <v>25</v>
      </c>
      <c r="C138" s="11" t="s">
        <v>136</v>
      </c>
      <c r="D138" s="11" t="s">
        <v>108</v>
      </c>
      <c r="E138" s="11" t="s">
        <v>109</v>
      </c>
      <c r="F138" s="11" t="s">
        <v>60</v>
      </c>
      <c r="G138" s="11" t="s">
        <v>23</v>
      </c>
      <c r="I138" s="11" t="str">
        <f t="shared" si="10"/>
        <v>insert into CHB_INFOMGR_CONFIG (BASEINFORMATIONID,BASETABLEID,BASECOLUMNID,BASECOLUMNNAME,BASECOLUMNTYPE,BUSINESSPKFLAG,DICTCODE) values (f_guid(),'CHB_MONTH_PRD_POSITION','BOOKDATE','统计日期','D','Y','');</v>
      </c>
    </row>
    <row r="139" spans="1:9" s="11" customFormat="1" x14ac:dyDescent="0.15">
      <c r="A139" s="11">
        <v>135</v>
      </c>
      <c r="B139" s="11" t="s">
        <v>25</v>
      </c>
      <c r="C139" s="11" t="s">
        <v>217</v>
      </c>
      <c r="D139" s="11" t="s">
        <v>119</v>
      </c>
      <c r="E139" s="11" t="s">
        <v>126</v>
      </c>
      <c r="F139" s="11" t="s">
        <v>60</v>
      </c>
      <c r="G139" s="11" t="s">
        <v>22</v>
      </c>
      <c r="I139" s="11" t="str">
        <f t="shared" si="5"/>
        <v>insert into CHB_INFOMGR_CONFIG (BASEINFORMATIONID,BASETABLEID,BASECOLUMNID,BASECOLUMNNAME,BASECOLUMNTYPE,BUSINESSPKFLAG,DICTCODE) values (f_guid(),'PBC_MONTH_ASSET_POSITION','STARTDATE','报表开始日期','D','N','');</v>
      </c>
    </row>
    <row r="140" spans="1:9" s="11" customFormat="1" x14ac:dyDescent="0.15">
      <c r="A140" s="11">
        <v>136</v>
      </c>
      <c r="B140" s="11" t="s">
        <v>25</v>
      </c>
      <c r="C140" s="11" t="s">
        <v>217</v>
      </c>
      <c r="D140" s="11" t="s">
        <v>218</v>
      </c>
      <c r="E140" s="11" t="s">
        <v>219</v>
      </c>
      <c r="F140" s="11" t="s">
        <v>20</v>
      </c>
      <c r="G140" s="11" t="s">
        <v>22</v>
      </c>
      <c r="H140" s="11" t="s">
        <v>220</v>
      </c>
      <c r="I140" s="11" t="str">
        <f t="shared" si="5"/>
        <v>insert into CHB_INFOMGR_CONFIG (BASEINFORMATIONID,BASETABLEID,BASECOLUMNID,BASECOLUMNNAME,BASECOLUMNTYPE,BUSINESSPKFLAG,DICTCODE) values (f_guid(),'PBC_MONTH_ASSET_POSITION','ASSET_TYPE3','资产三级分类','S','N','SVR_PBC_ASSET_TYPE_3');</v>
      </c>
    </row>
    <row r="141" spans="1:9" s="11" customFormat="1" x14ac:dyDescent="0.15">
      <c r="A141" s="11">
        <v>137</v>
      </c>
      <c r="B141" s="11" t="s">
        <v>25</v>
      </c>
      <c r="C141" s="11" t="s">
        <v>217</v>
      </c>
      <c r="D141" s="11" t="s">
        <v>117</v>
      </c>
      <c r="E141" s="11" t="s">
        <v>125</v>
      </c>
      <c r="F141" s="11" t="s">
        <v>60</v>
      </c>
      <c r="G141" s="11" t="s">
        <v>22</v>
      </c>
      <c r="I141" s="11" t="str">
        <f t="shared" si="5"/>
        <v>insert into CHB_INFOMGR_CONFIG (BASEINFORMATIONID,BASETABLEID,BASECOLUMNID,BASECOLUMNNAME,BASECOLUMNTYPE,BUSINESSPKFLAG,DICTCODE) values (f_guid(),'PBC_MONTH_ASSET_POSITION','ENDDATE','报表结束日期','D','N','');</v>
      </c>
    </row>
    <row r="142" spans="1:9" s="11" customFormat="1" x14ac:dyDescent="0.15">
      <c r="A142" s="11">
        <v>138</v>
      </c>
      <c r="B142" s="11" t="s">
        <v>25</v>
      </c>
      <c r="C142" s="11" t="s">
        <v>217</v>
      </c>
      <c r="D142" s="11" t="s">
        <v>80</v>
      </c>
      <c r="E142" s="11" t="s">
        <v>81</v>
      </c>
      <c r="F142" s="11" t="s">
        <v>20</v>
      </c>
      <c r="G142" s="11" t="s">
        <v>22</v>
      </c>
      <c r="H142" s="11" t="s">
        <v>82</v>
      </c>
      <c r="I142" s="11" t="str">
        <f t="shared" si="5"/>
        <v>insert into CHB_INFOMGR_CONFIG (BASEINFORMATIONID,BASETABLEID,BASECOLUMNID,BASECOLUMNNAME,BASECOLUMNTYPE,BUSINESSPKFLAG,DICTCODE) values (f_guid(),'PBC_MONTH_ASSET_POSITION','CCY','币种','S','N','CURRENCY_CHB');</v>
      </c>
    </row>
    <row r="143" spans="1:9" s="11" customFormat="1" x14ac:dyDescent="0.15">
      <c r="A143" s="11">
        <v>139</v>
      </c>
      <c r="B143" s="11" t="s">
        <v>25</v>
      </c>
      <c r="C143" s="11" t="s">
        <v>217</v>
      </c>
      <c r="D143" s="11" t="s">
        <v>108</v>
      </c>
      <c r="E143" s="11" t="s">
        <v>109</v>
      </c>
      <c r="F143" s="11" t="s">
        <v>60</v>
      </c>
      <c r="G143" s="11" t="s">
        <v>22</v>
      </c>
      <c r="I143" s="11" t="str">
        <f t="shared" si="5"/>
        <v>insert into CHB_INFOMGR_CONFIG (BASEINFORMATIONID,BASETABLEID,BASECOLUMNID,BASECOLUMNNAME,BASECOLUMNTYPE,BUSINESSPKFLAG,DICTCODE) values (f_guid(),'PBC_MONTH_ASSET_POSITION','BOOKDATE','统计日期','D','N','');</v>
      </c>
    </row>
    <row r="144" spans="1:9" s="11" customFormat="1" x14ac:dyDescent="0.15">
      <c r="A144" s="11">
        <v>140</v>
      </c>
      <c r="B144" s="11" t="s">
        <v>25</v>
      </c>
      <c r="C144" s="11" t="s">
        <v>217</v>
      </c>
      <c r="D144" s="11" t="s">
        <v>127</v>
      </c>
      <c r="E144" s="11" t="s">
        <v>31</v>
      </c>
      <c r="F144" s="11" t="s">
        <v>21</v>
      </c>
      <c r="G144" s="11" t="s">
        <v>22</v>
      </c>
      <c r="I144" s="11" t="str">
        <f t="shared" si="5"/>
        <v>insert into CHB_INFOMGR_CONFIG (BASEINFORMATIONID,BASETABLEID,BASECOLUMNID,BASECOLUMNNAME,BASECOLUMNTYPE,BUSINESSPKFLAG,DICTCODE) values (f_guid(),'PBC_MONTH_ASSET_POSITION','PRODID','产品代码','T','N','');</v>
      </c>
    </row>
    <row r="145" spans="1:9" s="11" customFormat="1" x14ac:dyDescent="0.15">
      <c r="A145" s="11">
        <v>141</v>
      </c>
      <c r="B145" s="11" t="s">
        <v>25</v>
      </c>
      <c r="C145" s="11" t="s">
        <v>217</v>
      </c>
      <c r="D145" s="11" t="s">
        <v>89</v>
      </c>
      <c r="E145" s="11" t="s">
        <v>68</v>
      </c>
      <c r="F145" s="11" t="s">
        <v>48</v>
      </c>
      <c r="G145" s="11" t="s">
        <v>22</v>
      </c>
      <c r="I145" s="11" t="str">
        <f t="shared" si="5"/>
        <v>insert into CHB_INFOMGR_CONFIG (BASEINFORMATIONID,BASETABLEID,BASECOLUMNID,BASECOLUMNNAME,BASECOLUMNTYPE,BUSINESSPKFLAG,DICTCODE) values (f_guid(),'PBC_MONTH_ASSET_POSITION','POSUUID','主键','U','N','');</v>
      </c>
    </row>
    <row r="146" spans="1:9" s="11" customFormat="1" x14ac:dyDescent="0.15">
      <c r="A146" s="11">
        <v>142</v>
      </c>
      <c r="B146" s="11" t="s">
        <v>25</v>
      </c>
      <c r="C146" s="11" t="s">
        <v>217</v>
      </c>
      <c r="D146" s="11" t="s">
        <v>32</v>
      </c>
      <c r="E146" s="11" t="s">
        <v>34</v>
      </c>
      <c r="F146" s="11" t="s">
        <v>21</v>
      </c>
      <c r="G146" s="11" t="s">
        <v>22</v>
      </c>
      <c r="I146" s="11" t="str">
        <f t="shared" si="5"/>
        <v>insert into CHB_INFOMGR_CONFIG (BASEINFORMATIONID,BASETABLEID,BASECOLUMNID,BASECOLUMNNAME,BASECOLUMNTYPE,BUSINESSPKFLAG,DICTCODE) values (f_guid(),'PBC_MONTH_ASSET_POSITION','ASSET_CODE','资产代码','T','N','');</v>
      </c>
    </row>
    <row r="147" spans="1:9" s="11" customFormat="1" x14ac:dyDescent="0.15">
      <c r="A147" s="11">
        <v>143</v>
      </c>
      <c r="B147" s="11" t="s">
        <v>25</v>
      </c>
      <c r="C147" s="11" t="s">
        <v>217</v>
      </c>
      <c r="D147" s="11" t="s">
        <v>73</v>
      </c>
      <c r="E147" s="11" t="s">
        <v>113</v>
      </c>
      <c r="F147" s="11" t="s">
        <v>20</v>
      </c>
      <c r="G147" s="11" t="s">
        <v>22</v>
      </c>
      <c r="H147" s="11" t="s">
        <v>221</v>
      </c>
      <c r="I147" s="11" t="str">
        <f t="shared" si="5"/>
        <v>insert into CHB_INFOMGR_CONFIG (BASEINFORMATIONID,BASETABLEID,BASECOLUMNID,BASECOLUMNNAME,BASECOLUMNTYPE,BUSINESSPKFLAG,DICTCODE) values (f_guid(),'PBC_MONTH_ASSET_POSITION','ASSET_TYPE2','资产二级分类','S','N','SVR_PBC_ASSET_TYPE_2');</v>
      </c>
    </row>
    <row r="148" spans="1:9" s="11" customFormat="1" x14ac:dyDescent="0.15">
      <c r="A148" s="11">
        <v>144</v>
      </c>
      <c r="B148" s="11" t="s">
        <v>25</v>
      </c>
      <c r="C148" s="11" t="s">
        <v>217</v>
      </c>
      <c r="D148" s="11" t="s">
        <v>222</v>
      </c>
      <c r="E148" s="11" t="s">
        <v>111</v>
      </c>
      <c r="F148" s="11" t="s">
        <v>20</v>
      </c>
      <c r="G148" s="11" t="s">
        <v>22</v>
      </c>
      <c r="H148" s="11" t="s">
        <v>223</v>
      </c>
      <c r="I148" s="11" t="str">
        <f t="shared" si="5"/>
        <v>insert into CHB_INFOMGR_CONFIG (BASEINFORMATIONID,BASETABLEID,BASECOLUMNID,BASECOLUMNNAME,BASECOLUMNTYPE,BUSINESSPKFLAG,DICTCODE) values (f_guid(),'PBC_MONTH_ASSET_POSITION','ASSET_TYPE1','资产一级分类','S','N','SVR_PBC_ASSET_TYPE_1');</v>
      </c>
    </row>
    <row r="149" spans="1:9" s="11" customFormat="1" x14ac:dyDescent="0.15">
      <c r="A149" s="11">
        <v>145</v>
      </c>
      <c r="B149" s="11" t="s">
        <v>25</v>
      </c>
      <c r="C149" s="11" t="s">
        <v>224</v>
      </c>
      <c r="D149" s="11" t="s">
        <v>225</v>
      </c>
      <c r="E149" s="11" t="s">
        <v>226</v>
      </c>
      <c r="F149" s="11" t="s">
        <v>20</v>
      </c>
      <c r="G149" s="11" t="s">
        <v>22</v>
      </c>
      <c r="H149" s="11" t="s">
        <v>227</v>
      </c>
      <c r="I149" s="11" t="str">
        <f t="shared" si="5"/>
        <v>insert into CHB_INFOMGR_CONFIG (BASEINFORMATIONID,BASETABLEID,BASECOLUMNID,BASECOLUMNNAME,BASECOLUMNTYPE,BUSINESSPKFLAG,DICTCODE) values (f_guid(),'PBC_MONTH_PRD_POSITION','MANAGE_TYPE','管理方式','S','N','SVR_PRO_PROPERTY');</v>
      </c>
    </row>
    <row r="150" spans="1:9" s="11" customFormat="1" x14ac:dyDescent="0.15">
      <c r="A150" s="11">
        <v>146</v>
      </c>
      <c r="B150" s="11" t="s">
        <v>25</v>
      </c>
      <c r="C150" s="11" t="s">
        <v>224</v>
      </c>
      <c r="D150" s="11" t="s">
        <v>128</v>
      </c>
      <c r="E150" s="11" t="s">
        <v>129</v>
      </c>
      <c r="F150" s="11" t="s">
        <v>20</v>
      </c>
      <c r="G150" s="11" t="s">
        <v>22</v>
      </c>
      <c r="H150" s="11" t="s">
        <v>130</v>
      </c>
      <c r="I150" s="11" t="str">
        <f t="shared" si="5"/>
        <v>insert into CHB_INFOMGR_CONFIG (BASEINFORMATIONID,BASETABLEID,BASECOLUMNID,BASECOLUMNNAME,BASECOLUMNTYPE,BUSINESSPKFLAG,DICTCODE) values (f_guid(),'PBC_MONTH_PRD_POSITION','IVSTORIENTATION','投资性质','S','N','INVEST_TYPE');</v>
      </c>
    </row>
    <row r="151" spans="1:9" s="11" customFormat="1" x14ac:dyDescent="0.15">
      <c r="A151" s="11">
        <v>147</v>
      </c>
      <c r="B151" s="11" t="s">
        <v>25</v>
      </c>
      <c r="C151" s="11" t="s">
        <v>224</v>
      </c>
      <c r="D151" s="11" t="s">
        <v>133</v>
      </c>
      <c r="E151" s="11" t="s">
        <v>134</v>
      </c>
      <c r="F151" s="11" t="s">
        <v>20</v>
      </c>
      <c r="G151" s="11" t="s">
        <v>22</v>
      </c>
      <c r="H151" s="11" t="s">
        <v>135</v>
      </c>
      <c r="I151" s="11" t="str">
        <f t="shared" si="5"/>
        <v>insert into CHB_INFOMGR_CONFIG (BASEINFORMATIONID,BASETABLEID,BASECOLUMNID,BASECOLUMNNAME,BASECOLUMNTYPE,BUSINESSPKFLAG,DICTCODE) values (f_guid(),'PBC_MONTH_PRD_POSITION','RAISEMODE','募集方式','S','N','SVR_RAISE_TYPE');</v>
      </c>
    </row>
    <row r="152" spans="1:9" s="11" customFormat="1" x14ac:dyDescent="0.15">
      <c r="A152" s="11">
        <v>148</v>
      </c>
      <c r="B152" s="11" t="s">
        <v>25</v>
      </c>
      <c r="C152" s="11" t="s">
        <v>224</v>
      </c>
      <c r="D152" s="11" t="s">
        <v>177</v>
      </c>
      <c r="E152" s="11" t="s">
        <v>178</v>
      </c>
      <c r="F152" s="11" t="s">
        <v>20</v>
      </c>
      <c r="G152" s="11" t="s">
        <v>22</v>
      </c>
      <c r="H152" s="11" t="s">
        <v>162</v>
      </c>
      <c r="I152" s="11" t="str">
        <f t="shared" si="5"/>
        <v>insert into CHB_INFOMGR_CONFIG (BASEINFORMATIONID,BASETABLEID,BASECOLUMNID,BASECOLUMNNAME,BASECOLUMNTYPE,BUSINESSPKFLAG,DICTCODE) values (f_guid(),'PBC_MONTH_PRD_POSITION','CUSTOMER_TYPE2','客户二级类型','S','N','SVR_CUSTOMER_TYPE2');</v>
      </c>
    </row>
    <row r="153" spans="1:9" s="11" customFormat="1" x14ac:dyDescent="0.15">
      <c r="A153" s="11">
        <v>149</v>
      </c>
      <c r="B153" s="11" t="s">
        <v>25</v>
      </c>
      <c r="C153" s="11" t="s">
        <v>224</v>
      </c>
      <c r="D153" s="11" t="s">
        <v>80</v>
      </c>
      <c r="E153" s="11" t="s">
        <v>81</v>
      </c>
      <c r="F153" s="11" t="s">
        <v>20</v>
      </c>
      <c r="G153" s="11" t="s">
        <v>22</v>
      </c>
      <c r="H153" s="11" t="s">
        <v>82</v>
      </c>
      <c r="I153" s="11" t="str">
        <f t="shared" si="5"/>
        <v>insert into CHB_INFOMGR_CONFIG (BASEINFORMATIONID,BASETABLEID,BASECOLUMNID,BASECOLUMNNAME,BASECOLUMNTYPE,BUSINESSPKFLAG,DICTCODE) values (f_guid(),'PBC_MONTH_PRD_POSITION','CCY','币种','S','N','CURRENCY_CHB');</v>
      </c>
    </row>
    <row r="154" spans="1:9" s="11" customFormat="1" x14ac:dyDescent="0.15">
      <c r="A154" s="11">
        <v>150</v>
      </c>
      <c r="B154" s="11" t="s">
        <v>25</v>
      </c>
      <c r="C154" s="11" t="s">
        <v>224</v>
      </c>
      <c r="D154" s="11" t="s">
        <v>228</v>
      </c>
      <c r="E154" s="11" t="s">
        <v>229</v>
      </c>
      <c r="F154" s="11" t="s">
        <v>20</v>
      </c>
      <c r="G154" s="11" t="s">
        <v>22</v>
      </c>
      <c r="H154" s="11" t="s">
        <v>230</v>
      </c>
      <c r="I154" s="11" t="str">
        <f t="shared" si="5"/>
        <v>insert into CHB_INFOMGR_CONFIG (BASEINFORMATIONID,BASETABLEID,BASECOLUMNID,BASECOLUMNNAME,BASECOLUMNTYPE,BUSINESSPKFLAG,DICTCODE) values (f_guid(),'PBC_MONTH_PRD_POSITION','FIDUCIARY_DUTY','受托职责','S','N','SVR_FIDUCIARY_DUTY');</v>
      </c>
    </row>
    <row r="155" spans="1:9" s="11" customFormat="1" x14ac:dyDescent="0.15">
      <c r="A155" s="11">
        <v>151</v>
      </c>
      <c r="B155" s="11" t="s">
        <v>25</v>
      </c>
      <c r="C155" s="11" t="s">
        <v>224</v>
      </c>
      <c r="D155" s="11" t="s">
        <v>119</v>
      </c>
      <c r="E155" s="11" t="s">
        <v>126</v>
      </c>
      <c r="F155" s="11" t="s">
        <v>60</v>
      </c>
      <c r="G155" s="11" t="s">
        <v>22</v>
      </c>
      <c r="I155" s="11" t="str">
        <f t="shared" si="5"/>
        <v>insert into CHB_INFOMGR_CONFIG (BASEINFORMATIONID,BASETABLEID,BASECOLUMNID,BASECOLUMNNAME,BASECOLUMNTYPE,BUSINESSPKFLAG,DICTCODE) values (f_guid(),'PBC_MONTH_PRD_POSITION','STARTDATE','报表开始日期','D','N','');</v>
      </c>
    </row>
    <row r="156" spans="1:9" s="11" customFormat="1" x14ac:dyDescent="0.15">
      <c r="A156" s="11">
        <v>152</v>
      </c>
      <c r="B156" s="11" t="s">
        <v>25</v>
      </c>
      <c r="C156" s="11" t="s">
        <v>224</v>
      </c>
      <c r="D156" s="11" t="s">
        <v>108</v>
      </c>
      <c r="E156" s="11" t="s">
        <v>109</v>
      </c>
      <c r="F156" s="11" t="s">
        <v>60</v>
      </c>
      <c r="G156" s="11" t="s">
        <v>22</v>
      </c>
      <c r="I156" s="11" t="str">
        <f t="shared" si="5"/>
        <v>insert into CHB_INFOMGR_CONFIG (BASEINFORMATIONID,BASETABLEID,BASECOLUMNID,BASECOLUMNNAME,BASECOLUMNTYPE,BUSINESSPKFLAG,DICTCODE) values (f_guid(),'PBC_MONTH_PRD_POSITION','BOOKDATE','统计日期','D','N','');</v>
      </c>
    </row>
    <row r="157" spans="1:9" s="11" customFormat="1" x14ac:dyDescent="0.15">
      <c r="A157" s="11">
        <v>153</v>
      </c>
      <c r="B157" s="11" t="s">
        <v>25</v>
      </c>
      <c r="C157" s="11" t="s">
        <v>224</v>
      </c>
      <c r="D157" s="11" t="s">
        <v>117</v>
      </c>
      <c r="E157" s="11" t="s">
        <v>125</v>
      </c>
      <c r="F157" s="11" t="s">
        <v>60</v>
      </c>
      <c r="G157" s="11" t="s">
        <v>22</v>
      </c>
      <c r="I157" s="11" t="str">
        <f t="shared" si="5"/>
        <v>insert into CHB_INFOMGR_CONFIG (BASEINFORMATIONID,BASETABLEID,BASECOLUMNID,BASECOLUMNNAME,BASECOLUMNTYPE,BUSINESSPKFLAG,DICTCODE) values (f_guid(),'PBC_MONTH_PRD_POSITION','ENDDATE','报表结束日期','D','N','');</v>
      </c>
    </row>
    <row r="158" spans="1:9" s="11" customFormat="1" x14ac:dyDescent="0.15">
      <c r="A158" s="11">
        <v>154</v>
      </c>
      <c r="B158" s="11" t="s">
        <v>25</v>
      </c>
      <c r="C158" s="11" t="s">
        <v>224</v>
      </c>
      <c r="D158" s="11" t="s">
        <v>138</v>
      </c>
      <c r="E158" s="11" t="s">
        <v>139</v>
      </c>
      <c r="F158" s="11" t="s">
        <v>20</v>
      </c>
      <c r="G158" s="11" t="s">
        <v>22</v>
      </c>
      <c r="H158" s="11" t="s">
        <v>140</v>
      </c>
      <c r="I158" s="11" t="str">
        <f t="shared" si="5"/>
        <v>insert into CHB_INFOMGR_CONFIG (BASEINFORMATIONID,BASETABLEID,BASECOLUMNID,BASECOLUMNNAME,BASECOLUMNTYPE,BUSINESSPKFLAG,DICTCODE) values (f_guid(),'PBC_MONTH_PRD_POSITION','OPERATE_MODE','运行方式','S','N','SVR_OPERATEMODE_DECLARE');</v>
      </c>
    </row>
    <row r="159" spans="1:9" s="11" customFormat="1" x14ac:dyDescent="0.15">
      <c r="A159" s="11">
        <v>155</v>
      </c>
      <c r="B159" s="11" t="s">
        <v>25</v>
      </c>
      <c r="C159" s="11" t="s">
        <v>224</v>
      </c>
      <c r="D159" s="11" t="s">
        <v>89</v>
      </c>
      <c r="E159" s="11" t="s">
        <v>231</v>
      </c>
      <c r="F159" s="11" t="s">
        <v>48</v>
      </c>
      <c r="G159" s="11" t="s">
        <v>22</v>
      </c>
      <c r="I159" s="11" t="str">
        <f t="shared" si="5"/>
        <v>insert into CHB_INFOMGR_CONFIG (BASEINFORMATIONID,BASETABLEID,BASECOLUMNID,BASECOLUMNNAME,BASECOLUMNTYPE,BUSINESSPKFLAG,DICTCODE) values (f_guid(),'PBC_MONTH_PRD_POSITION','POSUUID','主键uuid','U','N','');</v>
      </c>
    </row>
    <row r="160" spans="1:9" s="11" customFormat="1" x14ac:dyDescent="0.15">
      <c r="A160" s="11">
        <v>156</v>
      </c>
      <c r="B160" s="11" t="s">
        <v>260</v>
      </c>
      <c r="C160" s="11" t="s">
        <v>224</v>
      </c>
      <c r="D160" s="11" t="s">
        <v>127</v>
      </c>
      <c r="E160" s="11" t="s">
        <v>31</v>
      </c>
      <c r="F160" s="11" t="s">
        <v>21</v>
      </c>
      <c r="G160" s="11" t="s">
        <v>22</v>
      </c>
      <c r="I160" s="11" t="str">
        <f>CONCATENATE("insert into CHB_INFOMGR_CONFIG (BASEINFORMATIONID,BASETABLEID,BASECOLUMNID,BASECOLUMNNAME,BASECOLUMNTYPE,BUSINESSPKFLAG,DICTCODE) values (",B160,",'",C160,"','",D160,"','",E160,"','",F160,"','",G160,"','",H160,"');")</f>
        <v>insert into CHB_INFOMGR_CONFIG (BASEINFORMATIONID,BASETABLEID,BASECOLUMNID,BASECOLUMNNAME,BASECOLUMNTYPE,BUSINESSPKFLAG,DICTCODE) values (f_guid(),'PBC_MONTH_PRD_POSITION','PRODID','产品代码','T','N','');</v>
      </c>
    </row>
    <row r="161" spans="1:9" s="16" customFormat="1" x14ac:dyDescent="0.15">
      <c r="A161" s="16">
        <v>157</v>
      </c>
      <c r="B161" s="16" t="s">
        <v>261</v>
      </c>
      <c r="C161" s="16" t="s">
        <v>259</v>
      </c>
      <c r="D161" s="16" t="s">
        <v>262</v>
      </c>
      <c r="E161" s="16" t="s">
        <v>263</v>
      </c>
      <c r="F161" s="16" t="s">
        <v>264</v>
      </c>
      <c r="G161" s="16" t="s">
        <v>265</v>
      </c>
      <c r="I161" s="16" t="str">
        <f t="shared" ref="I161:I165" si="11">CONCATENATE("insert into CHB_INFOMGR_CONFIG (BASEINFORMATIONID,BASETABLEID,BASECOLUMNID,BASECOLUMNNAME,BASECOLUMNTYPE,BUSINESSPKFLAG,DICTCODE) values (",B161,",'",C161,"','",D161,"','",E161,"','",F161,"','",G161,"','",H161,"');")</f>
        <v>insert into CHB_INFOMGR_CONFIG (BASEINFORMATIONID,BASETABLEID,BASECOLUMNID,BASECOLUMNNAME,BASECOLUMNTYPE,BUSINESSPKFLAG,DICTCODE) values (f_guid(),'CHB_CPROD_BALANCE','BAL_ID','主键','U','N','');</v>
      </c>
    </row>
    <row r="162" spans="1:9" s="16" customFormat="1" x14ac:dyDescent="0.15">
      <c r="A162" s="16">
        <v>158</v>
      </c>
      <c r="B162" s="16" t="s">
        <v>261</v>
      </c>
      <c r="C162" s="16" t="s">
        <v>271</v>
      </c>
      <c r="D162" s="16" t="s">
        <v>266</v>
      </c>
      <c r="E162" s="16" t="s">
        <v>267</v>
      </c>
      <c r="F162" s="16" t="s">
        <v>268</v>
      </c>
      <c r="G162" s="16" t="s">
        <v>269</v>
      </c>
      <c r="I162" s="16" t="str">
        <f t="shared" si="11"/>
        <v>insert into CHB_INFOMGR_CONFIG (BASEINFORMATIONID,BASETABLEID,BASECOLUMNID,BASECOLUMNNAME,BASECOLUMNTYPE,BUSINESSPKFLAG,DICTCODE) values (f_guid(),'CHB_CPROD_BALANCE','PROD_ID','产品代码','T','Y','');</v>
      </c>
    </row>
    <row r="163" spans="1:9" s="16" customFormat="1" x14ac:dyDescent="0.15">
      <c r="A163" s="16">
        <v>159</v>
      </c>
      <c r="B163" s="16" t="s">
        <v>261</v>
      </c>
      <c r="C163" s="16" t="s">
        <v>271</v>
      </c>
      <c r="D163" s="16" t="s">
        <v>270</v>
      </c>
      <c r="E163" s="16" t="s">
        <v>272</v>
      </c>
      <c r="F163" s="16" t="s">
        <v>268</v>
      </c>
      <c r="G163" s="16" t="s">
        <v>265</v>
      </c>
      <c r="I163" s="16" t="str">
        <f t="shared" si="11"/>
        <v>insert into CHB_INFOMGR_CONFIG (BASEINFORMATIONID,BASETABLEID,BASECOLUMNID,BASECOLUMNNAME,BASECOLUMNTYPE,BUSINESSPKFLAG,DICTCODE) values (f_guid(),'CHB_CPROD_BALANCE','PERIOD_ID','期次代码','T','N','');</v>
      </c>
    </row>
    <row r="164" spans="1:9" x14ac:dyDescent="0.15">
      <c r="A164" s="2">
        <v>160</v>
      </c>
      <c r="B164" s="16" t="s">
        <v>260</v>
      </c>
      <c r="C164" s="15" t="s">
        <v>279</v>
      </c>
      <c r="D164" s="15" t="s">
        <v>275</v>
      </c>
      <c r="E164" s="15" t="s">
        <v>276</v>
      </c>
      <c r="F164" s="15" t="s">
        <v>21</v>
      </c>
      <c r="G164" s="15" t="s">
        <v>23</v>
      </c>
      <c r="H164" s="15"/>
      <c r="I164" s="16" t="str">
        <f t="shared" si="11"/>
        <v>insert into CHB_INFOMGR_CONFIG (BASEINFORMATIONID,BASETABLEID,BASECOLUMNID,BASECOLUMNNAME,BASECOLUMNTYPE,BUSINESSPKFLAG,DICTCODE) values (f_guid(),'CHB_EMPLOYEE_INFO','EMPLOYEE_TYPE','从业人员类型','T','Y','');</v>
      </c>
    </row>
    <row r="165" spans="1:9" x14ac:dyDescent="0.15">
      <c r="A165" s="2">
        <v>161</v>
      </c>
      <c r="B165" s="16" t="s">
        <v>260</v>
      </c>
      <c r="C165" s="15" t="s">
        <v>274</v>
      </c>
      <c r="D165" s="15" t="s">
        <v>277</v>
      </c>
      <c r="E165" s="15" t="s">
        <v>278</v>
      </c>
      <c r="F165" s="15" t="s">
        <v>21</v>
      </c>
      <c r="G165" s="15" t="s">
        <v>23</v>
      </c>
      <c r="H165" s="15"/>
      <c r="I165" s="16" t="str">
        <f t="shared" si="11"/>
        <v>insert into CHB_INFOMGR_CONFIG (BASEINFORMATIONID,BASETABLEID,BASECOLUMNID,BASECOLUMNNAME,BASECOLUMNTYPE,BUSINESSPKFLAG,DICTCODE) values (f_guid(),'CHB_EMPLOYEE_INFO','IDENTIFY_NUMBER','身份证号码','T','Y','');</v>
      </c>
    </row>
  </sheetData>
  <mergeCells count="1">
    <mergeCell ref="A3:H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0" sqref="B10"/>
    </sheetView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2021-02-02T11:33:37Z</dcterms:modified>
</cp:coreProperties>
</file>