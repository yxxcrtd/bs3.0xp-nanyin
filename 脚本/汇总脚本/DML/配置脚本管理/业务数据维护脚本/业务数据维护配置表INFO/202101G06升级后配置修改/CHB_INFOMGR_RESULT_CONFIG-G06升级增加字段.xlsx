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 activeTab="1"/>
  </bookViews>
  <sheets>
    <sheet name="Sheet2" sheetId="5" r:id="rId1"/>
    <sheet name="资产要素" sheetId="7" r:id="rId2"/>
  </sheets>
  <definedNames>
    <definedName name="_xlnm._FilterDatabase" localSheetId="1" hidden="1">资产要素!$A$2:$J$306</definedName>
  </definedNames>
  <calcPr calcId="152511"/>
</workbook>
</file>

<file path=xl/calcChain.xml><?xml version="1.0" encoding="utf-8"?>
<calcChain xmlns="http://schemas.openxmlformats.org/spreadsheetml/2006/main">
  <c r="J292" i="7" l="1"/>
  <c r="J293" i="7"/>
  <c r="J294" i="7"/>
  <c r="J295" i="7"/>
  <c r="J296" i="7"/>
  <c r="J297" i="7"/>
  <c r="J304" i="7"/>
  <c r="J302" i="7"/>
  <c r="J303" i="7"/>
  <c r="J299" i="7"/>
  <c r="J298" i="7" l="1"/>
  <c r="J291" i="7"/>
  <c r="J290" i="7"/>
  <c r="J289" i="7"/>
  <c r="J288" i="7"/>
  <c r="J287" i="7"/>
  <c r="J67" i="5"/>
  <c r="J66" i="5"/>
  <c r="J65" i="5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300" i="7"/>
  <c r="J301" i="7"/>
  <c r="J305" i="7"/>
  <c r="J306" i="7"/>
  <c r="J284" i="7"/>
  <c r="J285" i="7"/>
  <c r="J286" i="7"/>
  <c r="J3" i="7"/>
  <c r="J74" i="5"/>
  <c r="J73" i="5"/>
  <c r="J72" i="5"/>
  <c r="J71" i="5"/>
  <c r="J70" i="5"/>
  <c r="J69" i="5"/>
  <c r="J68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</calcChain>
</file>

<file path=xl/sharedStrings.xml><?xml version="1.0" encoding="utf-8"?>
<sst xmlns="http://schemas.openxmlformats.org/spreadsheetml/2006/main" count="2391" uniqueCount="1244">
  <si>
    <t>序号</t>
  </si>
  <si>
    <t>查询结果UUID</t>
  </si>
  <si>
    <t>业务数据维护待维护表ID</t>
  </si>
  <si>
    <t>查询结果字段名</t>
    <phoneticPr fontId="1" type="noConversion"/>
  </si>
  <si>
    <t>查询结果字段中文名</t>
    <phoneticPr fontId="1" type="noConversion"/>
  </si>
  <si>
    <t>查询结果字段对应数据字典，有则填，无则不填</t>
  </si>
  <si>
    <t>排序顺序</t>
  </si>
  <si>
    <t>是否前台显示，Y显示，N不显示</t>
  </si>
  <si>
    <t>真实列名</t>
    <phoneticPr fontId="1" type="noConversion"/>
  </si>
  <si>
    <t>REAL_COLUMN_ID</t>
  </si>
  <si>
    <t>SHOWFLAG</t>
  </si>
  <si>
    <t>ORDER_NO</t>
  </si>
  <si>
    <t>DICTCODE</t>
  </si>
  <si>
    <t>COLUMN_NAME</t>
  </si>
  <si>
    <t>COLUMN_ID</t>
  </si>
  <si>
    <t>MGRTABLE_ID</t>
  </si>
  <si>
    <t>RESULT_ID</t>
  </si>
  <si>
    <t>PROD_NAME</t>
  </si>
  <si>
    <t>PROD_INS_ID</t>
  </si>
  <si>
    <t>PROD_BRAND</t>
  </si>
  <si>
    <t>PROD_STAGE</t>
  </si>
  <si>
    <t>ISSUE_PARTY_ID</t>
  </si>
  <si>
    <t>MANAGER_ID</t>
  </si>
  <si>
    <t>PROFIT_TYPE</t>
  </si>
  <si>
    <t>TERMTYPE</t>
  </si>
  <si>
    <t>INVEST_ARAE</t>
  </si>
  <si>
    <t>OPERATE_MODE</t>
  </si>
  <si>
    <t>CONT_MODE</t>
  </si>
  <si>
    <t>RAISE_CCY</t>
  </si>
  <si>
    <t>CASH_PRIN_CCY</t>
  </si>
  <si>
    <t>CASH_PROF_CCY</t>
  </si>
  <si>
    <t>IN_DEP_NAME</t>
  </si>
  <si>
    <t>IN_DEP_CODE</t>
  </si>
  <si>
    <t>OUT_DEP_CTRY</t>
  </si>
  <si>
    <t>OUT_DEP_NAME</t>
  </si>
  <si>
    <t>TERM_RIGHT_FLAG</t>
  </si>
  <si>
    <t>CUS_REDEEM_FLAG</t>
  </si>
  <si>
    <t>CREDIT_FLAG</t>
  </si>
  <si>
    <t>CREDIT_TYPE</t>
  </si>
  <si>
    <t>CREDIT_MODE</t>
  </si>
  <si>
    <t>REMARK</t>
  </si>
  <si>
    <t>IVSTORIENTATION</t>
  </si>
  <si>
    <t>EXC_FIN_SECTOR</t>
  </si>
  <si>
    <t>IS_SHORT_TERM</t>
  </si>
  <si>
    <t>SHORT_TERM</t>
  </si>
  <si>
    <t>CASH_MANA_CATE</t>
  </si>
  <si>
    <t>TRU_FEE_RATE</t>
  </si>
  <si>
    <t>CREATE_USER</t>
  </si>
  <si>
    <t>CREATE_TIME</t>
  </si>
  <si>
    <t>UPDATE_USER</t>
  </si>
  <si>
    <t>UPDATE_TIME</t>
  </si>
  <si>
    <t>RAISE_TYPE</t>
  </si>
  <si>
    <t>DATA_SOURCE</t>
  </si>
  <si>
    <t>行内标识码</t>
  </si>
  <si>
    <t>产品品牌</t>
  </si>
  <si>
    <t>境内托管机构代码</t>
  </si>
  <si>
    <t>备注</t>
  </si>
  <si>
    <t>创建人</t>
  </si>
  <si>
    <t>创建时间</t>
  </si>
  <si>
    <t>更新人</t>
  </si>
  <si>
    <t>更新时间</t>
  </si>
  <si>
    <t>数据来源</t>
  </si>
  <si>
    <t>SVR_PROD_PROFIT_TYPE</t>
  </si>
  <si>
    <t>SVR_PRODUCT_TERM</t>
  </si>
  <si>
    <t>SVR_SALEAREA_DECLARE</t>
  </si>
  <si>
    <t>SVR_OPERATEMODE_DECLARE</t>
  </si>
  <si>
    <t>SVR_RAISE_TYPE</t>
  </si>
  <si>
    <t>INVEST_TYPE</t>
  </si>
  <si>
    <t>SVR_IN_DEP_NAME</t>
  </si>
  <si>
    <t>SVR_CONTMODE</t>
  </si>
  <si>
    <t>SVR_HAVE_OR_NOT</t>
  </si>
  <si>
    <t>SVR_CREDIT_MODE</t>
  </si>
  <si>
    <t>Y</t>
  </si>
  <si>
    <t>Y</t>
    <phoneticPr fontId="1" type="noConversion"/>
  </si>
  <si>
    <t>f_guid()</t>
    <phoneticPr fontId="1" type="noConversion"/>
  </si>
  <si>
    <t>RAISE_VDATE</t>
  </si>
  <si>
    <t>RAISE_ENDDATE</t>
  </si>
  <si>
    <t>IS_CONSTRACTE</t>
  </si>
  <si>
    <t>OPEN_MODE</t>
  </si>
  <si>
    <t>OPEN_CIRCLE</t>
  </si>
  <si>
    <t>OPEN_CIRCLE_DAYS</t>
  </si>
  <si>
    <t>RULE_COMMENT</t>
  </si>
  <si>
    <t>FIRST_OPEN_DAY</t>
  </si>
  <si>
    <t>HOLIDAY_ON_FLAG</t>
  </si>
  <si>
    <t>AVG_OPEN_COUNT</t>
  </si>
  <si>
    <t>OPEN_BUSS</t>
  </si>
  <si>
    <t>MANAGE_TYPE</t>
  </si>
  <si>
    <t>PROD_ID</t>
  </si>
  <si>
    <t>SVR_OPEN_MODE</t>
  </si>
  <si>
    <t>VDATE</t>
  </si>
  <si>
    <t>MDATE</t>
  </si>
  <si>
    <t>CURRENCY_CHB</t>
  </si>
  <si>
    <t>ASSET_CODE</t>
  </si>
  <si>
    <t>ASSET_TYPE2</t>
  </si>
  <si>
    <t>CCY</t>
  </si>
  <si>
    <t>TRADE_MARKET</t>
  </si>
  <si>
    <t>BANK_NAME</t>
  </si>
  <si>
    <t>AMT</t>
  </si>
  <si>
    <t>ASSET_YIELD</t>
  </si>
  <si>
    <t>BASIS</t>
  </si>
  <si>
    <t>DEPO_TYPE</t>
  </si>
  <si>
    <t>TARGET_TYPE</t>
  </si>
  <si>
    <t>TARGET</t>
  </si>
  <si>
    <t>ASSET_ID</t>
  </si>
  <si>
    <t>ASSET_NAME</t>
  </si>
  <si>
    <t>CHB_SECTYPE</t>
  </si>
  <si>
    <t>ISSUE_MODE</t>
  </si>
  <si>
    <t>SEC_MAIN_GRADE</t>
  </si>
  <si>
    <t>PARTY_TYPE1</t>
  </si>
  <si>
    <t>PARTY_TYPE3</t>
  </si>
  <si>
    <t>PARTY_TYPE2</t>
  </si>
  <si>
    <t>INDUSTRY_LEVEL2</t>
  </si>
  <si>
    <t>REGIST_ORG</t>
  </si>
  <si>
    <t>REGISTORG_COMMENT</t>
  </si>
  <si>
    <t>RIVAL_PARTY</t>
  </si>
  <si>
    <t>RIVAL_PARTY_TYPE</t>
  </si>
  <si>
    <t>TARGET_TYPE1</t>
  </si>
  <si>
    <t>TARGET_AMT</t>
  </si>
  <si>
    <t>PRIN_BASEAMT</t>
  </si>
  <si>
    <t>IS_RESALE</t>
  </si>
  <si>
    <t>FMDATE</t>
  </si>
  <si>
    <t>RATE_FLAG</t>
  </si>
  <si>
    <t>COUPON_SPECIES</t>
  </si>
  <si>
    <t>INTEREST_RULE_FLAG</t>
  </si>
  <si>
    <t>INTPAY_CYCLE</t>
  </si>
  <si>
    <t>INTPAY_RULE</t>
  </si>
  <si>
    <t>REPAY_CMT</t>
  </si>
  <si>
    <t>BASIS_TYPE</t>
  </si>
  <si>
    <t>FLOAT_FACTOR_FLAG</t>
  </si>
  <si>
    <t>FLOAT_FACTOR</t>
  </si>
  <si>
    <t>SPREAD_RATE</t>
  </si>
  <si>
    <t>STRUCT_GRADE</t>
  </si>
  <si>
    <t>REPAYMENT_TYPE</t>
  </si>
  <si>
    <t>PERIOD_REPAYMENT_FLAG</t>
  </si>
  <si>
    <t>BASIC_ASSET_TYPE</t>
  </si>
  <si>
    <t>EXCESS_PROFIT_RATE</t>
  </si>
  <si>
    <t>FINANCIE</t>
  </si>
  <si>
    <t>FCR_GRADE_IN</t>
  </si>
  <si>
    <t>FCR_GRADE_OUT</t>
  </si>
  <si>
    <t>FINANCIER_TYPE1</t>
  </si>
  <si>
    <t>FINANCIER_TYPE2</t>
  </si>
  <si>
    <t>FINANCIER_TYPE3</t>
  </si>
  <si>
    <t>FINANCE_PROJ</t>
  </si>
  <si>
    <t>INDUSTRY_LEVEL2_TYPE</t>
  </si>
  <si>
    <t>PRO_INDUSTRY_LEVEL2</t>
  </si>
  <si>
    <t>INDUSTRY_FLAG</t>
  </si>
  <si>
    <t>MONIT_TYPE</t>
  </si>
  <si>
    <t>MON_TYPE_COMM</t>
  </si>
  <si>
    <t>GUA_TYPE</t>
  </si>
  <si>
    <t>GUA_TYPE_REMARK</t>
  </si>
  <si>
    <t>PLEDGE_TYPE</t>
  </si>
  <si>
    <t>PLEDGE_VALUE</t>
  </si>
  <si>
    <t>NATURE_GUARANTEE</t>
  </si>
  <si>
    <t>RELATION_FINAN</t>
  </si>
  <si>
    <t>FINANCIER_GRADE</t>
  </si>
  <si>
    <t>IN_GRADE</t>
  </si>
  <si>
    <t>OUT_GRADE</t>
  </si>
  <si>
    <t>CONTAIN_TYPE</t>
  </si>
  <si>
    <t>EXERCISE_TYPE</t>
  </si>
  <si>
    <t>EXERCISE_DATE</t>
  </si>
  <si>
    <t>FIRST_EXERCISE_DATE</t>
  </si>
  <si>
    <t>EXERCISE_PERIOD</t>
  </si>
  <si>
    <t>EXERCISE_PRICE</t>
  </si>
  <si>
    <t>PERPETUAL_CLAUSE_TYPE</t>
  </si>
  <si>
    <t>DEFERRED_INTEREST_TYPE</t>
  </si>
  <si>
    <t>DEFERRED_INTEREST_INT</t>
  </si>
  <si>
    <t>FIRST_REPRCE_DATE</t>
  </si>
  <si>
    <t>REPRCE_CYCLE</t>
  </si>
  <si>
    <t>PART_REDEM_FLAG</t>
  </si>
  <si>
    <t>PART_REDEM_RATE</t>
  </si>
  <si>
    <t>CHOSE</t>
  </si>
  <si>
    <t>CONDITION_CMM</t>
  </si>
  <si>
    <t>FIN_AREA</t>
  </si>
  <si>
    <t>CREDIT_ORG_CODE</t>
  </si>
  <si>
    <t>CREDIT_ORG_NAME</t>
  </si>
  <si>
    <t>TOTAL_FEE_RATE</t>
  </si>
  <si>
    <t>FIN_ORG_CODE</t>
  </si>
  <si>
    <t>IS_RIGHT</t>
  </si>
  <si>
    <t>NOTSTAND_SEC_NUM</t>
  </si>
  <si>
    <t>REMAIN_TERM</t>
  </si>
  <si>
    <t>MAX_REMAIN_TERM</t>
  </si>
  <si>
    <t>MIN_REMAIN_TERM</t>
  </si>
  <si>
    <t>INDUSTRY_SHARES2</t>
  </si>
  <si>
    <t>INVEST_STAGE</t>
  </si>
  <si>
    <t>EQUITY_QUIT</t>
  </si>
  <si>
    <t>SHARES_TYPE1</t>
  </si>
  <si>
    <t>SHARES_TYPE2</t>
  </si>
  <si>
    <t>SHARES_TYPE3</t>
  </si>
  <si>
    <t>IS_PLEDGE</t>
  </si>
  <si>
    <t>NOM_CAPI</t>
  </si>
  <si>
    <t>TARGET_TYPE3</t>
  </si>
  <si>
    <t>HOLD_PURPOSE</t>
  </si>
  <si>
    <t>ISSUE_PARTY_NAME</t>
  </si>
  <si>
    <t>TERM_MONTH</t>
  </si>
  <si>
    <t>SEC_CREDIT_GRADE_TYPE</t>
  </si>
  <si>
    <t>SPECIAL_CMT</t>
  </si>
  <si>
    <t>COUNTRY_AREA</t>
  </si>
  <si>
    <t>CONTRACT_NAME</t>
  </si>
  <si>
    <t>INCOME_RATIO</t>
  </si>
  <si>
    <t>DER_INSTR_RATIO</t>
  </si>
  <si>
    <t>DER_INSTR_INV_TYPE</t>
  </si>
  <si>
    <t>DER_INSTR_TARGET</t>
  </si>
  <si>
    <t>ACCT_MODE</t>
  </si>
  <si>
    <t>SPECIAL_CMT1</t>
  </si>
  <si>
    <t>MAX_YIELD</t>
  </si>
  <si>
    <t>MIN_YIELD</t>
  </si>
  <si>
    <t>BASIC_PRICE</t>
  </si>
  <si>
    <t>REG_DATE_PRICE</t>
  </si>
  <si>
    <t>TRADE_FEE</t>
  </si>
  <si>
    <t>FINANCIAL_COMISSUE</t>
  </si>
  <si>
    <t>PARTY_CODE</t>
  </si>
  <si>
    <t>CHECK_CODE</t>
  </si>
  <si>
    <t>TRUSTEE_ID</t>
  </si>
  <si>
    <t>TRU_ACT_TYPE</t>
  </si>
  <si>
    <t>CAP_USE_INDU_LEVEL2</t>
  </si>
  <si>
    <t>PLAN_SDATE</t>
  </si>
  <si>
    <t>PLAN_EDATE</t>
  </si>
  <si>
    <t>PRO_PROPERTY</t>
  </si>
  <si>
    <t>MAX_RATE</t>
  </si>
  <si>
    <t>MIN_RATE</t>
  </si>
  <si>
    <t>BUY_STRUCT</t>
  </si>
  <si>
    <t>MGR_FEE_RATE</t>
  </si>
  <si>
    <t>TRADE_FEE_RATE</t>
  </si>
  <si>
    <t>AGENCY_FEE_RATE</t>
  </si>
  <si>
    <t>OTHER_FEE_RATE</t>
  </si>
  <si>
    <t>TERM_DATE</t>
  </si>
  <si>
    <t>ASSET_VALUE</t>
  </si>
  <si>
    <t>REGIST_ORG1</t>
  </si>
  <si>
    <t>IS_GOVERN_FUND</t>
  </si>
  <si>
    <t>GOVERN_INVEST_FUND</t>
  </si>
  <si>
    <t>FUND_ENPE_NAME</t>
  </si>
  <si>
    <t>MNG_ORG_NAME</t>
  </si>
  <si>
    <t>TRU_ORG_NAME</t>
  </si>
  <si>
    <t>FUND_INVEST_ASSET</t>
  </si>
  <si>
    <t>TRUSTEE</t>
  </si>
  <si>
    <t>IN_ASSET_TYPE_CMM</t>
  </si>
  <si>
    <t>DEPT_EQUITY</t>
  </si>
  <si>
    <t>资金存入银行</t>
  </si>
  <si>
    <t>存款类型</t>
  </si>
  <si>
    <t>结构性存款挂钩标的</t>
  </si>
  <si>
    <t>登记托管机构说明</t>
  </si>
  <si>
    <t>对手方类型</t>
  </si>
  <si>
    <t>回购标的金额</t>
  </si>
  <si>
    <t>份额面值</t>
  </si>
  <si>
    <t>法定到期日</t>
  </si>
  <si>
    <t>计息类型</t>
  </si>
  <si>
    <t>规则付息标识</t>
  </si>
  <si>
    <t>付息频率（个月/次）</t>
  </si>
  <si>
    <t>利息分布方式</t>
  </si>
  <si>
    <t>是否有浮动因子</t>
  </si>
  <si>
    <t>结构档次</t>
  </si>
  <si>
    <t>还本方式</t>
  </si>
  <si>
    <t>分期还本条款标识</t>
  </si>
  <si>
    <t>基础资产类型</t>
  </si>
  <si>
    <t>超额收益分配比例%</t>
  </si>
  <si>
    <t>重点监控行业和领域类别说明</t>
  </si>
  <si>
    <t>抵质押物类型</t>
  </si>
  <si>
    <t>抵质押物价值（元）</t>
  </si>
  <si>
    <t>担保性质</t>
  </si>
  <si>
    <t>担保人与融资人关系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</si>
  <si>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</si>
  <si>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</si>
  <si>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</si>
  <si>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</si>
  <si>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</si>
  <si>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</si>
  <si>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</si>
  <si>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</si>
  <si>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</si>
  <si>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</si>
  <si>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</si>
  <si>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</si>
  <si>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增信机构代码</t>
  </si>
  <si>
    <t>增信机构名称</t>
  </si>
  <si>
    <t>股权退出安排</t>
  </si>
  <si>
    <t>担保情况说明</t>
  </si>
  <si>
    <t>挂钩标的资产基准价格</t>
  </si>
  <si>
    <t>是否由金融资产投资公司发行</t>
  </si>
  <si>
    <t>资管计划登记编码</t>
  </si>
  <si>
    <t>托管人</t>
  </si>
  <si>
    <t>资金运用方式</t>
  </si>
  <si>
    <t>期限（天）</t>
  </si>
  <si>
    <t>基金公司名称</t>
  </si>
  <si>
    <t>受托人</t>
  </si>
  <si>
    <t>行内资产类别说明</t>
  </si>
  <si>
    <t>是否为债转股</t>
  </si>
  <si>
    <t>SVR_TRADE_MARKET</t>
  </si>
  <si>
    <t>SVR_BASIS</t>
  </si>
  <si>
    <t>SVR_DEPO_TYPE</t>
  </si>
  <si>
    <t>SVR_TARGET_TYPE</t>
  </si>
  <si>
    <t>SVR_SEC_DETAIL_TYPE</t>
  </si>
  <si>
    <t>SVR_ISSUE_MODE_FUND</t>
  </si>
  <si>
    <t>SVR_MAIN_GRADE</t>
  </si>
  <si>
    <t>SVR_PARTY_TYPE1</t>
  </si>
  <si>
    <t>SVR_PARTY_TYPE3</t>
  </si>
  <si>
    <t>SVR_PARTY_TYPE2</t>
  </si>
  <si>
    <t>INSTITUTION_INDUSTRY_SECOND_LEVEL</t>
  </si>
  <si>
    <t>SVR_REGIST_ORG</t>
  </si>
  <si>
    <t>SVR_RIVAL_PARTY_TYPE</t>
  </si>
  <si>
    <t>SVR_TARGET_TYPE2</t>
  </si>
  <si>
    <t>SVR_PROFIT_TYPE</t>
  </si>
  <si>
    <t>SVR_YES_OR_NO</t>
  </si>
  <si>
    <t>SVR_COUPON_SPECIES</t>
  </si>
  <si>
    <t>SVR_INTPAY_RULE</t>
  </si>
  <si>
    <t>SVR_BASIS_TYPE</t>
  </si>
  <si>
    <t>SVR_STRUCT_GRADE</t>
  </si>
  <si>
    <t>SVR_REPAYMENT_TYPE</t>
  </si>
  <si>
    <t>SVR_PERIOD_REPAYMENT_FLAG</t>
  </si>
  <si>
    <t>SVR_MOINT_TYPE</t>
  </si>
  <si>
    <t>SVR_GUA_TYPE</t>
  </si>
  <si>
    <t>SVR_PLEDGE_TYPE</t>
  </si>
  <si>
    <t>SVR_NATURE_GUARANTEE</t>
  </si>
  <si>
    <t>SVR_RELATION_FINAN</t>
  </si>
  <si>
    <t>SVR_CONTAIN_TYPE</t>
  </si>
  <si>
    <t>SVR_EXERCISE_TYPE</t>
  </si>
  <si>
    <t>SVR_PERPETUAL_CLAUSE_TYPE</t>
  </si>
  <si>
    <t>SVR_DEFERRED_INTEREST_TYPE</t>
  </si>
  <si>
    <t>ADMINISTRATIVE_TYPE2</t>
  </si>
  <si>
    <t>SVR_ASSET_TYPE_BILL_LETTERCREDIT</t>
  </si>
  <si>
    <t>SVR_SHARES_TYPE</t>
  </si>
  <si>
    <t>SVR_INVEST_STAGE</t>
  </si>
  <si>
    <t>SVR_HOLD_PURPOSE</t>
  </si>
  <si>
    <t>SVR_COUNTRY_AREA</t>
  </si>
  <si>
    <t>SVR_TRU_ACT_TYPE</t>
  </si>
  <si>
    <t>SVR_PRO_PROPERTY</t>
  </si>
  <si>
    <t>SVR_BUY_STRUCT</t>
  </si>
  <si>
    <t>SVR_MANAGE_STYLE</t>
  </si>
  <si>
    <t>SVR_REGIST_ORG2</t>
  </si>
  <si>
    <t>SVR_GOV_INVEST_DIRECT</t>
  </si>
  <si>
    <t>SVR_BANK_IN_ASSET_TYPE</t>
  </si>
  <si>
    <t>H</t>
  </si>
  <si>
    <t>*行内资产/负债编码</t>
  </si>
  <si>
    <t>*发行机构代码</t>
  </si>
  <si>
    <t>*资产/负债类别</t>
  </si>
  <si>
    <t>SVR_ASSET_TYPE_SECOND_LEVEL</t>
  </si>
  <si>
    <t>*交易流通场所</t>
  </si>
  <si>
    <t>*币种</t>
  </si>
  <si>
    <t>BANK_NAME01</t>
  </si>
  <si>
    <t>AMT01</t>
  </si>
  <si>
    <t>*存款金额</t>
  </si>
  <si>
    <t>VDATE01</t>
  </si>
  <si>
    <t>*起息日</t>
  </si>
  <si>
    <t>MDATE01</t>
  </si>
  <si>
    <t>*到期日</t>
  </si>
  <si>
    <t>ASSET_YIELD01</t>
  </si>
  <si>
    <t>*年利率%</t>
  </si>
  <si>
    <t>BASIS01</t>
  </si>
  <si>
    <t>*计息基础</t>
  </si>
  <si>
    <t>DEPO_TYPE01</t>
  </si>
  <si>
    <t>结构性存款挂钩标的类别</t>
  </si>
  <si>
    <t>TARGET01</t>
  </si>
  <si>
    <t>ASSET_ID03</t>
  </si>
  <si>
    <t>*代码</t>
  </si>
  <si>
    <t>ASSET_NAME03</t>
  </si>
  <si>
    <t>*名称</t>
  </si>
  <si>
    <t>CHB_SECTYPE03</t>
  </si>
  <si>
    <t>具体类别</t>
  </si>
  <si>
    <t>ISSUE_MODE03</t>
  </si>
  <si>
    <t>*发行方式</t>
  </si>
  <si>
    <t>SEC_MAIN_GRADE03</t>
  </si>
  <si>
    <t>*主体评级</t>
  </si>
  <si>
    <t>PARTY_TYPE103</t>
  </si>
  <si>
    <t>*发行机构类型（按规模划分）</t>
  </si>
  <si>
    <t>PARTY_TYPE303</t>
  </si>
  <si>
    <t>*发行机构类型（按技术领域划分）</t>
  </si>
  <si>
    <t>PARTY_TYPE203</t>
  </si>
  <si>
    <t>*发行机构类型（按经济类型划分）</t>
  </si>
  <si>
    <t>INDUSTRY_LEVEL203</t>
  </si>
  <si>
    <t>*发行机构所属行业</t>
  </si>
  <si>
    <t>*登记托管机构</t>
  </si>
  <si>
    <t>REGISTORG_COMMENT03</t>
  </si>
  <si>
    <t>资产收益率%</t>
  </si>
  <si>
    <t>担保方式</t>
  </si>
  <si>
    <t>VDATE02</t>
  </si>
  <si>
    <t>MDATE02</t>
  </si>
  <si>
    <t>RIVAL_PARTY02</t>
  </si>
  <si>
    <t>*对手方</t>
  </si>
  <si>
    <t>RIVAL_PARTY_TYPE02</t>
  </si>
  <si>
    <t>ASSET_YIELD02</t>
  </si>
  <si>
    <t>BASIS02</t>
  </si>
  <si>
    <t>TARGET_TYPE102</t>
  </si>
  <si>
    <t>回购标的类别</t>
  </si>
  <si>
    <t>TARGET_AMT02</t>
  </si>
  <si>
    <t>PROFIT_TYPE04</t>
  </si>
  <si>
    <t>收/受益权类型</t>
  </si>
  <si>
    <t>IS_RESALE04</t>
  </si>
  <si>
    <t>*是否属于买入返售</t>
  </si>
  <si>
    <t>ASSET_NAME04</t>
  </si>
  <si>
    <t>AMT04</t>
  </si>
  <si>
    <t>*金额</t>
  </si>
  <si>
    <t>PRIN_BASEAMT04</t>
  </si>
  <si>
    <t>VDATE04</t>
  </si>
  <si>
    <t>MDATE04</t>
  </si>
  <si>
    <t>FMDATE04</t>
  </si>
  <si>
    <t>RATE_FLAG04</t>
  </si>
  <si>
    <t>*是否有预期收益率</t>
  </si>
  <si>
    <t>ASSET_YIELD04</t>
  </si>
  <si>
    <t>项目收益率(利率)%</t>
  </si>
  <si>
    <t>COUPON_SPECIES04</t>
  </si>
  <si>
    <t>INTEREST_RULE_FLAG04</t>
  </si>
  <si>
    <t>INTPAY_CYCLE04</t>
  </si>
  <si>
    <t>*付息频率（个月/次）</t>
  </si>
  <si>
    <t>INTPAY_RULE04</t>
  </si>
  <si>
    <t>REPAY_CMT04</t>
  </si>
  <si>
    <t>*还本付息情况说明</t>
  </si>
  <si>
    <t>BASIS04</t>
  </si>
  <si>
    <t>BASIS_TYPE04</t>
  </si>
  <si>
    <t>基准利率种类</t>
  </si>
  <si>
    <t>FLOAT_FACTOR_FLAG04</t>
  </si>
  <si>
    <t>FLOAT_FACTOR04</t>
  </si>
  <si>
    <t>浮动因子（%）</t>
  </si>
  <si>
    <t>SPREAD_RATE04</t>
  </si>
  <si>
    <t>利差(BP)</t>
  </si>
  <si>
    <t>STRUCT_GRADE04</t>
  </si>
  <si>
    <t>REPAYMENT_TYPE04</t>
  </si>
  <si>
    <t>PERIOD_REPAYMENT_FLAG04</t>
  </si>
  <si>
    <t>BASIC_ASSET_TYPE04</t>
  </si>
  <si>
    <t>EXCESS_PROFIT_RATE04</t>
  </si>
  <si>
    <t>FINANCIE04</t>
  </si>
  <si>
    <t>*融资人</t>
  </si>
  <si>
    <t>FCR_GRADE_IN04</t>
  </si>
  <si>
    <t>*融资人内部信用评级</t>
  </si>
  <si>
    <t>FCR_GRADE_OUT04</t>
  </si>
  <si>
    <t>*外部评级机构名称及对融资人评级结果</t>
  </si>
  <si>
    <t>FINANCIER_TYPE104</t>
  </si>
  <si>
    <t>*融资人类型（按规模划分）</t>
  </si>
  <si>
    <t>FINANCIER_TYPE204</t>
  </si>
  <si>
    <t>*融资人类型（按技术领域划分）</t>
  </si>
  <si>
    <t>FINANCIER_TYPE304</t>
  </si>
  <si>
    <t>*融资人类型（按经济类型划分）</t>
  </si>
  <si>
    <t>FINANCE_PROJ04</t>
  </si>
  <si>
    <t>*融资项目</t>
  </si>
  <si>
    <t>INDUSTRY_LEVEL2_TYPE04</t>
  </si>
  <si>
    <t>*融资人所属行业</t>
  </si>
  <si>
    <t>INDUSTRY_FLAG04</t>
  </si>
  <si>
    <t>*项目是否属于重点监控行业和领域</t>
  </si>
  <si>
    <t>MONIT_TYPE04</t>
  </si>
  <si>
    <t>重点监控行业和领域类别</t>
  </si>
  <si>
    <t>MON_TYPE_COMM04</t>
  </si>
  <si>
    <t>GUA_TYPE04</t>
  </si>
  <si>
    <t>GUA_TYPE_REMARK04</t>
  </si>
  <si>
    <t>PLEDGE_TYPE04</t>
  </si>
  <si>
    <t>PLEDGE_VALUE04</t>
  </si>
  <si>
    <t>NATURE_GUARANTEE04</t>
  </si>
  <si>
    <t>RELATION_FINAN04</t>
  </si>
  <si>
    <t>FINANCIER_GRADE04</t>
  </si>
  <si>
    <t>*融资人主体评级</t>
  </si>
  <si>
    <t>IN_GRADE04</t>
  </si>
  <si>
    <t>*资产内部评级</t>
  </si>
  <si>
    <t>OUT_GRADE04</t>
  </si>
  <si>
    <t>*资产外部评级</t>
  </si>
  <si>
    <t>CONTAIN_TYPE04</t>
  </si>
  <si>
    <t>EXERCISE_TYPE04</t>
  </si>
  <si>
    <t>EXERCISE_DATE04</t>
  </si>
  <si>
    <t>FIRST_EXERCISE_DATE04</t>
  </si>
  <si>
    <t>EXERCISE_PERIOD04</t>
  </si>
  <si>
    <t>EXERCISE_PRICE04</t>
  </si>
  <si>
    <t>PERPETUAL_CLAUSE_TYPE04</t>
  </si>
  <si>
    <t>DEFERRED_INTEREST_TYPE04</t>
  </si>
  <si>
    <t>DEFERRED_INTEREST_INT04</t>
  </si>
  <si>
    <t>FIRST_REPRCE_DATE04</t>
  </si>
  <si>
    <t>REPRCE_CYCLE04</t>
  </si>
  <si>
    <t>PART_REDEM_FLAG04</t>
  </si>
  <si>
    <t>PART_REDEM_RATE04</t>
  </si>
  <si>
    <t>CHOSE04</t>
  </si>
  <si>
    <t>*选择权</t>
  </si>
  <si>
    <t>CONDITION_CMM04</t>
  </si>
  <si>
    <t>*行权条件说明</t>
  </si>
  <si>
    <t>FIN_AREA04</t>
  </si>
  <si>
    <t>*融资人所属地区</t>
  </si>
  <si>
    <t>FIN_ORG_CODE04</t>
  </si>
  <si>
    <t>*融资人组织机构（社会信用）代码</t>
  </si>
  <si>
    <t>CREDIT_ORG_CODE04</t>
  </si>
  <si>
    <t>CREDIT_ORG_NAME04</t>
  </si>
  <si>
    <t>TOTAL_FEE_RATE04</t>
  </si>
  <si>
    <t>*融资总费率%</t>
  </si>
  <si>
    <t>PRO_INDUSTRY_LEVEL204</t>
  </si>
  <si>
    <t>*融资项目所属行业</t>
  </si>
  <si>
    <t>IS_RIGHT05</t>
  </si>
  <si>
    <t>*是否为收/受益权</t>
  </si>
  <si>
    <t>IS_RESALE05</t>
  </si>
  <si>
    <t>NOTSTAND_SEC_TYPE05</t>
  </si>
  <si>
    <t>*类型</t>
  </si>
  <si>
    <t>NOTSTAND_SEC_TYPE</t>
  </si>
  <si>
    <t>NOTSTAND_SEC_NUM05</t>
  </si>
  <si>
    <t>*数量</t>
  </si>
  <si>
    <t>AMT05</t>
  </si>
  <si>
    <t>*合计金额</t>
  </si>
  <si>
    <t>REMAIN_TERM05</t>
  </si>
  <si>
    <t>*加权剩余期限（天）</t>
  </si>
  <si>
    <t>MAX_REMAIN_TERM05</t>
  </si>
  <si>
    <t>*最长剩余期限（天）</t>
  </si>
  <si>
    <t>MIN_REMAIN_TERM05</t>
  </si>
  <si>
    <t>*最短剩余期限（天）</t>
  </si>
  <si>
    <t>VDATE05</t>
  </si>
  <si>
    <t>MDATE05</t>
  </si>
  <si>
    <t>INDUSTRY_SHARES205</t>
  </si>
  <si>
    <t>*行业</t>
  </si>
  <si>
    <t>ASSET_YIELD05</t>
  </si>
  <si>
    <t>*贴现利率（%）</t>
  </si>
  <si>
    <t>ASSET_ID06</t>
  </si>
  <si>
    <t>股票代码</t>
  </si>
  <si>
    <t>ASSET_NAME06</t>
  </si>
  <si>
    <t>*股票/企业名称</t>
  </si>
  <si>
    <t>SHARES_TYPE06</t>
  </si>
  <si>
    <t>股票类型</t>
  </si>
  <si>
    <t>SHARES_TYPE</t>
  </si>
  <si>
    <t>INDUSTRY_SHARES206</t>
  </si>
  <si>
    <t>INVEST_STAGE06</t>
  </si>
  <si>
    <t>投资阶段</t>
  </si>
  <si>
    <t>EQUITY_QUIT06</t>
  </si>
  <si>
    <t>SHARES_TYPE106</t>
  </si>
  <si>
    <t>*企业类型（按规模划分）</t>
  </si>
  <si>
    <t>SHARES_TYPE306</t>
  </si>
  <si>
    <t>*企业类型（按技术领域划分）</t>
  </si>
  <si>
    <t>SHARES_TYPE206</t>
  </si>
  <si>
    <t>*企业类型（按经济类型划分）</t>
  </si>
  <si>
    <t>IS_PLEDGE06</t>
  </si>
  <si>
    <t>*是否为质押融资</t>
  </si>
  <si>
    <t>DEPT_EQUITY06</t>
  </si>
  <si>
    <t>ASSET_NAME07</t>
  </si>
  <si>
    <t>NOM_CAPI07</t>
  </si>
  <si>
    <t>*名义本金</t>
  </si>
  <si>
    <t>TARGET_TYPE307</t>
  </si>
  <si>
    <t>*标的类别</t>
  </si>
  <si>
    <t>HOLD_PURPOSE07</t>
  </si>
  <si>
    <t>COUNTRY_AREA08</t>
  </si>
  <si>
    <t>*所属国家或地区</t>
  </si>
  <si>
    <t>ASSET_NAME08</t>
  </si>
  <si>
    <t>*债券名称</t>
  </si>
  <si>
    <t>ASSET_ID08</t>
  </si>
  <si>
    <t>*债券代码</t>
  </si>
  <si>
    <t>ISSUE_PARTY_NAME08</t>
  </si>
  <si>
    <t>*发行机构</t>
  </si>
  <si>
    <t>INDUSTRY_LEVEL208</t>
  </si>
  <si>
    <t>VDATE08</t>
  </si>
  <si>
    <t>MDATE08</t>
  </si>
  <si>
    <t>TERM_MONTH08</t>
  </si>
  <si>
    <t>*期限（月）</t>
  </si>
  <si>
    <t>PARTY_GRADE08</t>
  </si>
  <si>
    <t>*发行机构主体信用评级</t>
  </si>
  <si>
    <t>PARTY_GRADE</t>
  </si>
  <si>
    <t>SEC_CREDIT_GRADE_TYPE08</t>
  </si>
  <si>
    <t>*债券信用评级</t>
  </si>
  <si>
    <t>ASSET_YIELD08</t>
  </si>
  <si>
    <t>*票面利率%</t>
  </si>
  <si>
    <t>INTPAY_CYCLE08</t>
  </si>
  <si>
    <t>GUA_TYPE_REMARK08</t>
  </si>
  <si>
    <t>*担保情况说明</t>
  </si>
  <si>
    <t>SPECIAL_CMT08</t>
  </si>
  <si>
    <t>*是否含权等特殊条款情况说明</t>
  </si>
  <si>
    <t>COUNTRY_AREA09</t>
  </si>
  <si>
    <t>VDATE09</t>
  </si>
  <si>
    <t>MDATE09</t>
  </si>
  <si>
    <t>RIVAL_PARTY09</t>
  </si>
  <si>
    <t>ASSET_YIELD09</t>
  </si>
  <si>
    <t>BASIS09</t>
  </si>
  <si>
    <t>COUNTRY_AREA10</t>
  </si>
  <si>
    <t>ASSET_ID10</t>
  </si>
  <si>
    <t>*股票/基金代码</t>
  </si>
  <si>
    <t>ASSET_NAME10</t>
  </si>
  <si>
    <t>*股票/基金名称</t>
  </si>
  <si>
    <t>ISSUE_PARTY_NAME10</t>
  </si>
  <si>
    <t>INDUSTRY_SHARES210</t>
  </si>
  <si>
    <t>COUNTRY_AREA11</t>
  </si>
  <si>
    <t>CONTRACT_NAME11</t>
  </si>
  <si>
    <t>*合约名称</t>
  </si>
  <si>
    <t>VDATE11</t>
  </si>
  <si>
    <t>MDATE11</t>
  </si>
  <si>
    <t>ASSET_YIELD11</t>
  </si>
  <si>
    <t>票面利率%</t>
  </si>
  <si>
    <t>INTPAY_CYCLE11</t>
  </si>
  <si>
    <t>INCOME_RATIO11</t>
  </si>
  <si>
    <t>*固定收益部分所占比例(%)</t>
  </si>
  <si>
    <t>DER_INSTR_RATIO11</t>
  </si>
  <si>
    <t>*衍生金融工具所占比例(%)</t>
  </si>
  <si>
    <t>DER_INSTR_INV_TYPE11</t>
  </si>
  <si>
    <t>*衍生金融工具具体投资方式</t>
  </si>
  <si>
    <t>DER_INSTR_TARGET11</t>
  </si>
  <si>
    <t>*衍生金融工具挂钩的标的资产</t>
  </si>
  <si>
    <t>ACCT_MODE11</t>
  </si>
  <si>
    <t>*利息结算方式</t>
  </si>
  <si>
    <t>SPECIAL_CMT111</t>
  </si>
  <si>
    <t>*含权情况说明</t>
  </si>
  <si>
    <t>MAX_YIELD11</t>
  </si>
  <si>
    <t>*结构性票据最高收益率%</t>
  </si>
  <si>
    <t>MIN_YIELD11</t>
  </si>
  <si>
    <t>结构性票据最低收益率%</t>
  </si>
  <si>
    <t>BASIC_PRICE11</t>
  </si>
  <si>
    <t>REG_DATE_PRICE11</t>
  </si>
  <si>
    <t>*挂钩标的资产登记日价格</t>
  </si>
  <si>
    <t>TRADE_FEE11</t>
  </si>
  <si>
    <t>*交易费</t>
  </si>
  <si>
    <t>ASSET_NAME12</t>
  </si>
  <si>
    <t>*资管计划名称</t>
  </si>
  <si>
    <t>FINANCIAL_COMISSUE12</t>
  </si>
  <si>
    <t>PARTY_CODE12</t>
  </si>
  <si>
    <t>*资管计划发起人机构编码</t>
  </si>
  <si>
    <t>CHECK_CODE12</t>
  </si>
  <si>
    <t>MANAGER_ID12</t>
  </si>
  <si>
    <t>*管理人</t>
  </si>
  <si>
    <t>TRUSTEE_ID12</t>
  </si>
  <si>
    <t>*托管人</t>
  </si>
  <si>
    <t>AMT12</t>
  </si>
  <si>
    <t>TRU_ACT_TYPE12</t>
  </si>
  <si>
    <t>*资金实际投向</t>
  </si>
  <si>
    <t>INVEST_TYPE12</t>
  </si>
  <si>
    <t>*资金运用方式</t>
  </si>
  <si>
    <t>CAP_USE_INDU_LEVEL212</t>
  </si>
  <si>
    <t>*资金运用行业</t>
  </si>
  <si>
    <t>PLAN_SDATE12</t>
  </si>
  <si>
    <t>*资管计划成立日期</t>
  </si>
  <si>
    <t>PLAN_EDATE12</t>
  </si>
  <si>
    <t>*资管计划终止日期</t>
  </si>
  <si>
    <t>PRO_PROPERTY12</t>
  </si>
  <si>
    <t>*资管计划属性</t>
  </si>
  <si>
    <t>RATE_FLAG12</t>
  </si>
  <si>
    <t>MAX_RATE12</t>
  </si>
  <si>
    <t>预期最高收益率%</t>
  </si>
  <si>
    <t>MIN_RATE12</t>
  </si>
  <si>
    <t>预期最低收益率%</t>
  </si>
  <si>
    <t>BUY_STRUCT12</t>
  </si>
  <si>
    <t>*购买结构</t>
  </si>
  <si>
    <t>MANAGE_TYPE12</t>
  </si>
  <si>
    <t>*管理方式</t>
  </si>
  <si>
    <t>MGR_FEE_RATE12</t>
  </si>
  <si>
    <t>*管理费率%</t>
  </si>
  <si>
    <t>TRU_FEE_RATE12</t>
  </si>
  <si>
    <t>*托管费率%</t>
  </si>
  <si>
    <t>TRADE_FEE_RATE12</t>
  </si>
  <si>
    <t>*交易相关合计费率%</t>
  </si>
  <si>
    <t>AGENCY_FEE_RATE12</t>
  </si>
  <si>
    <t>*中介服务机构合计费率%</t>
  </si>
  <si>
    <t>OTHER_FEE_RATE12</t>
  </si>
  <si>
    <t>*其他合计费率%</t>
  </si>
  <si>
    <t>COUNTRY_AREA13</t>
  </si>
  <si>
    <t>ASSET_NAME13</t>
  </si>
  <si>
    <t>TERM_DATE13</t>
  </si>
  <si>
    <t>ASSET_VALUE13</t>
  </si>
  <si>
    <t>*资产价值</t>
  </si>
  <si>
    <t>ASSET_YIELD13</t>
  </si>
  <si>
    <t>ASSET_NAME14</t>
  </si>
  <si>
    <t>IN_ASSET_TYPE14</t>
  </si>
  <si>
    <t>*行内资产类别</t>
  </si>
  <si>
    <t>IN_ASSET_TYPE</t>
  </si>
  <si>
    <t>IN_ASSET_TYPE_CMM14</t>
  </si>
  <si>
    <t>AMT14</t>
  </si>
  <si>
    <t>VDATE14</t>
  </si>
  <si>
    <t>MDATE14</t>
  </si>
  <si>
    <t>COUNTRY_AREA14</t>
  </si>
  <si>
    <t>RATE_FLAG14</t>
  </si>
  <si>
    <t>ASSET_YIELD14</t>
  </si>
  <si>
    <t>项目收益率（利率）%</t>
  </si>
  <si>
    <t>INTPAY_CYCLE14</t>
  </si>
  <si>
    <t>FINANCIE14</t>
  </si>
  <si>
    <t>FIN_ORG_CODE14</t>
  </si>
  <si>
    <t>FCR_GRADE_OUT14</t>
  </si>
  <si>
    <t>外部评级机构名称及对融资人评级结果</t>
  </si>
  <si>
    <t>FINANCIER_TYPE114</t>
  </si>
  <si>
    <t>FINANCIER_TYPE214</t>
  </si>
  <si>
    <t>FINANCIER_TYPE314</t>
  </si>
  <si>
    <t>FINANCE_PROJ14</t>
  </si>
  <si>
    <t>INDUSTRY_LEVEL2_TYPE14</t>
  </si>
  <si>
    <t>PRO_INDUSTRY_LEVEL214</t>
  </si>
  <si>
    <t>INDUSTRY_FLAG14</t>
  </si>
  <si>
    <t>MONIT_TYPE14</t>
  </si>
  <si>
    <t>MON_TYPE_COMM14</t>
  </si>
  <si>
    <t>OUT_GRADE14</t>
  </si>
  <si>
    <t>对应资产外部评级</t>
  </si>
  <si>
    <t>GUA_TYPE14</t>
  </si>
  <si>
    <t>GUA_TYPE_REMARK14</t>
  </si>
  <si>
    <t>PLEDGE_TYPE14</t>
  </si>
  <si>
    <t>PLEDGE_VALUE14</t>
  </si>
  <si>
    <t>NATURE_GUARANTEE14</t>
  </si>
  <si>
    <t>RELATION_FINAN14</t>
  </si>
  <si>
    <t>DEPT_EQUITY14</t>
  </si>
  <si>
    <t>COUNTRY_AREA18</t>
  </si>
  <si>
    <t>ASSET_NAME18</t>
  </si>
  <si>
    <t>VDATE18</t>
  </si>
  <si>
    <t>MDATE18</t>
  </si>
  <si>
    <t>ASSET_VALUE18</t>
  </si>
  <si>
    <t>ASSET_YIELD18</t>
  </si>
  <si>
    <t>ASSET_ID15</t>
  </si>
  <si>
    <t>*基金代码</t>
  </si>
  <si>
    <t>ASSET_NAME15</t>
  </si>
  <si>
    <t>*基金名称</t>
  </si>
  <si>
    <t>INDUSTRY_SHARES215</t>
  </si>
  <si>
    <t>REGIST_ORG115</t>
  </si>
  <si>
    <t>*登记备案机构</t>
  </si>
  <si>
    <t>IS_GOVERN_FUND15</t>
  </si>
  <si>
    <t>是否属于政府投资基金</t>
  </si>
  <si>
    <t>GOVERN_INVEST_FUND15</t>
  </si>
  <si>
    <t>政府投资基金投向</t>
  </si>
  <si>
    <t>FINANCIAL_COMISSUE15</t>
  </si>
  <si>
    <t>FUND_ENPE_NAME15</t>
  </si>
  <si>
    <t>MNG_ORG_NAME15</t>
  </si>
  <si>
    <t>*基金管理机构名称</t>
  </si>
  <si>
    <t>TRU_ORG_NAME15</t>
  </si>
  <si>
    <t>*基金托管机构名称</t>
  </si>
  <si>
    <t>INVEST_STAGE15</t>
  </si>
  <si>
    <t>SHARES_TYPE115</t>
  </si>
  <si>
    <t>投资企业类型（按规模划分）</t>
  </si>
  <si>
    <t>SHARES_TYPE315</t>
  </si>
  <si>
    <t>投资企业类型（按技术领域划分）</t>
  </si>
  <si>
    <t>SHARES_TYPE215</t>
  </si>
  <si>
    <t>投资企业类型（按经济类型划分）</t>
  </si>
  <si>
    <t>FUND_INVEST_ASSET15</t>
  </si>
  <si>
    <t>*基金投资资产</t>
  </si>
  <si>
    <t>ASSET_NAME16</t>
  </si>
  <si>
    <t>ASSET_ID16</t>
  </si>
  <si>
    <t>TRUSTEE16</t>
  </si>
  <si>
    <t>MANAGER_ID16</t>
  </si>
  <si>
    <t>TRUSTEE_ID16</t>
  </si>
  <si>
    <t>AMT16</t>
  </si>
  <si>
    <t>TRU_ACT_TYPE16</t>
  </si>
  <si>
    <t>INVEST_TYPE16</t>
  </si>
  <si>
    <t>CAP_USE_INDU_LEVEL216</t>
  </si>
  <si>
    <t>PLAN_SDATE16</t>
  </si>
  <si>
    <t>PLAN_EDATE16</t>
  </si>
  <si>
    <t>PRO_PROPERTY16</t>
  </si>
  <si>
    <t>CHB_OUTSOURCE_INVEST_PROPERTY</t>
  </si>
  <si>
    <t>RATE_FLAG16</t>
  </si>
  <si>
    <t>MAX_RATE16</t>
  </si>
  <si>
    <t>预期最高收益率</t>
  </si>
  <si>
    <t>MIN_RATE16</t>
  </si>
  <si>
    <t>预期最低收益率</t>
  </si>
  <si>
    <t>MGR_FEE_RATE16</t>
  </si>
  <si>
    <t>TRU_FEE_RATE16</t>
  </si>
  <si>
    <t>TRADE_FEE_RATE16</t>
  </si>
  <si>
    <t>AGENCY_FEE_RATE16</t>
  </si>
  <si>
    <t>OTHER_FEE_RATE16</t>
  </si>
  <si>
    <t>COUNTRY_AREA17</t>
  </si>
  <si>
    <t>ASSET_NAME17</t>
  </si>
  <si>
    <t>TERM_DATE17</t>
  </si>
  <si>
    <t>DEBT_SCALE17</t>
  </si>
  <si>
    <t>*负债规模</t>
  </si>
  <si>
    <t>DEBT_SCALE</t>
  </si>
  <si>
    <t>ASSET_YIELD17</t>
  </si>
  <si>
    <t>利率%</t>
  </si>
  <si>
    <t>N</t>
  </si>
  <si>
    <t>STATUS</t>
  </si>
  <si>
    <t>委外投资协议名称</t>
  </si>
  <si>
    <t>委外投资协议编号</t>
  </si>
  <si>
    <t>实际管理人</t>
  </si>
  <si>
    <t>委托投资金额</t>
  </si>
  <si>
    <t>资金实际投向</t>
  </si>
  <si>
    <t>资金运用行业</t>
  </si>
  <si>
    <t>投资运作起始日期</t>
  </si>
  <si>
    <t>投资运作终止日期</t>
  </si>
  <si>
    <t>委外投资属性</t>
  </si>
  <si>
    <t>是否有预期收益率</t>
  </si>
  <si>
    <t>管理费率%</t>
  </si>
  <si>
    <t>托管费率%</t>
  </si>
  <si>
    <t>交易相关合计费率%</t>
  </si>
  <si>
    <t>中介服务机构合计费率%</t>
  </si>
  <si>
    <t>其他合计费率%</t>
  </si>
  <si>
    <t>SVR_DATA_SOURCE</t>
    <phoneticPr fontId="1" type="noConversion"/>
  </si>
  <si>
    <t>CHB_PRD_BASEINFO</t>
  </si>
  <si>
    <t>PRODUUID</t>
  </si>
  <si>
    <t>主键</t>
  </si>
  <si>
    <t>FPROD_ID</t>
  </si>
  <si>
    <t>父产品代码</t>
  </si>
  <si>
    <t>数据状态</t>
  </si>
  <si>
    <t>BASIC</t>
  </si>
  <si>
    <t>PRODTYPE</t>
  </si>
  <si>
    <t>SVR_CREDIT_TYPE</t>
  </si>
  <si>
    <t>SVR_REGULAR_OPEN_CYCLE</t>
  </si>
  <si>
    <t>SVR_OPEN_BUSS</t>
  </si>
  <si>
    <t>HIGH_YIELD_ISSUE</t>
  </si>
  <si>
    <t>LOW_YIELD_ISSUE</t>
  </si>
  <si>
    <t>FIDUCIARY_DUTY</t>
  </si>
  <si>
    <t>TRANSFER_TYPE</t>
  </si>
  <si>
    <t>SVR_TRANSFER_TYPE</t>
  </si>
  <si>
    <t>IS_MARKET_FUND</t>
  </si>
  <si>
    <t>CUSTOMER_TYPE</t>
  </si>
  <si>
    <t>TERMINATEDATE</t>
  </si>
  <si>
    <t>提前终止日</t>
  </si>
  <si>
    <t>ISSUING_STATUS</t>
  </si>
  <si>
    <t>CHB_PRD_BASEINFO</t>
    <phoneticPr fontId="1" type="noConversion"/>
  </si>
  <si>
    <t>YIELD_LOW</t>
    <phoneticPr fontId="1" type="noConversion"/>
  </si>
  <si>
    <t>YIELD_HIGH</t>
    <phoneticPr fontId="1" type="noConversion"/>
  </si>
  <si>
    <t>YIELD_REMARK</t>
    <phoneticPr fontId="1" type="noConversion"/>
  </si>
  <si>
    <t>BUSI_ACCT_NO</t>
    <phoneticPr fontId="1" type="noConversion"/>
  </si>
  <si>
    <t>ACCT_NAME</t>
    <phoneticPr fontId="1" type="noConversion"/>
  </si>
  <si>
    <t>OPEN_BUSS_REMARK</t>
    <phoneticPr fontId="1" type="noConversion"/>
  </si>
  <si>
    <t>SVR_PRODTYPE</t>
    <phoneticPr fontId="1" type="noConversion"/>
  </si>
  <si>
    <t>SVR_PROD_BASIS</t>
    <phoneticPr fontId="1" type="noConversion"/>
  </si>
  <si>
    <t>REMARK</t>
    <phoneticPr fontId="1" type="noConversion"/>
  </si>
  <si>
    <t>备注</t>
    <phoneticPr fontId="1" type="noConversion"/>
  </si>
  <si>
    <t>SVR_STATUS</t>
    <phoneticPr fontId="1" type="noConversion"/>
  </si>
  <si>
    <t>SVR_CUSTOMER_TYPE</t>
    <phoneticPr fontId="1" type="noConversion"/>
  </si>
  <si>
    <t>SVR_ISSUING_STATUS</t>
    <phoneticPr fontId="1" type="noConversion"/>
  </si>
  <si>
    <t>SVR_PRO_STYLE</t>
    <phoneticPr fontId="1" type="noConversion"/>
  </si>
  <si>
    <t>SVR_FIDUCIARY_DUTY</t>
    <phoneticPr fontId="1" type="noConversion"/>
  </si>
  <si>
    <t>delete from CHB_INFOMGR_RESULT_CONFIG where  MGRTABLE_ID  IN('CHB_PRD_BASEINFO');</t>
    <phoneticPr fontId="1" type="noConversion"/>
  </si>
  <si>
    <t>PPPFLAG</t>
  </si>
  <si>
    <t>公共PPP</t>
  </si>
  <si>
    <t>PRIVATEFUND_FLAG</t>
  </si>
  <si>
    <t>PRIVATEPRD_FLAG</t>
  </si>
  <si>
    <t>是否投向金融资产投资公司发行的私募资产管理产品</t>
  </si>
  <si>
    <t>BONDTOSTOCK_FLAG</t>
  </si>
  <si>
    <t>是否投向市场化债转股相关产品的部分</t>
  </si>
  <si>
    <t>CHB_ASSET_INFO</t>
  </si>
  <si>
    <t>BLN_AREA</t>
  </si>
  <si>
    <t>INSTIT_SIZE</t>
  </si>
  <si>
    <t>PRIVATE_FLAG</t>
  </si>
  <si>
    <t>ORG_ASSET_TYPE1</t>
  </si>
  <si>
    <t>上游资产一级分类</t>
  </si>
  <si>
    <t>ORG_ASSET_TYPE2</t>
  </si>
  <si>
    <t>上游资产二级分类</t>
  </si>
  <si>
    <t>ORG_ASSET_TYPE3</t>
  </si>
  <si>
    <t>上游资产三级分类</t>
  </si>
  <si>
    <t>PBC_ASSET_TYPE1</t>
  </si>
  <si>
    <t>人行资产一级分类</t>
  </si>
  <si>
    <t>SVR_PBC_ASSET_TYPE_1</t>
  </si>
  <si>
    <t>PBC_ASSET_TYPE2</t>
  </si>
  <si>
    <t>人行资产二级分类</t>
  </si>
  <si>
    <t>SVR_PBC_ASSET_TYPE_2</t>
  </si>
  <si>
    <t>PBC_ASSET_TYPE3</t>
  </si>
  <si>
    <t>人行资产三级分类</t>
  </si>
  <si>
    <t>SVR_PBC_ASSET_TYPE_3</t>
  </si>
  <si>
    <t>境内外</t>
  </si>
  <si>
    <t>ASSET_UUID</t>
  </si>
  <si>
    <t>TARGET_TYPE01</t>
  </si>
  <si>
    <t>A224B090-2F6F-2DB8-E053-52AA3F265907</t>
  </si>
  <si>
    <t>B1C7DF40-B663-F1CA-E050-007F010043F1</t>
  </si>
  <si>
    <t>B1C7DF40-B664-F1CA-E050-007F010043F1</t>
  </si>
  <si>
    <t>B1C7DF40-B665-F1CA-E050-007F010043F1</t>
  </si>
  <si>
    <t>B1C7DF40-B666-F1CA-E050-007F010043F1</t>
  </si>
  <si>
    <t>B1C7DF40-B667-F1CA-E050-007F010043F1</t>
  </si>
  <si>
    <t>B1C7DF40-B668-F1CA-E050-007F010043F1</t>
  </si>
  <si>
    <t>B1C7DF40-B669-F1CA-E050-007F010043F1</t>
  </si>
  <si>
    <t>B1C7DF40-B66A-F1CA-E050-007F010043F1</t>
  </si>
  <si>
    <t>B1C7DF40-B66B-F1CA-E050-007F010043F1</t>
  </si>
  <si>
    <t>B1C7DF40-B66C-F1CA-E050-007F010043F1</t>
  </si>
  <si>
    <t>B1C7DF40-B66D-F1CA-E050-007F010043F1</t>
  </si>
  <si>
    <t>B1C7DF40-B66E-F1CA-E050-007F010043F1</t>
  </si>
  <si>
    <t>B1C7DF40-B66F-F1CA-E050-007F010043F1</t>
  </si>
  <si>
    <t>B1C7DF40-B670-F1CA-E050-007F010043F1</t>
  </si>
  <si>
    <t>B1C7DF40-B671-F1CA-E050-007F010043F1</t>
  </si>
  <si>
    <t>B1C7DF40-B672-F1CA-E050-007F010043F1</t>
  </si>
  <si>
    <t>B1C7DF40-B673-F1CA-E050-007F010043F1</t>
  </si>
  <si>
    <t>B1C7DF40-B674-F1CA-E050-007F010043F1</t>
  </si>
  <si>
    <t>B1C7DF40-B675-F1CA-E050-007F010043F1</t>
  </si>
  <si>
    <t>B1C7DF40-B676-F1CA-E050-007F010043F1</t>
  </si>
  <si>
    <t>B1C7DF40-B677-F1CA-E050-007F010043F1</t>
  </si>
  <si>
    <t>B1C7DF40-B678-F1CA-E050-007F010043F1</t>
  </si>
  <si>
    <t>B1C7DF40-B679-F1CA-E050-007F010043F1</t>
  </si>
  <si>
    <t>B1C7DF40-B67A-F1CA-E050-007F010043F1</t>
  </si>
  <si>
    <t>B1C7DF40-B67B-F1CA-E050-007F010043F1</t>
  </si>
  <si>
    <t>B1C7DF40-B67C-F1CA-E050-007F010043F1</t>
  </si>
  <si>
    <t>B1C7DF40-B67D-F1CA-E050-007F010043F1</t>
  </si>
  <si>
    <t>B1C7DF40-B67E-F1CA-E050-007F010043F1</t>
  </si>
  <si>
    <t>B1C7DF40-B67F-F1CA-E050-007F010043F1</t>
  </si>
  <si>
    <t>B1C7DF40-B680-F1CA-E050-007F010043F1</t>
  </si>
  <si>
    <t>B1C7DF40-B681-F1CA-E050-007F010043F1</t>
  </si>
  <si>
    <t>B1C7DF40-B682-F1CA-E050-007F010043F1</t>
  </si>
  <si>
    <t>B1C7DF40-B683-F1CA-E050-007F010043F1</t>
  </si>
  <si>
    <t>B1C7DF40-B684-F1CA-E050-007F010043F1</t>
  </si>
  <si>
    <t>B1C7DF40-B685-F1CA-E050-007F010043F1</t>
  </si>
  <si>
    <t>B1C7DF40-B686-F1CA-E050-007F010043F1</t>
  </si>
  <si>
    <t>B1C7DF40-B687-F1CA-E050-007F010043F1</t>
  </si>
  <si>
    <t>B1C7DF40-B688-F1CA-E050-007F010043F1</t>
  </si>
  <si>
    <t>B1C7DF40-B689-F1CA-E050-007F010043F1</t>
  </si>
  <si>
    <t>B1C7DF40-B68A-F1CA-E050-007F010043F1</t>
  </si>
  <si>
    <t>B1C7DF40-B68B-F1CA-E050-007F010043F1</t>
  </si>
  <si>
    <t>B1C7DF40-B68C-F1CA-E050-007F010043F1</t>
  </si>
  <si>
    <t>B1C7DF40-B68D-F1CA-E050-007F010043F1</t>
  </si>
  <si>
    <t>B1C7DF40-B68E-F1CA-E050-007F010043F1</t>
  </si>
  <si>
    <t>B1C7DF40-B68F-F1CA-E050-007F010043F1</t>
  </si>
  <si>
    <t>B1C7DF40-B690-F1CA-E050-007F010043F1</t>
  </si>
  <si>
    <t>B1C7DF40-B691-F1CA-E050-007F010043F1</t>
  </si>
  <si>
    <t>B1C7DF40-B692-F1CA-E050-007F010043F1</t>
  </si>
  <si>
    <t>B1C7DF40-B693-F1CA-E050-007F010043F1</t>
  </si>
  <si>
    <t>B1C7DF40-B694-F1CA-E050-007F010043F1</t>
  </si>
  <si>
    <t>B1C7DF40-B695-F1CA-E050-007F010043F1</t>
  </si>
  <si>
    <t>B1C7DF40-B696-F1CA-E050-007F010043F1</t>
  </si>
  <si>
    <t>B1C7DF40-B697-F1CA-E050-007F010043F1</t>
  </si>
  <si>
    <t>B1C7DF40-B698-F1CA-E050-007F010043F1</t>
  </si>
  <si>
    <t>B1C7DF40-B699-F1CA-E050-007F010043F1</t>
  </si>
  <si>
    <t>B1C7DF40-B69A-F1CA-E050-007F010043F1</t>
  </si>
  <si>
    <t>B1C7DF40-B69B-F1CA-E050-007F010043F1</t>
  </si>
  <si>
    <t>B1C7DF40-B69C-F1CA-E050-007F010043F1</t>
  </si>
  <si>
    <t>B1C7DF40-B69D-F1CA-E050-007F010043F1</t>
  </si>
  <si>
    <t>B1C7DF40-B69E-F1CA-E050-007F010043F1</t>
  </si>
  <si>
    <t>B1C7DF40-B69F-F1CA-E050-007F010043F1</t>
  </si>
  <si>
    <t>B1C7DF40-B6A0-F1CA-E050-007F010043F1</t>
  </si>
  <si>
    <t>B1C7DF40-B6A1-F1CA-E050-007F010043F1</t>
  </si>
  <si>
    <t>B1C7DF40-B6A2-F1CA-E050-007F010043F1</t>
  </si>
  <si>
    <t>B1C7DF40-B6A3-F1CA-E050-007F010043F1</t>
  </si>
  <si>
    <t>B1C7DF40-B6A4-F1CA-E050-007F010043F1</t>
  </si>
  <si>
    <t>B1C7DF40-B6A5-F1CA-E050-007F010043F1</t>
  </si>
  <si>
    <t>B1C7DF40-B6A6-F1CA-E050-007F010043F1</t>
  </si>
  <si>
    <t>B1C7DF40-B6A7-F1CA-E050-007F010043F1</t>
  </si>
  <si>
    <t>B1C7DF40-B6A8-F1CA-E050-007F010043F1</t>
  </si>
  <si>
    <t>B1C7DF40-B6A9-F1CA-E050-007F010043F1</t>
  </si>
  <si>
    <t>B1C7DF40-B6AA-F1CA-E050-007F010043F1</t>
  </si>
  <si>
    <t>B1C7DF40-B6AB-F1CA-E050-007F010043F1</t>
  </si>
  <si>
    <t>B1C7DF40-B6AC-F1CA-E050-007F010043F1</t>
  </si>
  <si>
    <t>B1C7DF40-B6AD-F1CA-E050-007F010043F1</t>
  </si>
  <si>
    <t>B1C7DF40-B6AE-F1CA-E050-007F010043F1</t>
  </si>
  <si>
    <t>B1C7DF40-B6AF-F1CA-E050-007F010043F1</t>
  </si>
  <si>
    <t>B1C7DF40-B6B0-F1CA-E050-007F010043F1</t>
  </si>
  <si>
    <t>B1C7DF40-B6B1-F1CA-E050-007F010043F1</t>
  </si>
  <si>
    <t>B1C7DF40-B6B2-F1CA-E050-007F010043F1</t>
  </si>
  <si>
    <t>B1C7DF40-B6B3-F1CA-E050-007F010043F1</t>
  </si>
  <si>
    <t>B1C7DF40-B6B4-F1CA-E050-007F010043F1</t>
  </si>
  <si>
    <t>B1C7DF40-B6B5-F1CA-E050-007F010043F1</t>
  </si>
  <si>
    <t>B1C7DF40-B6B6-F1CA-E050-007F010043F1</t>
  </si>
  <si>
    <t>B1C7DF40-B6B7-F1CA-E050-007F010043F1</t>
  </si>
  <si>
    <t>B1C7DF40-B6B8-F1CA-E050-007F010043F1</t>
  </si>
  <si>
    <t>B1C7DF40-B6B9-F1CA-E050-007F010043F1</t>
  </si>
  <si>
    <t>B1C7DF40-B6BA-F1CA-E050-007F010043F1</t>
  </si>
  <si>
    <t>B1C7DF40-B6BB-F1CA-E050-007F010043F1</t>
  </si>
  <si>
    <t>B1C7DF40-B6BC-F1CA-E050-007F010043F1</t>
  </si>
  <si>
    <t>B1C7DF40-B6BD-F1CA-E050-007F010043F1</t>
  </si>
  <si>
    <t>部分赎回比例（%）</t>
  </si>
  <si>
    <t>B1C7DF40-B6BE-F1CA-E050-007F010043F1</t>
  </si>
  <si>
    <t>B1C7DF40-B6BF-F1CA-E050-007F010043F1</t>
  </si>
  <si>
    <t>B1C7DF40-B6C0-F1CA-E050-007F010043F1</t>
  </si>
  <si>
    <t>B1C7DF40-B6C1-F1CA-E050-007F010043F1</t>
  </si>
  <si>
    <t>B1C7DF40-B6C2-F1CA-E050-007F010043F1</t>
  </si>
  <si>
    <t>B1C7DF40-B6C3-F1CA-E050-007F010043F1</t>
  </si>
  <si>
    <t>B1C7DF40-B6C4-F1CA-E050-007F010043F1</t>
  </si>
  <si>
    <t>B1C7DF40-B6C5-F1CA-E050-007F010043F1</t>
  </si>
  <si>
    <t>B1C7DF40-B6C6-F1CA-E050-007F010043F1</t>
  </si>
  <si>
    <t>B1C7DF40-B6C7-F1CA-E050-007F010043F1</t>
  </si>
  <si>
    <t>B1C7DF40-B6C8-F1CA-E050-007F010043F1</t>
  </si>
  <si>
    <t>B1C7DF40-B6C9-F1CA-E050-007F010043F1</t>
  </si>
  <si>
    <t>B1C7DF40-B6CA-F1CA-E050-007F010043F1</t>
  </si>
  <si>
    <t>B1C7DF40-B6CB-F1CA-E050-007F010043F1</t>
  </si>
  <si>
    <t>B1C7DF40-B6CC-F1CA-E050-007F010043F1</t>
  </si>
  <si>
    <t>B1C7DF40-B6CD-F1CA-E050-007F010043F1</t>
  </si>
  <si>
    <t>B1C7DF40-B6CE-F1CA-E050-007F010043F1</t>
  </si>
  <si>
    <t>B1C7DF40-B6CF-F1CA-E050-007F010043F1</t>
  </si>
  <si>
    <t>B1C7DF40-B6D0-F1CA-E050-007F010043F1</t>
  </si>
  <si>
    <t>B1C7DF40-B6D1-F1CA-E050-007F010043F1</t>
  </si>
  <si>
    <t>B1C7DF40-B6D2-F1CA-E050-007F010043F1</t>
  </si>
  <si>
    <t>B1C7DF40-B6D3-F1CA-E050-007F010043F1</t>
  </si>
  <si>
    <t>B1C7DF40-B6D4-F1CA-E050-007F010043F1</t>
  </si>
  <si>
    <t>B1C7DF40-B6D5-F1CA-E050-007F010043F1</t>
  </si>
  <si>
    <t>B1C7DF40-B6D6-F1CA-E050-007F010043F1</t>
  </si>
  <si>
    <t>B1C7DF40-B6D7-F1CA-E050-007F010043F1</t>
  </si>
  <si>
    <t>B1C7DF40-B6D8-F1CA-E050-007F010043F1</t>
  </si>
  <si>
    <t>B1C7DF40-B6D9-F1CA-E050-007F010043F1</t>
  </si>
  <si>
    <t>B1C7DF40-B6DA-F1CA-E050-007F010043F1</t>
  </si>
  <si>
    <t>B1C7DF40-B6DB-F1CA-E050-007F010043F1</t>
  </si>
  <si>
    <t>B1C7DF40-B6DC-F1CA-E050-007F010043F1</t>
  </si>
  <si>
    <t>B1C7DF40-B6DD-F1CA-E050-007F010043F1</t>
  </si>
  <si>
    <t>B1C7DF40-B6DE-F1CA-E050-007F010043F1</t>
  </si>
  <si>
    <t>B1C7DF40-B6DF-F1CA-E050-007F010043F1</t>
  </si>
  <si>
    <t>B1C7DF40-B6E0-F1CA-E050-007F010043F1</t>
  </si>
  <si>
    <t>*持有目的</t>
  </si>
  <si>
    <t>B1C7DF40-B6E1-F1CA-E050-007F010043F1</t>
  </si>
  <si>
    <t>B1C7DF40-B6E2-F1CA-E050-007F010043F1</t>
  </si>
  <si>
    <t>B1C7DF40-B6E3-F1CA-E050-007F010043F1</t>
  </si>
  <si>
    <t>B1C7DF40-B6E4-F1CA-E050-007F010043F1</t>
  </si>
  <si>
    <t>B1C7DF40-B6E5-F1CA-E050-007F010043F1</t>
  </si>
  <si>
    <t>B1C7DF40-B6E6-F1CA-E050-007F010043F1</t>
  </si>
  <si>
    <t>B1C7DF40-B6E7-F1CA-E050-007F010043F1</t>
  </si>
  <si>
    <t>B1C7DF40-B6E8-F1CA-E050-007F010043F1</t>
  </si>
  <si>
    <t>B1C7DF40-B6E9-F1CA-E050-007F010043F1</t>
  </si>
  <si>
    <t>B1C7DF40-B6EA-F1CA-E050-007F010043F1</t>
  </si>
  <si>
    <t>B1C7DF40-B6EB-F1CA-E050-007F010043F1</t>
  </si>
  <si>
    <t>B1C7DF40-B6EC-F1CA-E050-007F010043F1</t>
  </si>
  <si>
    <t>B1C7DF40-B6ED-F1CA-E050-007F010043F1</t>
  </si>
  <si>
    <t>B1C7DF40-B6EE-F1CA-E050-007F010043F1</t>
  </si>
  <si>
    <t>B1C7DF40-B6EF-F1CA-E050-007F010043F1</t>
  </si>
  <si>
    <t>B1C7DF40-B6F0-F1CA-E050-007F010043F1</t>
  </si>
  <si>
    <t>B1C7DF40-B6F1-F1CA-E050-007F010043F1</t>
  </si>
  <si>
    <t>B1C7DF40-B6F2-F1CA-E050-007F010043F1</t>
  </si>
  <si>
    <t>B1C7DF40-B6F3-F1CA-E050-007F010043F1</t>
  </si>
  <si>
    <t>B1C7DF40-B6F4-F1CA-E050-007F010043F1</t>
  </si>
  <si>
    <t>B1C7DF40-B6F5-F1CA-E050-007F010043F1</t>
  </si>
  <si>
    <t>B1C7DF40-B6F6-F1CA-E050-007F010043F1</t>
  </si>
  <si>
    <t>B1C7DF40-B6F7-F1CA-E050-007F010043F1</t>
  </si>
  <si>
    <t>B1C7DF40-B6F8-F1CA-E050-007F010043F1</t>
  </si>
  <si>
    <t>B1C7DF40-B6F9-F1CA-E050-007F010043F1</t>
  </si>
  <si>
    <t>B1C7DF40-B6FA-F1CA-E050-007F010043F1</t>
  </si>
  <si>
    <t>B1C7DF40-B6FB-F1CA-E050-007F010043F1</t>
  </si>
  <si>
    <t>B1C7DF40-B6FC-F1CA-E050-007F010043F1</t>
  </si>
  <si>
    <t>B1C7DF40-B6FD-F1CA-E050-007F010043F1</t>
  </si>
  <si>
    <t>B1C7DF40-B6FE-F1CA-E050-007F010043F1</t>
  </si>
  <si>
    <t>B1C7DF40-B6FF-F1CA-E050-007F010043F1</t>
  </si>
  <si>
    <t>B1C7DF40-B700-F1CA-E050-007F010043F1</t>
  </si>
  <si>
    <t>B1C7DF40-B701-F1CA-E050-007F010043F1</t>
  </si>
  <si>
    <t>B1C7DF40-B702-F1CA-E050-007F010043F1</t>
  </si>
  <si>
    <t>B1C7DF40-B703-F1CA-E050-007F010043F1</t>
  </si>
  <si>
    <t>B1C7DF40-B704-F1CA-E050-007F010043F1</t>
  </si>
  <si>
    <t>B1C7DF40-B705-F1CA-E050-007F010043F1</t>
  </si>
  <si>
    <t>B1C7DF40-B706-F1CA-E050-007F010043F1</t>
  </si>
  <si>
    <t>B1C7DF40-B707-F1CA-E050-007F010043F1</t>
  </si>
  <si>
    <t>B1C7DF40-B708-F1CA-E050-007F010043F1</t>
  </si>
  <si>
    <t>B1C7DF40-B709-F1CA-E050-007F010043F1</t>
  </si>
  <si>
    <t>B1C7DF40-B70A-F1CA-E050-007F010043F1</t>
  </si>
  <si>
    <t>B1C7DF40-B70B-F1CA-E050-007F010043F1</t>
  </si>
  <si>
    <t>B1C7DF40-B70C-F1CA-E050-007F010043F1</t>
  </si>
  <si>
    <t>B1C7DF40-B70D-F1CA-E050-007F010043F1</t>
  </si>
  <si>
    <t>B1C7DF40-B70E-F1CA-E050-007F010043F1</t>
  </si>
  <si>
    <t>B1C7DF40-B70F-F1CA-E050-007F010043F1</t>
  </si>
  <si>
    <t>B1C7DF40-B710-F1CA-E050-007F010043F1</t>
  </si>
  <si>
    <t>B1C7DF40-B711-F1CA-E050-007F010043F1</t>
  </si>
  <si>
    <t>B1C7DF40-B712-F1CA-E050-007F010043F1</t>
  </si>
  <si>
    <t>B1C7DF40-B713-F1CA-E050-007F010043F1</t>
  </si>
  <si>
    <t>B1C7DF40-B714-F1CA-E050-007F010043F1</t>
  </si>
  <si>
    <t>B1C7DF40-B715-F1CA-E050-007F010043F1</t>
  </si>
  <si>
    <t>B1C7DF40-B716-F1CA-E050-007F010043F1</t>
  </si>
  <si>
    <t>B1C7DF40-B717-F1CA-E050-007F010043F1</t>
  </si>
  <si>
    <t>B1C7DF40-B718-F1CA-E050-007F010043F1</t>
  </si>
  <si>
    <t>B1C7DF40-B719-F1CA-E050-007F010043F1</t>
  </si>
  <si>
    <t>B1C7DF40-B71A-F1CA-E050-007F010043F1</t>
  </si>
  <si>
    <t>B1C7DF40-B71B-F1CA-E050-007F010043F1</t>
  </si>
  <si>
    <t>B1C7DF40-B71C-F1CA-E050-007F010043F1</t>
  </si>
  <si>
    <t>B1C7DF40-B71D-F1CA-E050-007F010043F1</t>
  </si>
  <si>
    <t>B1C7DF40-B71E-F1CA-E050-007F010043F1</t>
  </si>
  <si>
    <t>B1C7DF40-B71F-F1CA-E050-007F010043F1</t>
  </si>
  <si>
    <t>B1C7DF40-B720-F1CA-E050-007F010043F1</t>
  </si>
  <si>
    <t>B1C7DF40-B721-F1CA-E050-007F010043F1</t>
  </si>
  <si>
    <t>B1C7DF40-B722-F1CA-E050-007F010043F1</t>
  </si>
  <si>
    <t>B1C7DF40-B723-F1CA-E050-007F010043F1</t>
  </si>
  <si>
    <t>B1C7DF40-B724-F1CA-E050-007F010043F1</t>
  </si>
  <si>
    <t>B1C7DF40-B725-F1CA-E050-007F010043F1</t>
  </si>
  <si>
    <t>B1C7DF40-B726-F1CA-E050-007F010043F1</t>
  </si>
  <si>
    <t>B1C7DF40-B727-F1CA-E050-007F010043F1</t>
  </si>
  <si>
    <t>B1C7DF40-B728-F1CA-E050-007F010043F1</t>
  </si>
  <si>
    <t>B1C7DF40-B729-F1CA-E050-007F010043F1</t>
  </si>
  <si>
    <t>B1C7DF40-B72A-F1CA-E050-007F010043F1</t>
  </si>
  <si>
    <t>B1C7DF40-B72B-F1CA-E050-007F010043F1</t>
  </si>
  <si>
    <t>B1C7DF40-B72C-F1CA-E050-007F010043F1</t>
  </si>
  <si>
    <t>B1C7DF40-B72D-F1CA-E050-007F010043F1</t>
  </si>
  <si>
    <t>B1C7DF40-B72E-F1CA-E050-007F010043F1</t>
  </si>
  <si>
    <t>B1C7DF40-B72F-F1CA-E050-007F010043F1</t>
  </si>
  <si>
    <t>B1C7DF40-B730-F1CA-E050-007F010043F1</t>
  </si>
  <si>
    <t>B1C7DF40-B731-F1CA-E050-007F010043F1</t>
  </si>
  <si>
    <t>B1C7DF40-B732-F1CA-E050-007F010043F1</t>
  </si>
  <si>
    <t>B1C7DF40-B733-F1CA-E050-007F010043F1</t>
  </si>
  <si>
    <t>B1C7DF40-B734-F1CA-E050-007F010043F1</t>
  </si>
  <si>
    <t>B1C7DF40-B735-F1CA-E050-007F010043F1</t>
  </si>
  <si>
    <t>B1C7DF40-B736-F1CA-E050-007F010043F1</t>
  </si>
  <si>
    <t>B1C7DF40-B737-F1CA-E050-007F010043F1</t>
  </si>
  <si>
    <t>B1C7DF40-B738-F1CA-E050-007F010043F1</t>
  </si>
  <si>
    <t>B1C7DF40-B739-F1CA-E050-007F010043F1</t>
  </si>
  <si>
    <t>B1C7DF40-B73A-F1CA-E050-007F010043F1</t>
  </si>
  <si>
    <t>B1C7DF40-B73B-F1CA-E050-007F010043F1</t>
  </si>
  <si>
    <t>B1C7DF40-B73C-F1CA-E050-007F010043F1</t>
  </si>
  <si>
    <t>B1C7DF40-B73D-F1CA-E050-007F010043F1</t>
  </si>
  <si>
    <t>B1C7DF40-B73E-F1CA-E050-007F010043F1</t>
  </si>
  <si>
    <t>B1C7DF40-B73F-F1CA-E050-007F010043F1</t>
  </si>
  <si>
    <t>B1C7DF40-B740-F1CA-E050-007F010043F1</t>
  </si>
  <si>
    <t>B1C7DF40-B741-F1CA-E050-007F010043F1</t>
  </si>
  <si>
    <t>B1C7DF40-B742-F1CA-E050-007F010043F1</t>
  </si>
  <si>
    <t>B1C7DF40-B743-F1CA-E050-007F010043F1</t>
  </si>
  <si>
    <t>B1C7DF40-B744-F1CA-E050-007F010043F1</t>
  </si>
  <si>
    <t>B1C7DF40-B745-F1CA-E050-007F010043F1</t>
  </si>
  <si>
    <t>B1C7DF40-B746-F1CA-E050-007F010043F1</t>
  </si>
  <si>
    <t>B1C7DF40-B747-F1CA-E050-007F010043F1</t>
  </si>
  <si>
    <t>B1C7DF40-B748-F1CA-E050-007F010043F1</t>
  </si>
  <si>
    <t>B1C7DF40-B749-F1CA-E050-007F010043F1</t>
  </si>
  <si>
    <t>B1C7DF40-B74A-F1CA-E050-007F010043F1</t>
  </si>
  <si>
    <t>B1C7DF40-B74B-F1CA-E050-007F010043F1</t>
  </si>
  <si>
    <t>B1C7DF40-B74C-F1CA-E050-007F010043F1</t>
  </si>
  <si>
    <t>B1C7DF40-B74D-F1CA-E050-007F010043F1</t>
  </si>
  <si>
    <t>B1C7DF40-B74E-F1CA-E050-007F010043F1</t>
  </si>
  <si>
    <t>B1C7DF40-B74F-F1CA-E050-007F010043F1</t>
  </si>
  <si>
    <t>B1C7DF40-B750-F1CA-E050-007F010043F1</t>
  </si>
  <si>
    <t>B1C7DF40-B751-F1CA-E050-007F010043F1</t>
  </si>
  <si>
    <t>B1C7DF40-B752-F1CA-E050-007F010043F1</t>
  </si>
  <si>
    <t>B1C7DF40-B753-F1CA-E050-007F010043F1</t>
  </si>
  <si>
    <t>B1C7DF40-B754-F1CA-E050-007F010043F1</t>
  </si>
  <si>
    <t>B1C7DF40-B755-F1CA-E050-007F010043F1</t>
  </si>
  <si>
    <t>B1C7DF40-B756-F1CA-E050-007F010043F1</t>
  </si>
  <si>
    <t>B1C7DF40-B757-F1CA-E050-007F010043F1</t>
  </si>
  <si>
    <t>B1C7DF40-B758-F1CA-E050-007F010043F1</t>
  </si>
  <si>
    <t>B1C7DF40-B759-F1CA-E050-007F010043F1</t>
  </si>
  <si>
    <t>B1C7DF40-B75A-F1CA-E050-007F010043F1</t>
  </si>
  <si>
    <t>B1C7DF40-B75B-F1CA-E050-007F010043F1</t>
  </si>
  <si>
    <t>B1C7DF40-B75C-F1CA-E050-007F010043F1</t>
  </si>
  <si>
    <t>B1C7DF40-B75D-F1CA-E050-007F010043F1</t>
  </si>
  <si>
    <t>B1C7DF40-B75E-F1CA-E050-007F010043F1</t>
  </si>
  <si>
    <t>B1C7DF40-B75F-F1CA-E050-007F010043F1</t>
  </si>
  <si>
    <t>B1C7DF40-B760-F1CA-E050-007F010043F1</t>
  </si>
  <si>
    <t>B1C7DF40-B761-F1CA-E050-007F010043F1</t>
  </si>
  <si>
    <t>B1C7DF40-B762-F1CA-E050-007F010043F1</t>
  </si>
  <si>
    <t>B1C7DF40-B763-F1CA-E050-007F010043F1</t>
  </si>
  <si>
    <t>B1C7DF40-B764-F1CA-E050-007F010043F1</t>
  </si>
  <si>
    <t>B1C7DF40-B765-F1CA-E050-007F010043F1</t>
  </si>
  <si>
    <t>B1C7DF40-B766-F1CA-E050-007F010043F1</t>
  </si>
  <si>
    <t>B1C7DF40-B767-F1CA-E050-007F010043F1</t>
  </si>
  <si>
    <t>B1C7DF40-B768-F1CA-E050-007F010043F1</t>
  </si>
  <si>
    <t>B1C7DF40-B769-F1CA-E050-007F010043F1</t>
  </si>
  <si>
    <t>B1C7DF40-B76A-F1CA-E050-007F010043F1</t>
  </si>
  <si>
    <t>B1C7DF40-B76B-F1CA-E050-007F010043F1</t>
  </si>
  <si>
    <t>B1C7DF40-B76C-F1CA-E050-007F010043F1</t>
  </si>
  <si>
    <t>B1C7DF40-B76D-F1CA-E050-007F010043F1</t>
  </si>
  <si>
    <t>B1C7DF40-B76E-F1CA-E050-007F010043F1</t>
  </si>
  <si>
    <t>B1C7DF40-B76F-F1CA-E050-007F010043F1</t>
  </si>
  <si>
    <t>B1C7DF40-B770-F1CA-E050-007F010043F1</t>
  </si>
  <si>
    <t>B1C7DF40-B771-F1CA-E050-007F010043F1</t>
  </si>
  <si>
    <t>B1C7DF40-B772-F1CA-E050-007F010043F1</t>
  </si>
  <si>
    <t>A224B090-3056-2DB8-E053-52AA3F265907</t>
  </si>
  <si>
    <t>A224B090-3057-2DB8-E053-52AA3F265907</t>
  </si>
  <si>
    <t>A224B090-3058-2DB8-E053-52AA3F265907</t>
  </si>
  <si>
    <t>A224B090-305B-2DB8-E053-52AA3F265907</t>
  </si>
  <si>
    <t>人行机构规模</t>
  </si>
  <si>
    <t>A224B090-305C-2DB8-E053-52AA3F265907</t>
  </si>
  <si>
    <t>A224B090-305E-2DB8-E053-52AA3F265907</t>
  </si>
  <si>
    <t>投向地方政府融资平台</t>
  </si>
  <si>
    <t>A224B090-305F-2DB8-E053-52AA3F265907</t>
  </si>
  <si>
    <t>A224B090-3060-2DB8-E053-52AA3F265907</t>
  </si>
  <si>
    <t>是否投向金融资产投资公司或其附属机构发行的私募股权投资基金</t>
  </si>
  <si>
    <t>CHB_ASSET_INFO</t>
    <phoneticPr fontId="1" type="noConversion"/>
  </si>
  <si>
    <t>delete from CHB_INFOMGR_RESULT_CONFIG where  MGRTABLE_ID  IN('CHB_ASSET_INFO');</t>
    <phoneticPr fontId="1" type="noConversion"/>
  </si>
  <si>
    <t>CHB_ASSET_INFO</t>
    <phoneticPr fontId="1" type="noConversion"/>
  </si>
  <si>
    <t>PRIVATEPRD_FLAG</t>
    <phoneticPr fontId="1" type="noConversion"/>
  </si>
  <si>
    <t>商业银行二级资本债</t>
    <phoneticPr fontId="1" type="noConversion"/>
  </si>
  <si>
    <t>商业银行优先股</t>
    <phoneticPr fontId="1" type="noConversion"/>
  </si>
  <si>
    <t>商业银行永续债</t>
    <phoneticPr fontId="1" type="noConversion"/>
  </si>
  <si>
    <t>BANK_SEC_PREFER</t>
  </si>
  <si>
    <t>BANK_SEC_PERPETUAL</t>
  </si>
  <si>
    <t>BANK_SEC_CAPITAL</t>
    <phoneticPr fontId="1" type="noConversion"/>
  </si>
  <si>
    <t>A224B090-3067-2DB8-E053-52AA3F265907</t>
    <phoneticPr fontId="1" type="noConversion"/>
  </si>
  <si>
    <t>A224B090-3068-2DB8-E053-52AA3F265907</t>
    <phoneticPr fontId="1" type="noConversion"/>
  </si>
  <si>
    <t>A224B090-3069-2DB8-E053-52AA3F265907</t>
    <phoneticPr fontId="1" type="noConversion"/>
  </si>
  <si>
    <t>N</t>
    <phoneticPr fontId="1" type="noConversion"/>
  </si>
  <si>
    <t>SVR_INSTIT_SIZE</t>
    <phoneticPr fontId="1" type="noConversion"/>
  </si>
  <si>
    <t>REGIST_ORG03</t>
    <phoneticPr fontId="1" type="noConversion"/>
  </si>
  <si>
    <t>CHB_PRD_BASEINFO产品基本信息</t>
    <phoneticPr fontId="1" type="noConversion"/>
  </si>
  <si>
    <t>IS_TRANSFER</t>
  </si>
  <si>
    <t>IS_FHXGCP</t>
  </si>
  <si>
    <t>IS_YLLCCP</t>
  </si>
  <si>
    <t>**产品代码</t>
    <phoneticPr fontId="1" type="noConversion"/>
  </si>
  <si>
    <t>**产品名称</t>
    <phoneticPr fontId="1" type="noConversion"/>
  </si>
  <si>
    <t>**发行机构代码</t>
    <phoneticPr fontId="1" type="noConversion"/>
  </si>
  <si>
    <t>**募集起始日期</t>
    <phoneticPr fontId="1" type="noConversion"/>
  </si>
  <si>
    <t>**募集结束日期</t>
    <phoneticPr fontId="1" type="noConversion"/>
  </si>
  <si>
    <t>**起息日</t>
    <phoneticPr fontId="1" type="noConversion"/>
  </si>
  <si>
    <t>**到期日</t>
    <phoneticPr fontId="1" type="noConversion"/>
  </si>
  <si>
    <t>**产品收益类型</t>
    <phoneticPr fontId="1" type="noConversion"/>
  </si>
  <si>
    <t>**产品类型</t>
    <phoneticPr fontId="1" type="noConversion"/>
  </si>
  <si>
    <t>**计息基础</t>
    <phoneticPr fontId="1" type="noConversion"/>
  </si>
  <si>
    <t>产品期次</t>
    <phoneticPr fontId="1" type="noConversion"/>
  </si>
  <si>
    <t>**募集方式</t>
    <phoneticPr fontId="1" type="noConversion"/>
  </si>
  <si>
    <t>**产品期限</t>
    <phoneticPr fontId="1" type="noConversion"/>
  </si>
  <si>
    <t>**是否金融同业专属</t>
    <phoneticPr fontId="1" type="noConversion"/>
  </si>
  <si>
    <t>**产品运作模式</t>
    <phoneticPr fontId="1" type="noConversion"/>
  </si>
  <si>
    <t>*是否设置最短持有期限</t>
    <phoneticPr fontId="1" type="noConversion"/>
  </si>
  <si>
    <t>*最短持有期限(天)</t>
    <phoneticPr fontId="1" type="noConversion"/>
  </si>
  <si>
    <t>*是否现金管理类</t>
    <phoneticPr fontId="1" type="noConversion"/>
  </si>
  <si>
    <t>**投资性质</t>
    <phoneticPr fontId="1" type="noConversion"/>
  </si>
  <si>
    <t>**合作模式</t>
    <phoneticPr fontId="1" type="noConversion"/>
  </si>
  <si>
    <t>**募集币种</t>
    <phoneticPr fontId="1" type="noConversion"/>
  </si>
  <si>
    <t>**兑付本金币种</t>
    <phoneticPr fontId="1" type="noConversion"/>
  </si>
  <si>
    <t>**兑付收益币种</t>
    <phoneticPr fontId="1" type="noConversion"/>
  </si>
  <si>
    <t>**资金投向地区</t>
    <phoneticPr fontId="1" type="noConversion"/>
  </si>
  <si>
    <t>*境内托管机构名称</t>
    <phoneticPr fontId="1" type="noConversion"/>
  </si>
  <si>
    <t>*境外托管机构国别</t>
    <phoneticPr fontId="1" type="noConversion"/>
  </si>
  <si>
    <t>*境外托管机构名称</t>
    <phoneticPr fontId="1" type="noConversion"/>
  </si>
  <si>
    <t>**发行机构提前终止权标识</t>
    <phoneticPr fontId="1" type="noConversion"/>
  </si>
  <si>
    <t>**客户赎回权标识</t>
    <phoneticPr fontId="1" type="noConversion"/>
  </si>
  <si>
    <t>**产品增信标识</t>
    <phoneticPr fontId="1" type="noConversion"/>
  </si>
  <si>
    <t>*产品增信机构类型</t>
    <phoneticPr fontId="1" type="noConversion"/>
  </si>
  <si>
    <t>*产品增信形式</t>
    <phoneticPr fontId="1" type="noConversion"/>
  </si>
  <si>
    <t>是否结构化分级产品</t>
    <phoneticPr fontId="1" type="noConversion"/>
  </si>
  <si>
    <t>预计客户最低收益率</t>
    <phoneticPr fontId="1" type="noConversion"/>
  </si>
  <si>
    <t>预计客户最高年收益率</t>
    <phoneticPr fontId="1" type="noConversion"/>
  </si>
  <si>
    <t>业绩比较基准下限%</t>
    <phoneticPr fontId="1" type="noConversion"/>
  </si>
  <si>
    <t>业绩比较基准上限%</t>
    <phoneticPr fontId="1" type="noConversion"/>
  </si>
  <si>
    <t>业绩比较基准说明</t>
    <phoneticPr fontId="1" type="noConversion"/>
  </si>
  <si>
    <t>*开放模式</t>
    <phoneticPr fontId="1" type="noConversion"/>
  </si>
  <si>
    <t>*规律开放周期</t>
    <phoneticPr fontId="1" type="noConversion"/>
  </si>
  <si>
    <t>*其他规律开放周期（天）</t>
    <phoneticPr fontId="1" type="noConversion"/>
  </si>
  <si>
    <t>*无规律开放说明</t>
    <phoneticPr fontId="1" type="noConversion"/>
  </si>
  <si>
    <t>*首次开放周期起始日</t>
    <phoneticPr fontId="1" type="noConversion"/>
  </si>
  <si>
    <t>*节假日是否开放</t>
    <phoneticPr fontId="1" type="noConversion"/>
  </si>
  <si>
    <t>*平均开放次数（年化）</t>
    <phoneticPr fontId="1" type="noConversion"/>
  </si>
  <si>
    <t>*开放期业务</t>
    <phoneticPr fontId="1" type="noConversion"/>
  </si>
  <si>
    <t>*开放期业务说明</t>
    <phoneticPr fontId="1" type="noConversion"/>
  </si>
  <si>
    <t>**资金托管账号</t>
    <phoneticPr fontId="1" type="noConversion"/>
  </si>
  <si>
    <t>**资金托管账户</t>
    <phoneticPr fontId="1" type="noConversion"/>
  </si>
  <si>
    <t>**受托职责</t>
    <phoneticPr fontId="1" type="noConversion"/>
  </si>
  <si>
    <t>**转让类型</t>
    <phoneticPr fontId="1" type="noConversion"/>
  </si>
  <si>
    <t>**货币市场基金标识</t>
    <phoneticPr fontId="1" type="noConversion"/>
  </si>
  <si>
    <t>**管理方式</t>
    <phoneticPr fontId="1" type="noConversion"/>
  </si>
  <si>
    <t>**客户类型</t>
    <phoneticPr fontId="1" type="noConversion"/>
  </si>
  <si>
    <t>**发行状态</t>
    <phoneticPr fontId="1" type="noConversion"/>
  </si>
  <si>
    <t>**是否母行划转产品</t>
    <phoneticPr fontId="1" type="noConversion"/>
  </si>
  <si>
    <t>**是否合规新产品</t>
    <phoneticPr fontId="1" type="noConversion"/>
  </si>
  <si>
    <t>**是否养老理财产品</t>
    <phoneticPr fontId="1" type="noConversion"/>
  </si>
  <si>
    <t>政府出资产业投资基金</t>
    <phoneticPr fontId="1" type="noConversion"/>
  </si>
  <si>
    <t>ISUNLISTED</t>
    <phoneticPr fontId="1" type="noConversion"/>
  </si>
  <si>
    <t>商业银行可转债</t>
    <phoneticPr fontId="1" type="noConversion"/>
  </si>
  <si>
    <t>BANK_SEC_KZZQ</t>
    <phoneticPr fontId="1" type="noConversion"/>
  </si>
  <si>
    <t>专项债券</t>
    <phoneticPr fontId="1" type="noConversion"/>
  </si>
  <si>
    <t>BANK_SEC_ZXZQ</t>
    <phoneticPr fontId="1" type="noConversion"/>
  </si>
  <si>
    <t>标准化票据</t>
    <phoneticPr fontId="1" type="noConversion"/>
  </si>
  <si>
    <t>IS_BZHPJ</t>
    <phoneticPr fontId="1" type="noConversion"/>
  </si>
  <si>
    <t>A224B090-3069-2DB8-E053-52AA3F265908</t>
  </si>
  <si>
    <t>A224B090-3069-2DB8-E053-52AA3F265909</t>
  </si>
  <si>
    <t>A224B090-3069-2DB8-E053-52AA3F265910</t>
  </si>
  <si>
    <t>A224B090-3069-2DB8-E053-52AA3F265911</t>
  </si>
  <si>
    <t>A224B090-3069-2DB8-E053-52AA3F265912</t>
  </si>
  <si>
    <t>A224B090-3069-2DB8-E053-52AA3F265913</t>
  </si>
  <si>
    <t>A224B090-3069-2DB8-E053-52AA3F265914</t>
  </si>
  <si>
    <t>A224B090-3069-2DB8-E053-52AA3F265915</t>
  </si>
  <si>
    <t>A224B090-3069-2DB8-E053-52AA3F265916</t>
  </si>
  <si>
    <t>A224B090-3069-2DB8-E053-52AA3F265917</t>
  </si>
  <si>
    <t>A224B090-3069-2DB8-E053-52AA3F265918</t>
    <phoneticPr fontId="1" type="noConversion"/>
  </si>
  <si>
    <t>IS_FBZB</t>
    <phoneticPr fontId="1" type="noConversion"/>
  </si>
  <si>
    <t>是否非标转标资产</t>
    <phoneticPr fontId="1" type="noConversion"/>
  </si>
  <si>
    <t>CHB_ISSUER_ID</t>
    <phoneticPr fontId="1" type="noConversion"/>
  </si>
  <si>
    <t>发行人代码</t>
    <phoneticPr fontId="1" type="noConversion"/>
  </si>
  <si>
    <t>CHB_MANAGER_ID</t>
    <phoneticPr fontId="1" type="noConversion"/>
  </si>
  <si>
    <t>管理人代码</t>
    <phoneticPr fontId="1" type="noConversion"/>
  </si>
  <si>
    <t>CHB_FINANCIER_ID</t>
    <phoneticPr fontId="1" type="noConversion"/>
  </si>
  <si>
    <t>融资人代码</t>
    <phoneticPr fontId="1" type="noConversion"/>
  </si>
  <si>
    <t>PERPETUAL_FLAG</t>
    <phoneticPr fontId="1" type="noConversion"/>
  </si>
  <si>
    <t>是否永续债</t>
    <phoneticPr fontId="1" type="noConversion"/>
  </si>
  <si>
    <t>OPTION_FLAG</t>
    <phoneticPr fontId="1" type="noConversion"/>
  </si>
  <si>
    <t>是否含权债</t>
    <phoneticPr fontId="1" type="noConversion"/>
  </si>
  <si>
    <t>IS_BJSZQ</t>
    <phoneticPr fontId="1" type="noConversion"/>
  </si>
  <si>
    <t>是否资产四级分类为“北金所债权”</t>
    <phoneticPr fontId="1" type="noConversion"/>
  </si>
  <si>
    <t>IS_PERPETUAL</t>
    <phoneticPr fontId="1" type="noConversion"/>
  </si>
  <si>
    <t>A224B090-3069-2DB8-E053-52AA3F265919</t>
  </si>
  <si>
    <t>A224B090-3069-2DB8-E053-52AA3F265920</t>
  </si>
  <si>
    <t>A224B090-3069-2DB8-E053-52AA3F265921</t>
  </si>
  <si>
    <t>A224B090-3069-2DB8-E053-52AA3F265922</t>
  </si>
  <si>
    <t>A224B090-3069-2DB8-E053-52AA3F265923</t>
  </si>
  <si>
    <t>A224B090-3069-2DB8-E053-52AA3F265924</t>
  </si>
  <si>
    <t>A224B090-3069-2DB8-E053-52AA3F265925</t>
  </si>
  <si>
    <t>永续债属性（债性/股性）</t>
    <phoneticPr fontId="1" type="noConversion"/>
  </si>
  <si>
    <t>CHB_ASSET_INFO</t>
    <phoneticPr fontId="1" type="noConversion"/>
  </si>
  <si>
    <t>SVR_YES_OR_NO</t>
    <phoneticPr fontId="1" type="noConversion"/>
  </si>
  <si>
    <t>SVR_ISPERPETUAL</t>
    <phoneticPr fontId="1" type="noConversion"/>
  </si>
  <si>
    <t>A224B090-3060-2DB8-E053-52AA3F265914</t>
  </si>
  <si>
    <t>ORG_ASSET_TYPE4</t>
    <phoneticPr fontId="1" type="noConversion"/>
  </si>
  <si>
    <t>上游资产四级分类</t>
    <phoneticPr fontId="1" type="noConversion"/>
  </si>
  <si>
    <t>SVR_ORG_ASSET_TYPE4</t>
  </si>
  <si>
    <t>A224B090-3060-2DB8-E053-52AA3F265915</t>
  </si>
  <si>
    <t>ORG_ASSET_TYPE5</t>
    <phoneticPr fontId="1" type="noConversion"/>
  </si>
  <si>
    <t>上游资产五级分类</t>
    <phoneticPr fontId="1" type="noConversion"/>
  </si>
  <si>
    <t>SVR_ORG_ASSET_TYPE5</t>
  </si>
  <si>
    <t>SVR_ORG_ASSET_TYPE1</t>
    <phoneticPr fontId="1" type="noConversion"/>
  </si>
  <si>
    <t>SVR_ORG_ASSET_TYPE2</t>
  </si>
  <si>
    <t>SVR_ORG_ASSET_TYPE3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</si>
</sst>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5" borderId="0" xfId="0" applyFont="1" applyFill="1"/>
    <xf numFmtId="0" fontId="2" fillId="0" borderId="0" xfId="0" applyFont="1"/>
    <xf numFmtId="0" fontId="2" fillId="0" borderId="0" xfId="0" applyFont="1" applyFill="1"/>
    <xf numFmtId="0" fontId="3" fillId="3" borderId="0" xfId="0" applyFont="1" applyFill="1"/>
    <xf numFmtId="0" fontId="2" fillId="3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ont="1" applyFill="1"/>
    <xf numFmtId="0" fontId="0" fillId="5" borderId="0" xfId="0" applyFill="1"/>
    <xf numFmtId="0" fontId="3" fillId="0" borderId="0" xfId="0" applyFont="1" applyFill="1"/>
    <xf numFmtId="0" fontId="0" fillId="0" borderId="0" xfId="0" applyFont="1" applyFill="1"/>
    <xf numFmtId="0" fontId="0" fillId="6" borderId="0" xfId="0" applyFill="1"/>
    <xf numFmtId="0" fontId="3" fillId="6" borderId="0" xfId="0" applyFont="1" applyFill="1"/>
    <xf numFmtId="0" fontId="4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opLeftCell="A10" workbookViewId="0">
      <selection activeCell="C16" sqref="C16"/>
    </sheetView>
  </sheetViews>
  <sheetFormatPr defaultRowHeight="12" outlineLevelRow="1" x14ac:dyDescent="0.15"/>
  <cols>
    <col min="1" max="1" width="9" style="2"/>
    <col min="2" max="2" width="16.5" style="2" customWidth="1"/>
    <col min="3" max="3" width="25.375" style="2" customWidth="1"/>
    <col min="4" max="4" width="21.125" style="2" customWidth="1"/>
    <col min="5" max="5" width="19.25" style="2" bestFit="1" customWidth="1"/>
    <col min="6" max="7" width="9" style="2"/>
    <col min="8" max="8" width="13.875" style="2" customWidth="1"/>
    <col min="9" max="9" width="16.125" style="2" bestFit="1" customWidth="1"/>
    <col min="10" max="16384" width="9" style="2"/>
  </cols>
  <sheetData>
    <row r="1" spans="1:10" x14ac:dyDescent="0.15">
      <c r="B1" s="6" t="s">
        <v>16</v>
      </c>
      <c r="C1" s="6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</row>
    <row r="2" spans="1:10" ht="60" x14ac:dyDescent="0.15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7" t="s">
        <v>7</v>
      </c>
      <c r="I2" s="6" t="s">
        <v>8</v>
      </c>
    </row>
    <row r="3" spans="1:10" x14ac:dyDescent="0.15">
      <c r="A3" s="15" t="s">
        <v>1126</v>
      </c>
      <c r="B3" s="15"/>
      <c r="C3" s="15"/>
      <c r="D3" s="15"/>
      <c r="E3" s="15"/>
      <c r="F3" s="15"/>
      <c r="G3" s="15"/>
      <c r="H3" s="15"/>
      <c r="I3" s="15"/>
      <c r="J3" s="2" t="s">
        <v>794</v>
      </c>
    </row>
    <row r="4" spans="1:10" outlineLevel="1" x14ac:dyDescent="0.15">
      <c r="A4" s="4">
        <v>1</v>
      </c>
      <c r="B4" s="4" t="s">
        <v>74</v>
      </c>
      <c r="C4" s="4" t="s">
        <v>778</v>
      </c>
      <c r="D4" s="4" t="s">
        <v>758</v>
      </c>
      <c r="E4" s="4" t="s">
        <v>759</v>
      </c>
      <c r="F4" s="4"/>
      <c r="G4" s="4">
        <v>1</v>
      </c>
      <c r="H4" s="4" t="s">
        <v>1123</v>
      </c>
      <c r="I4" s="4"/>
      <c r="J4" s="2" t="str">
        <f t="shared" ref="J4:J70" si="0">CONCATENATE("insert into CHB_INFOMGR_RESULT_CONFIG (RESULT_ID,MGRTABLE_ID,COLUMN_ID,COLUMN_NAME,DICTCODE,ORDER_NO,SHOWFLAG,REAL_COLUMN_ID) values (",B4,",'",C4,"','",D4,"','",E4,"','",F4,"','",G4,"','",H4,"','",I4,"');")</f>
        <v>insert into CHB_INFOMGR_RESULT_CONFIG (RESULT_ID,MGRTABLE_ID,COLUMN_ID,COLUMN_NAME,DICTCODE,ORDER_NO,SHOWFLAG,REAL_COLUMN_ID) values (f_guid(),'CHB_PRD_BASEINFO','PRODUUID','主键','','1','N','');</v>
      </c>
    </row>
    <row r="5" spans="1:10" outlineLevel="1" x14ac:dyDescent="0.15">
      <c r="A5" s="4">
        <v>2</v>
      </c>
      <c r="B5" s="4" t="s">
        <v>74</v>
      </c>
      <c r="C5" s="4" t="s">
        <v>757</v>
      </c>
      <c r="D5" s="4" t="s">
        <v>760</v>
      </c>
      <c r="E5" s="4" t="s">
        <v>761</v>
      </c>
      <c r="F5" s="4"/>
      <c r="G5" s="4">
        <v>2</v>
      </c>
      <c r="H5" s="4" t="s">
        <v>72</v>
      </c>
      <c r="I5" s="4"/>
      <c r="J5" s="2" t="str">
        <f t="shared" si="0"/>
        <v>insert into CHB_INFOMGR_RESULT_CONFIG (RESULT_ID,MGRTABLE_ID,COLUMN_ID,COLUMN_NAME,DICTCODE,ORDER_NO,SHOWFLAG,REAL_COLUMN_ID) values (f_guid(),'CHB_PRD_BASEINFO','FPROD_ID','父产品代码','','2','Y','');</v>
      </c>
    </row>
    <row r="6" spans="1:10" outlineLevel="1" x14ac:dyDescent="0.15">
      <c r="A6" s="4">
        <v>3</v>
      </c>
      <c r="B6" s="4" t="s">
        <v>74</v>
      </c>
      <c r="C6" s="4" t="s">
        <v>757</v>
      </c>
      <c r="D6" s="4" t="s">
        <v>87</v>
      </c>
      <c r="E6" s="4" t="s">
        <v>1130</v>
      </c>
      <c r="F6" s="4"/>
      <c r="G6" s="4">
        <v>3</v>
      </c>
      <c r="H6" s="4" t="s">
        <v>72</v>
      </c>
      <c r="I6" s="4"/>
      <c r="J6" s="2" t="str">
        <f t="shared" si="0"/>
        <v>insert into CHB_INFOMGR_RESULT_CONFIG (RESULT_ID,MGRTABLE_ID,COLUMN_ID,COLUMN_NAME,DICTCODE,ORDER_NO,SHOWFLAG,REAL_COLUMN_ID) values (f_guid(),'CHB_PRD_BASEINFO','PROD_ID','**产品代码','','3','Y','');</v>
      </c>
    </row>
    <row r="7" spans="1:10" outlineLevel="1" x14ac:dyDescent="0.15">
      <c r="A7" s="4">
        <v>4</v>
      </c>
      <c r="B7" s="4" t="s">
        <v>74</v>
      </c>
      <c r="C7" s="4" t="s">
        <v>757</v>
      </c>
      <c r="D7" s="4" t="s">
        <v>17</v>
      </c>
      <c r="E7" s="4" t="s">
        <v>1131</v>
      </c>
      <c r="F7" s="4"/>
      <c r="G7" s="4">
        <v>4</v>
      </c>
      <c r="H7" s="4" t="s">
        <v>72</v>
      </c>
      <c r="I7" s="4"/>
      <c r="J7" s="2" t="str">
        <f t="shared" si="0"/>
        <v>insert into CHB_INFOMGR_RESULT_CONFIG (RESULT_ID,MGRTABLE_ID,COLUMN_ID,COLUMN_NAME,DICTCODE,ORDER_NO,SHOWFLAG,REAL_COLUMN_ID) values (f_guid(),'CHB_PRD_BASEINFO','PROD_NAME','**产品名称','','4','Y','');</v>
      </c>
    </row>
    <row r="8" spans="1:10" outlineLevel="1" x14ac:dyDescent="0.15">
      <c r="A8" s="4">
        <v>5</v>
      </c>
      <c r="B8" s="4" t="s">
        <v>74</v>
      </c>
      <c r="C8" s="4" t="s">
        <v>757</v>
      </c>
      <c r="D8" s="4" t="s">
        <v>21</v>
      </c>
      <c r="E8" s="4" t="s">
        <v>1132</v>
      </c>
      <c r="F8" s="4"/>
      <c r="G8" s="4">
        <v>5</v>
      </c>
      <c r="H8" s="4" t="s">
        <v>72</v>
      </c>
      <c r="I8" s="4"/>
      <c r="J8" s="2" t="str">
        <f t="shared" si="0"/>
        <v>insert into CHB_INFOMGR_RESULT_CONFIG (RESULT_ID,MGRTABLE_ID,COLUMN_ID,COLUMN_NAME,DICTCODE,ORDER_NO,SHOWFLAG,REAL_COLUMN_ID) values (f_guid(),'CHB_PRD_BASEINFO','ISSUE_PARTY_ID','**发行机构代码','','5','Y','');</v>
      </c>
    </row>
    <row r="9" spans="1:10" outlineLevel="1" x14ac:dyDescent="0.15">
      <c r="A9" s="4">
        <v>6</v>
      </c>
      <c r="B9" s="4" t="s">
        <v>74</v>
      </c>
      <c r="C9" s="4" t="s">
        <v>757</v>
      </c>
      <c r="D9" s="4" t="s">
        <v>18</v>
      </c>
      <c r="E9" s="4" t="s">
        <v>53</v>
      </c>
      <c r="F9" s="4"/>
      <c r="G9" s="4">
        <v>6</v>
      </c>
      <c r="H9" s="4" t="s">
        <v>72</v>
      </c>
      <c r="I9" s="4"/>
      <c r="J9" s="2" t="str">
        <f t="shared" si="0"/>
        <v>insert into CHB_INFOMGR_RESULT_CONFIG (RESULT_ID,MGRTABLE_ID,COLUMN_ID,COLUMN_NAME,DICTCODE,ORDER_NO,SHOWFLAG,REAL_COLUMN_ID) values (f_guid(),'CHB_PRD_BASEINFO','PROD_INS_ID','行内标识码','','6','Y','');</v>
      </c>
    </row>
    <row r="10" spans="1:10" outlineLevel="1" x14ac:dyDescent="0.15">
      <c r="A10" s="4">
        <v>7</v>
      </c>
      <c r="B10" s="4" t="s">
        <v>74</v>
      </c>
      <c r="C10" s="4" t="s">
        <v>757</v>
      </c>
      <c r="D10" s="4" t="s">
        <v>75</v>
      </c>
      <c r="E10" s="4" t="s">
        <v>1133</v>
      </c>
      <c r="F10" s="4"/>
      <c r="G10" s="4">
        <v>7</v>
      </c>
      <c r="H10" s="4" t="s">
        <v>72</v>
      </c>
      <c r="I10" s="4"/>
      <c r="J10" s="2" t="str">
        <f t="shared" si="0"/>
        <v>insert into CHB_INFOMGR_RESULT_CONFIG (RESULT_ID,MGRTABLE_ID,COLUMN_ID,COLUMN_NAME,DICTCODE,ORDER_NO,SHOWFLAG,REAL_COLUMN_ID) values (f_guid(),'CHB_PRD_BASEINFO','RAISE_VDATE','**募集起始日期','','7','Y','');</v>
      </c>
    </row>
    <row r="11" spans="1:10" outlineLevel="1" x14ac:dyDescent="0.15">
      <c r="A11" s="4">
        <v>8</v>
      </c>
      <c r="B11" s="4" t="s">
        <v>74</v>
      </c>
      <c r="C11" s="4" t="s">
        <v>757</v>
      </c>
      <c r="D11" s="4" t="s">
        <v>76</v>
      </c>
      <c r="E11" s="4" t="s">
        <v>1134</v>
      </c>
      <c r="F11" s="4"/>
      <c r="G11" s="4">
        <v>8</v>
      </c>
      <c r="H11" s="4" t="s">
        <v>72</v>
      </c>
      <c r="I11" s="4"/>
      <c r="J11" s="2" t="str">
        <f t="shared" si="0"/>
        <v>insert into CHB_INFOMGR_RESULT_CONFIG (RESULT_ID,MGRTABLE_ID,COLUMN_ID,COLUMN_NAME,DICTCODE,ORDER_NO,SHOWFLAG,REAL_COLUMN_ID) values (f_guid(),'CHB_PRD_BASEINFO','RAISE_ENDDATE','**募集结束日期','','8','Y','');</v>
      </c>
    </row>
    <row r="12" spans="1:10" outlineLevel="1" x14ac:dyDescent="0.15">
      <c r="A12" s="4">
        <v>9</v>
      </c>
      <c r="B12" s="4" t="s">
        <v>74</v>
      </c>
      <c r="C12" s="4" t="s">
        <v>757</v>
      </c>
      <c r="D12" s="4" t="s">
        <v>89</v>
      </c>
      <c r="E12" s="4" t="s">
        <v>1135</v>
      </c>
      <c r="F12" s="4"/>
      <c r="G12" s="4">
        <v>9</v>
      </c>
      <c r="H12" s="4" t="s">
        <v>72</v>
      </c>
      <c r="I12" s="4"/>
      <c r="J12" s="2" t="str">
        <f t="shared" si="0"/>
        <v>insert into CHB_INFOMGR_RESULT_CONFIG (RESULT_ID,MGRTABLE_ID,COLUMN_ID,COLUMN_NAME,DICTCODE,ORDER_NO,SHOWFLAG,REAL_COLUMN_ID) values (f_guid(),'CHB_PRD_BASEINFO','VDATE','**起息日','','9','Y','');</v>
      </c>
    </row>
    <row r="13" spans="1:10" outlineLevel="1" x14ac:dyDescent="0.15">
      <c r="A13" s="4">
        <v>10</v>
      </c>
      <c r="B13" s="4" t="s">
        <v>74</v>
      </c>
      <c r="C13" s="4" t="s">
        <v>757</v>
      </c>
      <c r="D13" s="4" t="s">
        <v>90</v>
      </c>
      <c r="E13" s="4" t="s">
        <v>1136</v>
      </c>
      <c r="F13" s="4"/>
      <c r="G13" s="4">
        <v>10</v>
      </c>
      <c r="H13" s="4" t="s">
        <v>72</v>
      </c>
      <c r="I13" s="4"/>
      <c r="J13" s="2" t="str">
        <f t="shared" si="0"/>
        <v>insert into CHB_INFOMGR_RESULT_CONFIG (RESULT_ID,MGRTABLE_ID,COLUMN_ID,COLUMN_NAME,DICTCODE,ORDER_NO,SHOWFLAG,REAL_COLUMN_ID) values (f_guid(),'CHB_PRD_BASEINFO','MDATE','**到期日','','10','Y','');</v>
      </c>
    </row>
    <row r="14" spans="1:10" outlineLevel="1" x14ac:dyDescent="0.15">
      <c r="A14" s="4">
        <v>11</v>
      </c>
      <c r="B14" s="4" t="s">
        <v>74</v>
      </c>
      <c r="C14" s="4" t="s">
        <v>757</v>
      </c>
      <c r="D14" s="4" t="s">
        <v>775</v>
      </c>
      <c r="E14" s="4" t="s">
        <v>776</v>
      </c>
      <c r="F14" s="4"/>
      <c r="G14" s="4">
        <v>11</v>
      </c>
      <c r="H14" s="4" t="s">
        <v>72</v>
      </c>
      <c r="I14" s="4"/>
      <c r="J14" s="2" t="str">
        <f t="shared" si="0"/>
        <v>insert into CHB_INFOMGR_RESULT_CONFIG (RESULT_ID,MGRTABLE_ID,COLUMN_ID,COLUMN_NAME,DICTCODE,ORDER_NO,SHOWFLAG,REAL_COLUMN_ID) values (f_guid(),'CHB_PRD_BASEINFO','TERMINATEDATE','提前终止日','','11','Y','');</v>
      </c>
    </row>
    <row r="15" spans="1:10" outlineLevel="1" x14ac:dyDescent="0.15">
      <c r="A15" s="4">
        <v>12</v>
      </c>
      <c r="B15" s="4" t="s">
        <v>74</v>
      </c>
      <c r="C15" s="4" t="s">
        <v>757</v>
      </c>
      <c r="D15" s="4" t="s">
        <v>23</v>
      </c>
      <c r="E15" s="4" t="s">
        <v>1137</v>
      </c>
      <c r="F15" s="4" t="s">
        <v>62</v>
      </c>
      <c r="G15" s="4">
        <v>12</v>
      </c>
      <c r="H15" s="4" t="s">
        <v>72</v>
      </c>
      <c r="I15" s="4"/>
      <c r="J15" s="2" t="str">
        <f t="shared" si="0"/>
        <v>insert into CHB_INFOMGR_RESULT_CONFIG (RESULT_ID,MGRTABLE_ID,COLUMN_ID,COLUMN_NAME,DICTCODE,ORDER_NO,SHOWFLAG,REAL_COLUMN_ID) values (f_guid(),'CHB_PRD_BASEINFO','PROFIT_TYPE','**产品收益类型','SVR_PROD_PROFIT_TYPE','12','Y','');</v>
      </c>
    </row>
    <row r="16" spans="1:10" outlineLevel="1" x14ac:dyDescent="0.15">
      <c r="A16" s="4">
        <v>13</v>
      </c>
      <c r="B16" s="4" t="s">
        <v>74</v>
      </c>
      <c r="C16" s="4" t="s">
        <v>757</v>
      </c>
      <c r="D16" s="4" t="s">
        <v>764</v>
      </c>
      <c r="E16" s="4" t="s">
        <v>1138</v>
      </c>
      <c r="F16" s="4" t="s">
        <v>785</v>
      </c>
      <c r="G16" s="4">
        <v>13</v>
      </c>
      <c r="H16" s="4" t="s">
        <v>72</v>
      </c>
      <c r="I16" s="4"/>
      <c r="J16" s="2" t="str">
        <f t="shared" si="0"/>
        <v>insert into CHB_INFOMGR_RESULT_CONFIG (RESULT_ID,MGRTABLE_ID,COLUMN_ID,COLUMN_NAME,DICTCODE,ORDER_NO,SHOWFLAG,REAL_COLUMN_ID) values (f_guid(),'CHB_PRD_BASEINFO','PRODTYPE','**产品类型','SVR_PRODTYPE','13','Y','');</v>
      </c>
    </row>
    <row r="17" spans="1:10" s="5" customFormat="1" outlineLevel="1" x14ac:dyDescent="0.15">
      <c r="A17" s="4">
        <v>14</v>
      </c>
      <c r="B17" s="4" t="s">
        <v>74</v>
      </c>
      <c r="C17" s="5" t="s">
        <v>757</v>
      </c>
      <c r="D17" s="5" t="s">
        <v>763</v>
      </c>
      <c r="E17" s="5" t="s">
        <v>1139</v>
      </c>
      <c r="F17" s="5" t="s">
        <v>786</v>
      </c>
      <c r="G17" s="4">
        <v>14</v>
      </c>
      <c r="H17" s="5" t="s">
        <v>72</v>
      </c>
      <c r="J17" s="2" t="str">
        <f t="shared" si="0"/>
        <v>insert into CHB_INFOMGR_RESULT_CONFIG (RESULT_ID,MGRTABLE_ID,COLUMN_ID,COLUMN_NAME,DICTCODE,ORDER_NO,SHOWFLAG,REAL_COLUMN_ID) values (f_guid(),'CHB_PRD_BASEINFO','BASIC','**计息基础','SVR_PROD_BASIS','14','Y','');</v>
      </c>
    </row>
    <row r="18" spans="1:10" outlineLevel="1" x14ac:dyDescent="0.15">
      <c r="A18" s="4">
        <v>15</v>
      </c>
      <c r="B18" s="4" t="s">
        <v>74</v>
      </c>
      <c r="C18" s="4" t="s">
        <v>757</v>
      </c>
      <c r="D18" s="4" t="s">
        <v>19</v>
      </c>
      <c r="E18" s="4" t="s">
        <v>54</v>
      </c>
      <c r="F18" s="4"/>
      <c r="G18" s="4">
        <v>15</v>
      </c>
      <c r="H18" s="4" t="s">
        <v>72</v>
      </c>
      <c r="I18" s="4"/>
      <c r="J18" s="2" t="str">
        <f t="shared" si="0"/>
        <v>insert into CHB_INFOMGR_RESULT_CONFIG (RESULT_ID,MGRTABLE_ID,COLUMN_ID,COLUMN_NAME,DICTCODE,ORDER_NO,SHOWFLAG,REAL_COLUMN_ID) values (f_guid(),'CHB_PRD_BASEINFO','PROD_BRAND','产品品牌','','15','Y','');</v>
      </c>
    </row>
    <row r="19" spans="1:10" outlineLevel="1" x14ac:dyDescent="0.15">
      <c r="A19" s="4">
        <v>16</v>
      </c>
      <c r="B19" s="4" t="s">
        <v>74</v>
      </c>
      <c r="C19" s="4" t="s">
        <v>757</v>
      </c>
      <c r="D19" s="4" t="s">
        <v>20</v>
      </c>
      <c r="E19" s="4" t="s">
        <v>1140</v>
      </c>
      <c r="F19" s="4"/>
      <c r="G19" s="4">
        <v>16</v>
      </c>
      <c r="H19" s="4" t="s">
        <v>72</v>
      </c>
      <c r="I19" s="4"/>
      <c r="J19" s="2" t="str">
        <f t="shared" si="0"/>
        <v>insert into CHB_INFOMGR_RESULT_CONFIG (RESULT_ID,MGRTABLE_ID,COLUMN_ID,COLUMN_NAME,DICTCODE,ORDER_NO,SHOWFLAG,REAL_COLUMN_ID) values (f_guid(),'CHB_PRD_BASEINFO','PROD_STAGE','产品期次','','16','Y','');</v>
      </c>
    </row>
    <row r="20" spans="1:10" outlineLevel="1" x14ac:dyDescent="0.15">
      <c r="A20" s="4">
        <v>17</v>
      </c>
      <c r="B20" s="4" t="s">
        <v>74</v>
      </c>
      <c r="C20" s="4" t="s">
        <v>757</v>
      </c>
      <c r="D20" s="4" t="s">
        <v>51</v>
      </c>
      <c r="E20" s="4" t="s">
        <v>1141</v>
      </c>
      <c r="F20" s="4" t="s">
        <v>66</v>
      </c>
      <c r="G20" s="4">
        <v>17</v>
      </c>
      <c r="H20" s="4" t="s">
        <v>72</v>
      </c>
      <c r="I20" s="4"/>
      <c r="J20" s="2" t="str">
        <f t="shared" si="0"/>
        <v>insert into CHB_INFOMGR_RESULT_CONFIG (RESULT_ID,MGRTABLE_ID,COLUMN_ID,COLUMN_NAME,DICTCODE,ORDER_NO,SHOWFLAG,REAL_COLUMN_ID) values (f_guid(),'CHB_PRD_BASEINFO','RAISE_TYPE','**募集方式','SVR_RAISE_TYPE','17','Y','');</v>
      </c>
    </row>
    <row r="21" spans="1:10" outlineLevel="1" x14ac:dyDescent="0.15">
      <c r="A21" s="4">
        <v>18</v>
      </c>
      <c r="B21" s="4" t="s">
        <v>74</v>
      </c>
      <c r="C21" s="4" t="s">
        <v>757</v>
      </c>
      <c r="D21" s="4" t="s">
        <v>24</v>
      </c>
      <c r="E21" s="4" t="s">
        <v>1142</v>
      </c>
      <c r="F21" s="4" t="s">
        <v>63</v>
      </c>
      <c r="G21" s="4">
        <v>18</v>
      </c>
      <c r="H21" s="4" t="s">
        <v>72</v>
      </c>
      <c r="I21" s="4"/>
      <c r="J21" s="2" t="str">
        <f t="shared" si="0"/>
        <v>insert into CHB_INFOMGR_RESULT_CONFIG (RESULT_ID,MGRTABLE_ID,COLUMN_ID,COLUMN_NAME,DICTCODE,ORDER_NO,SHOWFLAG,REAL_COLUMN_ID) values (f_guid(),'CHB_PRD_BASEINFO','TERMTYPE','**产品期限','SVR_PRODUCT_TERM','18','Y','');</v>
      </c>
    </row>
    <row r="22" spans="1:10" outlineLevel="1" x14ac:dyDescent="0.15">
      <c r="A22" s="4">
        <v>19</v>
      </c>
      <c r="B22" s="4" t="s">
        <v>74</v>
      </c>
      <c r="C22" s="4" t="s">
        <v>757</v>
      </c>
      <c r="D22" s="4" t="s">
        <v>42</v>
      </c>
      <c r="E22" s="4" t="s">
        <v>1143</v>
      </c>
      <c r="F22" s="4" t="s">
        <v>301</v>
      </c>
      <c r="G22" s="4">
        <v>19</v>
      </c>
      <c r="H22" s="4" t="s">
        <v>72</v>
      </c>
      <c r="I22" s="4"/>
      <c r="J22" s="2" t="str">
        <f t="shared" si="0"/>
        <v>insert into CHB_INFOMGR_RESULT_CONFIG (RESULT_ID,MGRTABLE_ID,COLUMN_ID,COLUMN_NAME,DICTCODE,ORDER_NO,SHOWFLAG,REAL_COLUMN_ID) values (f_guid(),'CHB_PRD_BASEINFO','EXC_FIN_SECTOR','**是否金融同业专属','SVR_YES_OR_NO','19','Y','');</v>
      </c>
    </row>
    <row r="23" spans="1:10" outlineLevel="1" x14ac:dyDescent="0.15">
      <c r="A23" s="4">
        <v>20</v>
      </c>
      <c r="B23" s="4" t="s">
        <v>74</v>
      </c>
      <c r="C23" s="4" t="s">
        <v>757</v>
      </c>
      <c r="D23" s="4" t="s">
        <v>26</v>
      </c>
      <c r="E23" s="4" t="s">
        <v>1144</v>
      </c>
      <c r="F23" s="4" t="s">
        <v>65</v>
      </c>
      <c r="G23" s="4">
        <v>20</v>
      </c>
      <c r="H23" s="4" t="s">
        <v>72</v>
      </c>
      <c r="I23" s="4"/>
      <c r="J23" s="2" t="str">
        <f t="shared" si="0"/>
        <v>insert into CHB_INFOMGR_RESULT_CONFIG (RESULT_ID,MGRTABLE_ID,COLUMN_ID,COLUMN_NAME,DICTCODE,ORDER_NO,SHOWFLAG,REAL_COLUMN_ID) values (f_guid(),'CHB_PRD_BASEINFO','OPERATE_MODE','**产品运作模式','SVR_OPERATEMODE_DECLARE','20','Y','');</v>
      </c>
    </row>
    <row r="24" spans="1:10" outlineLevel="1" x14ac:dyDescent="0.15">
      <c r="A24" s="4">
        <v>21</v>
      </c>
      <c r="B24" s="4" t="s">
        <v>74</v>
      </c>
      <c r="C24" s="4" t="s">
        <v>757</v>
      </c>
      <c r="D24" s="4" t="s">
        <v>43</v>
      </c>
      <c r="E24" s="4" t="s">
        <v>1145</v>
      </c>
      <c r="F24" s="4" t="s">
        <v>301</v>
      </c>
      <c r="G24" s="4">
        <v>21</v>
      </c>
      <c r="H24" s="4" t="s">
        <v>72</v>
      </c>
      <c r="I24" s="4"/>
      <c r="J24" s="2" t="str">
        <f t="shared" si="0"/>
        <v>insert into CHB_INFOMGR_RESULT_CONFIG (RESULT_ID,MGRTABLE_ID,COLUMN_ID,COLUMN_NAME,DICTCODE,ORDER_NO,SHOWFLAG,REAL_COLUMN_ID) values (f_guid(),'CHB_PRD_BASEINFO','IS_SHORT_TERM','*是否设置最短持有期限','SVR_YES_OR_NO','21','Y','');</v>
      </c>
    </row>
    <row r="25" spans="1:10" outlineLevel="1" x14ac:dyDescent="0.15">
      <c r="A25" s="4">
        <v>22</v>
      </c>
      <c r="B25" s="4" t="s">
        <v>74</v>
      </c>
      <c r="C25" s="4" t="s">
        <v>757</v>
      </c>
      <c r="D25" s="4" t="s">
        <v>44</v>
      </c>
      <c r="E25" s="4" t="s">
        <v>1146</v>
      </c>
      <c r="F25" s="4"/>
      <c r="G25" s="4">
        <v>22</v>
      </c>
      <c r="H25" s="4" t="s">
        <v>72</v>
      </c>
      <c r="I25" s="4"/>
      <c r="J25" s="2" t="str">
        <f t="shared" si="0"/>
        <v>insert into CHB_INFOMGR_RESULT_CONFIG (RESULT_ID,MGRTABLE_ID,COLUMN_ID,COLUMN_NAME,DICTCODE,ORDER_NO,SHOWFLAG,REAL_COLUMN_ID) values (f_guid(),'CHB_PRD_BASEINFO','SHORT_TERM','*最短持有期限(天)','','22','Y','');</v>
      </c>
    </row>
    <row r="26" spans="1:10" outlineLevel="1" x14ac:dyDescent="0.15">
      <c r="A26" s="4">
        <v>23</v>
      </c>
      <c r="B26" s="4" t="s">
        <v>74</v>
      </c>
      <c r="C26" s="4" t="s">
        <v>757</v>
      </c>
      <c r="D26" s="4" t="s">
        <v>45</v>
      </c>
      <c r="E26" s="4" t="s">
        <v>1147</v>
      </c>
      <c r="F26" s="4" t="s">
        <v>301</v>
      </c>
      <c r="G26" s="4">
        <v>23</v>
      </c>
      <c r="H26" s="4" t="s">
        <v>72</v>
      </c>
      <c r="I26" s="4"/>
      <c r="J26" s="2" t="str">
        <f t="shared" si="0"/>
        <v>insert into CHB_INFOMGR_RESULT_CONFIG (RESULT_ID,MGRTABLE_ID,COLUMN_ID,COLUMN_NAME,DICTCODE,ORDER_NO,SHOWFLAG,REAL_COLUMN_ID) values (f_guid(),'CHB_PRD_BASEINFO','CASH_MANA_CATE','*是否现金管理类','SVR_YES_OR_NO','23','Y','');</v>
      </c>
    </row>
    <row r="27" spans="1:10" outlineLevel="1" x14ac:dyDescent="0.15">
      <c r="A27" s="4">
        <v>24</v>
      </c>
      <c r="B27" s="4" t="s">
        <v>74</v>
      </c>
      <c r="C27" s="4" t="s">
        <v>757</v>
      </c>
      <c r="D27" s="4" t="s">
        <v>41</v>
      </c>
      <c r="E27" s="4" t="s">
        <v>1148</v>
      </c>
      <c r="F27" s="4" t="s">
        <v>67</v>
      </c>
      <c r="G27" s="4">
        <v>24</v>
      </c>
      <c r="H27" s="4" t="s">
        <v>72</v>
      </c>
      <c r="I27" s="4"/>
      <c r="J27" s="2" t="str">
        <f t="shared" si="0"/>
        <v>insert into CHB_INFOMGR_RESULT_CONFIG (RESULT_ID,MGRTABLE_ID,COLUMN_ID,COLUMN_NAME,DICTCODE,ORDER_NO,SHOWFLAG,REAL_COLUMN_ID) values (f_guid(),'CHB_PRD_BASEINFO','IVSTORIENTATION','**投资性质','INVEST_TYPE','24','Y','');</v>
      </c>
    </row>
    <row r="28" spans="1:10" outlineLevel="1" x14ac:dyDescent="0.15">
      <c r="A28" s="4">
        <v>25</v>
      </c>
      <c r="B28" s="4" t="s">
        <v>74</v>
      </c>
      <c r="C28" s="4" t="s">
        <v>757</v>
      </c>
      <c r="D28" s="4" t="s">
        <v>27</v>
      </c>
      <c r="E28" s="4" t="s">
        <v>1149</v>
      </c>
      <c r="F28" s="4" t="s">
        <v>69</v>
      </c>
      <c r="G28" s="4">
        <v>25</v>
      </c>
      <c r="H28" s="4" t="s">
        <v>72</v>
      </c>
      <c r="I28" s="4"/>
      <c r="J28" s="2" t="str">
        <f t="shared" si="0"/>
        <v>insert into CHB_INFOMGR_RESULT_CONFIG (RESULT_ID,MGRTABLE_ID,COLUMN_ID,COLUMN_NAME,DICTCODE,ORDER_NO,SHOWFLAG,REAL_COLUMN_ID) values (f_guid(),'CHB_PRD_BASEINFO','CONT_MODE','**合作模式','SVR_CONTMODE','25','Y','');</v>
      </c>
    </row>
    <row r="29" spans="1:10" outlineLevel="1" x14ac:dyDescent="0.15">
      <c r="A29" s="4">
        <v>26</v>
      </c>
      <c r="B29" s="4" t="s">
        <v>74</v>
      </c>
      <c r="C29" s="4" t="s">
        <v>757</v>
      </c>
      <c r="D29" s="4" t="s">
        <v>28</v>
      </c>
      <c r="E29" s="4" t="s">
        <v>1150</v>
      </c>
      <c r="F29" s="4" t="s">
        <v>91</v>
      </c>
      <c r="G29" s="4">
        <v>26</v>
      </c>
      <c r="H29" s="4" t="s">
        <v>72</v>
      </c>
      <c r="I29" s="4"/>
      <c r="J29" s="2" t="str">
        <f t="shared" si="0"/>
        <v>insert into CHB_INFOMGR_RESULT_CONFIG (RESULT_ID,MGRTABLE_ID,COLUMN_ID,COLUMN_NAME,DICTCODE,ORDER_NO,SHOWFLAG,REAL_COLUMN_ID) values (f_guid(),'CHB_PRD_BASEINFO','RAISE_CCY','**募集币种','CURRENCY_CHB','26','Y','');</v>
      </c>
    </row>
    <row r="30" spans="1:10" outlineLevel="1" x14ac:dyDescent="0.15">
      <c r="A30" s="4">
        <v>27</v>
      </c>
      <c r="B30" s="4" t="s">
        <v>74</v>
      </c>
      <c r="C30" s="4" t="s">
        <v>757</v>
      </c>
      <c r="D30" s="4" t="s">
        <v>29</v>
      </c>
      <c r="E30" s="4" t="s">
        <v>1151</v>
      </c>
      <c r="F30" s="4" t="s">
        <v>91</v>
      </c>
      <c r="G30" s="4">
        <v>27</v>
      </c>
      <c r="H30" s="4" t="s">
        <v>72</v>
      </c>
      <c r="I30" s="4"/>
      <c r="J30" s="2" t="str">
        <f t="shared" si="0"/>
        <v>insert into CHB_INFOMGR_RESULT_CONFIG (RESULT_ID,MGRTABLE_ID,COLUMN_ID,COLUMN_NAME,DICTCODE,ORDER_NO,SHOWFLAG,REAL_COLUMN_ID) values (f_guid(),'CHB_PRD_BASEINFO','CASH_PRIN_CCY','**兑付本金币种','CURRENCY_CHB','27','Y','');</v>
      </c>
    </row>
    <row r="31" spans="1:10" outlineLevel="1" x14ac:dyDescent="0.15">
      <c r="A31" s="4">
        <v>28</v>
      </c>
      <c r="B31" s="4" t="s">
        <v>74</v>
      </c>
      <c r="C31" s="4" t="s">
        <v>757</v>
      </c>
      <c r="D31" s="4" t="s">
        <v>30</v>
      </c>
      <c r="E31" s="4" t="s">
        <v>1152</v>
      </c>
      <c r="F31" s="4" t="s">
        <v>91</v>
      </c>
      <c r="G31" s="4">
        <v>28</v>
      </c>
      <c r="H31" s="4" t="s">
        <v>72</v>
      </c>
      <c r="I31" s="4"/>
      <c r="J31" s="2" t="str">
        <f t="shared" si="0"/>
        <v>insert into CHB_INFOMGR_RESULT_CONFIG (RESULT_ID,MGRTABLE_ID,COLUMN_ID,COLUMN_NAME,DICTCODE,ORDER_NO,SHOWFLAG,REAL_COLUMN_ID) values (f_guid(),'CHB_PRD_BASEINFO','CASH_PROF_CCY','**兑付收益币种','CURRENCY_CHB','28','Y','');</v>
      </c>
    </row>
    <row r="32" spans="1:10" outlineLevel="1" x14ac:dyDescent="0.15">
      <c r="A32" s="4">
        <v>29</v>
      </c>
      <c r="B32" s="4" t="s">
        <v>74</v>
      </c>
      <c r="C32" s="4" t="s">
        <v>757</v>
      </c>
      <c r="D32" s="4" t="s">
        <v>25</v>
      </c>
      <c r="E32" s="4" t="s">
        <v>1153</v>
      </c>
      <c r="F32" s="4" t="s">
        <v>64</v>
      </c>
      <c r="G32" s="4">
        <v>29</v>
      </c>
      <c r="H32" s="4" t="s">
        <v>72</v>
      </c>
      <c r="I32" s="4"/>
      <c r="J32" s="2" t="str">
        <f t="shared" si="0"/>
        <v>insert into CHB_INFOMGR_RESULT_CONFIG (RESULT_ID,MGRTABLE_ID,COLUMN_ID,COLUMN_NAME,DICTCODE,ORDER_NO,SHOWFLAG,REAL_COLUMN_ID) values (f_guid(),'CHB_PRD_BASEINFO','INVEST_ARAE','**资金投向地区','SVR_SALEAREA_DECLARE','29','Y','');</v>
      </c>
    </row>
    <row r="33" spans="1:10" outlineLevel="1" x14ac:dyDescent="0.15">
      <c r="A33" s="4">
        <v>30</v>
      </c>
      <c r="B33" s="4" t="s">
        <v>74</v>
      </c>
      <c r="C33" s="4" t="s">
        <v>757</v>
      </c>
      <c r="D33" s="4" t="s">
        <v>31</v>
      </c>
      <c r="E33" s="4" t="s">
        <v>1154</v>
      </c>
      <c r="F33" s="4" t="s">
        <v>68</v>
      </c>
      <c r="G33" s="4">
        <v>30</v>
      </c>
      <c r="H33" s="4" t="s">
        <v>72</v>
      </c>
      <c r="I33" s="4"/>
      <c r="J33" s="2" t="str">
        <f t="shared" si="0"/>
        <v>insert into CHB_INFOMGR_RESULT_CONFIG (RESULT_ID,MGRTABLE_ID,COLUMN_ID,COLUMN_NAME,DICTCODE,ORDER_NO,SHOWFLAG,REAL_COLUMN_ID) values (f_guid(),'CHB_PRD_BASEINFO','IN_DEP_NAME','*境内托管机构名称','SVR_IN_DEP_NAME','30','Y','');</v>
      </c>
    </row>
    <row r="34" spans="1:10" s="5" customFormat="1" outlineLevel="1" x14ac:dyDescent="0.15">
      <c r="A34" s="5">
        <v>31</v>
      </c>
      <c r="B34" s="5" t="s">
        <v>74</v>
      </c>
      <c r="C34" s="5" t="s">
        <v>757</v>
      </c>
      <c r="D34" s="5" t="s">
        <v>32</v>
      </c>
      <c r="E34" s="5" t="s">
        <v>55</v>
      </c>
      <c r="G34" s="5">
        <v>31</v>
      </c>
      <c r="H34" s="5" t="s">
        <v>72</v>
      </c>
      <c r="J34" s="5" t="str">
        <f t="shared" si="0"/>
        <v>insert into CHB_INFOMGR_RESULT_CONFIG (RESULT_ID,MGRTABLE_ID,COLUMN_ID,COLUMN_NAME,DICTCODE,ORDER_NO,SHOWFLAG,REAL_COLUMN_ID) values (f_guid(),'CHB_PRD_BASEINFO','IN_DEP_CODE','境内托管机构代码','','31','Y','');</v>
      </c>
    </row>
    <row r="35" spans="1:10" outlineLevel="1" x14ac:dyDescent="0.15">
      <c r="A35" s="4">
        <v>32</v>
      </c>
      <c r="B35" s="4" t="s">
        <v>74</v>
      </c>
      <c r="C35" s="4" t="s">
        <v>757</v>
      </c>
      <c r="D35" s="4" t="s">
        <v>33</v>
      </c>
      <c r="E35" s="4" t="s">
        <v>1155</v>
      </c>
      <c r="F35" s="4" t="s">
        <v>322</v>
      </c>
      <c r="G35" s="4">
        <v>32</v>
      </c>
      <c r="H35" s="4" t="s">
        <v>72</v>
      </c>
      <c r="I35" s="4"/>
      <c r="J35" s="2" t="str">
        <f t="shared" si="0"/>
        <v>insert into CHB_INFOMGR_RESULT_CONFIG (RESULT_ID,MGRTABLE_ID,COLUMN_ID,COLUMN_NAME,DICTCODE,ORDER_NO,SHOWFLAG,REAL_COLUMN_ID) values (f_guid(),'CHB_PRD_BASEINFO','OUT_DEP_CTRY','*境外托管机构国别','SVR_COUNTRY_AREA','32','Y','');</v>
      </c>
    </row>
    <row r="36" spans="1:10" outlineLevel="1" x14ac:dyDescent="0.15">
      <c r="A36" s="4">
        <v>33</v>
      </c>
      <c r="B36" s="4" t="s">
        <v>74</v>
      </c>
      <c r="C36" s="4" t="s">
        <v>757</v>
      </c>
      <c r="D36" s="4" t="s">
        <v>34</v>
      </c>
      <c r="E36" s="4" t="s">
        <v>1156</v>
      </c>
      <c r="F36" s="4"/>
      <c r="G36" s="4">
        <v>33</v>
      </c>
      <c r="H36" s="4" t="s">
        <v>72</v>
      </c>
      <c r="I36" s="4"/>
      <c r="J36" s="2" t="str">
        <f t="shared" si="0"/>
        <v>insert into CHB_INFOMGR_RESULT_CONFIG (RESULT_ID,MGRTABLE_ID,COLUMN_ID,COLUMN_NAME,DICTCODE,ORDER_NO,SHOWFLAG,REAL_COLUMN_ID) values (f_guid(),'CHB_PRD_BASEINFO','OUT_DEP_NAME','*境外托管机构名称','','33','Y','');</v>
      </c>
    </row>
    <row r="37" spans="1:10" outlineLevel="1" x14ac:dyDescent="0.15">
      <c r="A37" s="4">
        <v>34</v>
      </c>
      <c r="B37" s="4" t="s">
        <v>74</v>
      </c>
      <c r="C37" s="4" t="s">
        <v>757</v>
      </c>
      <c r="D37" s="4" t="s">
        <v>35</v>
      </c>
      <c r="E37" s="4" t="s">
        <v>1157</v>
      </c>
      <c r="F37" s="4" t="s">
        <v>70</v>
      </c>
      <c r="G37" s="4">
        <v>34</v>
      </c>
      <c r="H37" s="4" t="s">
        <v>72</v>
      </c>
      <c r="I37" s="4"/>
      <c r="J37" s="2" t="str">
        <f t="shared" si="0"/>
        <v>insert into CHB_INFOMGR_RESULT_CONFIG (RESULT_ID,MGRTABLE_ID,COLUMN_ID,COLUMN_NAME,DICTCODE,ORDER_NO,SHOWFLAG,REAL_COLUMN_ID) values (f_guid(),'CHB_PRD_BASEINFO','TERM_RIGHT_FLAG','**发行机构提前终止权标识','SVR_HAVE_OR_NOT','34','Y','');</v>
      </c>
    </row>
    <row r="38" spans="1:10" outlineLevel="1" x14ac:dyDescent="0.15">
      <c r="A38" s="4">
        <v>35</v>
      </c>
      <c r="B38" s="4" t="s">
        <v>74</v>
      </c>
      <c r="C38" s="4" t="s">
        <v>757</v>
      </c>
      <c r="D38" s="4" t="s">
        <v>36</v>
      </c>
      <c r="E38" s="4" t="s">
        <v>1158</v>
      </c>
      <c r="F38" s="4" t="s">
        <v>70</v>
      </c>
      <c r="G38" s="4">
        <v>35</v>
      </c>
      <c r="H38" s="4" t="s">
        <v>72</v>
      </c>
      <c r="I38" s="4"/>
      <c r="J38" s="2" t="str">
        <f t="shared" si="0"/>
        <v>insert into CHB_INFOMGR_RESULT_CONFIG (RESULT_ID,MGRTABLE_ID,COLUMN_ID,COLUMN_NAME,DICTCODE,ORDER_NO,SHOWFLAG,REAL_COLUMN_ID) values (f_guid(),'CHB_PRD_BASEINFO','CUS_REDEEM_FLAG','**客户赎回权标识','SVR_HAVE_OR_NOT','35','Y','');</v>
      </c>
    </row>
    <row r="39" spans="1:10" outlineLevel="1" x14ac:dyDescent="0.15">
      <c r="A39" s="4">
        <v>36</v>
      </c>
      <c r="B39" s="4" t="s">
        <v>74</v>
      </c>
      <c r="C39" s="4" t="s">
        <v>757</v>
      </c>
      <c r="D39" s="4" t="s">
        <v>37</v>
      </c>
      <c r="E39" s="4" t="s">
        <v>1159</v>
      </c>
      <c r="F39" s="4" t="s">
        <v>70</v>
      </c>
      <c r="G39" s="4">
        <v>36</v>
      </c>
      <c r="H39" s="4" t="s">
        <v>72</v>
      </c>
      <c r="I39" s="4"/>
      <c r="J39" s="2" t="str">
        <f t="shared" si="0"/>
        <v>insert into CHB_INFOMGR_RESULT_CONFIG (RESULT_ID,MGRTABLE_ID,COLUMN_ID,COLUMN_NAME,DICTCODE,ORDER_NO,SHOWFLAG,REAL_COLUMN_ID) values (f_guid(),'CHB_PRD_BASEINFO','CREDIT_FLAG','**产品增信标识','SVR_HAVE_OR_NOT','36','Y','');</v>
      </c>
    </row>
    <row r="40" spans="1:10" outlineLevel="1" x14ac:dyDescent="0.15">
      <c r="A40" s="4">
        <v>37</v>
      </c>
      <c r="B40" s="4" t="s">
        <v>74</v>
      </c>
      <c r="C40" s="4" t="s">
        <v>757</v>
      </c>
      <c r="D40" s="4" t="s">
        <v>38</v>
      </c>
      <c r="E40" s="4" t="s">
        <v>1160</v>
      </c>
      <c r="F40" s="4" t="s">
        <v>765</v>
      </c>
      <c r="G40" s="4">
        <v>37</v>
      </c>
      <c r="H40" s="4" t="s">
        <v>72</v>
      </c>
      <c r="I40" s="4"/>
      <c r="J40" s="2" t="str">
        <f t="shared" si="0"/>
        <v>insert into CHB_INFOMGR_RESULT_CONFIG (RESULT_ID,MGRTABLE_ID,COLUMN_ID,COLUMN_NAME,DICTCODE,ORDER_NO,SHOWFLAG,REAL_COLUMN_ID) values (f_guid(),'CHB_PRD_BASEINFO','CREDIT_TYPE','*产品增信机构类型','SVR_CREDIT_TYPE','37','Y','');</v>
      </c>
    </row>
    <row r="41" spans="1:10" outlineLevel="1" x14ac:dyDescent="0.15">
      <c r="A41" s="4">
        <v>38</v>
      </c>
      <c r="B41" s="4" t="s">
        <v>74</v>
      </c>
      <c r="C41" s="4" t="s">
        <v>757</v>
      </c>
      <c r="D41" s="4" t="s">
        <v>39</v>
      </c>
      <c r="E41" s="4" t="s">
        <v>1161</v>
      </c>
      <c r="F41" s="4" t="s">
        <v>71</v>
      </c>
      <c r="G41" s="4">
        <v>38</v>
      </c>
      <c r="H41" s="4" t="s">
        <v>72</v>
      </c>
      <c r="I41" s="4"/>
      <c r="J41" s="2" t="str">
        <f t="shared" si="0"/>
        <v>insert into CHB_INFOMGR_RESULT_CONFIG (RESULT_ID,MGRTABLE_ID,COLUMN_ID,COLUMN_NAME,DICTCODE,ORDER_NO,SHOWFLAG,REAL_COLUMN_ID) values (f_guid(),'CHB_PRD_BASEINFO','CREDIT_MODE','*产品增信形式','SVR_CREDIT_MODE','38','Y','');</v>
      </c>
    </row>
    <row r="42" spans="1:10" outlineLevel="1" x14ac:dyDescent="0.15">
      <c r="A42" s="4">
        <v>39</v>
      </c>
      <c r="B42" s="4" t="s">
        <v>74</v>
      </c>
      <c r="C42" s="4" t="s">
        <v>757</v>
      </c>
      <c r="D42" s="4" t="s">
        <v>77</v>
      </c>
      <c r="E42" s="4" t="s">
        <v>1162</v>
      </c>
      <c r="F42" s="4" t="s">
        <v>301</v>
      </c>
      <c r="G42" s="4">
        <v>39</v>
      </c>
      <c r="H42" s="4" t="s">
        <v>72</v>
      </c>
      <c r="I42" s="4"/>
      <c r="J42" s="2" t="str">
        <f t="shared" si="0"/>
        <v>insert into CHB_INFOMGR_RESULT_CONFIG (RESULT_ID,MGRTABLE_ID,COLUMN_ID,COLUMN_NAME,DICTCODE,ORDER_NO,SHOWFLAG,REAL_COLUMN_ID) values (f_guid(),'CHB_PRD_BASEINFO','IS_CONSTRACTE','是否结构化分级产品','SVR_YES_OR_NO','39','Y','');</v>
      </c>
    </row>
    <row r="43" spans="1:10" outlineLevel="1" x14ac:dyDescent="0.15">
      <c r="A43" s="4">
        <v>40</v>
      </c>
      <c r="B43" s="4" t="s">
        <v>74</v>
      </c>
      <c r="C43" s="4" t="s">
        <v>757</v>
      </c>
      <c r="D43" s="4" t="s">
        <v>769</v>
      </c>
      <c r="E43" s="4" t="s">
        <v>1163</v>
      </c>
      <c r="F43" s="4"/>
      <c r="G43" s="4">
        <v>40</v>
      </c>
      <c r="H43" s="4" t="s">
        <v>72</v>
      </c>
      <c r="I43" s="4"/>
      <c r="J43" s="2" t="str">
        <f t="shared" si="0"/>
        <v>insert into CHB_INFOMGR_RESULT_CONFIG (RESULT_ID,MGRTABLE_ID,COLUMN_ID,COLUMN_NAME,DICTCODE,ORDER_NO,SHOWFLAG,REAL_COLUMN_ID) values (f_guid(),'CHB_PRD_BASEINFO','LOW_YIELD_ISSUE','预计客户最低收益率','','40','Y','');</v>
      </c>
    </row>
    <row r="44" spans="1:10" outlineLevel="1" x14ac:dyDescent="0.15">
      <c r="A44" s="4">
        <v>41</v>
      </c>
      <c r="B44" s="4" t="s">
        <v>74</v>
      </c>
      <c r="C44" s="4" t="s">
        <v>757</v>
      </c>
      <c r="D44" s="4" t="s">
        <v>768</v>
      </c>
      <c r="E44" s="4" t="s">
        <v>1164</v>
      </c>
      <c r="F44" s="4"/>
      <c r="G44" s="4">
        <v>41</v>
      </c>
      <c r="H44" s="4" t="s">
        <v>72</v>
      </c>
      <c r="I44" s="4"/>
      <c r="J44" s="2" t="str">
        <f t="shared" si="0"/>
        <v>insert into CHB_INFOMGR_RESULT_CONFIG (RESULT_ID,MGRTABLE_ID,COLUMN_ID,COLUMN_NAME,DICTCODE,ORDER_NO,SHOWFLAG,REAL_COLUMN_ID) values (f_guid(),'CHB_PRD_BASEINFO','HIGH_YIELD_ISSUE','预计客户最高年收益率','','41','Y','');</v>
      </c>
    </row>
    <row r="45" spans="1:10" outlineLevel="1" x14ac:dyDescent="0.15">
      <c r="A45" s="4">
        <v>42</v>
      </c>
      <c r="B45" s="4" t="s">
        <v>74</v>
      </c>
      <c r="C45" s="4" t="s">
        <v>757</v>
      </c>
      <c r="D45" s="4" t="s">
        <v>779</v>
      </c>
      <c r="E45" s="4" t="s">
        <v>1165</v>
      </c>
      <c r="F45" s="4"/>
      <c r="G45" s="4">
        <v>42</v>
      </c>
      <c r="H45" s="4" t="s">
        <v>72</v>
      </c>
      <c r="I45" s="4"/>
      <c r="J45" s="2" t="str">
        <f t="shared" si="0"/>
        <v>insert into CHB_INFOMGR_RESULT_CONFIG (RESULT_ID,MGRTABLE_ID,COLUMN_ID,COLUMN_NAME,DICTCODE,ORDER_NO,SHOWFLAG,REAL_COLUMN_ID) values (f_guid(),'CHB_PRD_BASEINFO','YIELD_LOW','业绩比较基准下限%','','42','Y','');</v>
      </c>
    </row>
    <row r="46" spans="1:10" outlineLevel="1" x14ac:dyDescent="0.15">
      <c r="A46" s="4">
        <v>43</v>
      </c>
      <c r="B46" s="4" t="s">
        <v>74</v>
      </c>
      <c r="C46" s="4" t="s">
        <v>757</v>
      </c>
      <c r="D46" s="4" t="s">
        <v>780</v>
      </c>
      <c r="E46" s="4" t="s">
        <v>1166</v>
      </c>
      <c r="F46" s="4"/>
      <c r="G46" s="4">
        <v>43</v>
      </c>
      <c r="H46" s="4" t="s">
        <v>72</v>
      </c>
      <c r="I46" s="4"/>
      <c r="J46" s="2" t="str">
        <f t="shared" si="0"/>
        <v>insert into CHB_INFOMGR_RESULT_CONFIG (RESULT_ID,MGRTABLE_ID,COLUMN_ID,COLUMN_NAME,DICTCODE,ORDER_NO,SHOWFLAG,REAL_COLUMN_ID) values (f_guid(),'CHB_PRD_BASEINFO','YIELD_HIGH','业绩比较基准上限%','','43','Y','');</v>
      </c>
    </row>
    <row r="47" spans="1:10" outlineLevel="1" x14ac:dyDescent="0.15">
      <c r="A47" s="4">
        <v>44</v>
      </c>
      <c r="B47" s="4" t="s">
        <v>74</v>
      </c>
      <c r="C47" s="4" t="s">
        <v>757</v>
      </c>
      <c r="D47" s="4" t="s">
        <v>781</v>
      </c>
      <c r="E47" s="4" t="s">
        <v>1167</v>
      </c>
      <c r="F47" s="4"/>
      <c r="G47" s="4">
        <v>44</v>
      </c>
      <c r="H47" s="4" t="s">
        <v>72</v>
      </c>
      <c r="I47" s="4"/>
      <c r="J47" s="2" t="str">
        <f t="shared" si="0"/>
        <v>insert into CHB_INFOMGR_RESULT_CONFIG (RESULT_ID,MGRTABLE_ID,COLUMN_ID,COLUMN_NAME,DICTCODE,ORDER_NO,SHOWFLAG,REAL_COLUMN_ID) values (f_guid(),'CHB_PRD_BASEINFO','YIELD_REMARK','业绩比较基准说明','','44','Y','');</v>
      </c>
    </row>
    <row r="48" spans="1:10" outlineLevel="1" x14ac:dyDescent="0.15">
      <c r="A48" s="4">
        <v>45</v>
      </c>
      <c r="B48" s="4" t="s">
        <v>74</v>
      </c>
      <c r="C48" s="4" t="s">
        <v>757</v>
      </c>
      <c r="D48" s="4" t="s">
        <v>78</v>
      </c>
      <c r="E48" s="4" t="s">
        <v>1168</v>
      </c>
      <c r="F48" s="4" t="s">
        <v>88</v>
      </c>
      <c r="G48" s="4">
        <v>45</v>
      </c>
      <c r="H48" s="4" t="s">
        <v>72</v>
      </c>
      <c r="I48" s="4"/>
      <c r="J48" s="2" t="str">
        <f t="shared" si="0"/>
        <v>insert into CHB_INFOMGR_RESULT_CONFIG (RESULT_ID,MGRTABLE_ID,COLUMN_ID,COLUMN_NAME,DICTCODE,ORDER_NO,SHOWFLAG,REAL_COLUMN_ID) values (f_guid(),'CHB_PRD_BASEINFO','OPEN_MODE','*开放模式','SVR_OPEN_MODE','45','Y','');</v>
      </c>
    </row>
    <row r="49" spans="1:10" outlineLevel="1" x14ac:dyDescent="0.15">
      <c r="A49" s="4">
        <v>46</v>
      </c>
      <c r="B49" s="4" t="s">
        <v>74</v>
      </c>
      <c r="C49" s="4" t="s">
        <v>757</v>
      </c>
      <c r="D49" s="4" t="s">
        <v>79</v>
      </c>
      <c r="E49" s="4" t="s">
        <v>1169</v>
      </c>
      <c r="F49" s="4" t="s">
        <v>766</v>
      </c>
      <c r="G49" s="4">
        <v>46</v>
      </c>
      <c r="H49" s="4" t="s">
        <v>72</v>
      </c>
      <c r="I49" s="4"/>
      <c r="J49" s="2" t="str">
        <f t="shared" si="0"/>
        <v>insert into CHB_INFOMGR_RESULT_CONFIG (RESULT_ID,MGRTABLE_ID,COLUMN_ID,COLUMN_NAME,DICTCODE,ORDER_NO,SHOWFLAG,REAL_COLUMN_ID) values (f_guid(),'CHB_PRD_BASEINFO','OPEN_CIRCLE','*规律开放周期','SVR_REGULAR_OPEN_CYCLE','46','Y','');</v>
      </c>
    </row>
    <row r="50" spans="1:10" outlineLevel="1" x14ac:dyDescent="0.15">
      <c r="A50" s="4">
        <v>47</v>
      </c>
      <c r="B50" s="4" t="s">
        <v>74</v>
      </c>
      <c r="C50" s="4" t="s">
        <v>757</v>
      </c>
      <c r="D50" s="4" t="s">
        <v>80</v>
      </c>
      <c r="E50" s="4" t="s">
        <v>1170</v>
      </c>
      <c r="F50" s="4"/>
      <c r="G50" s="4">
        <v>47</v>
      </c>
      <c r="H50" s="4" t="s">
        <v>72</v>
      </c>
      <c r="I50" s="4"/>
      <c r="J50" s="2" t="str">
        <f t="shared" si="0"/>
        <v>insert into CHB_INFOMGR_RESULT_CONFIG (RESULT_ID,MGRTABLE_ID,COLUMN_ID,COLUMN_NAME,DICTCODE,ORDER_NO,SHOWFLAG,REAL_COLUMN_ID) values (f_guid(),'CHB_PRD_BASEINFO','OPEN_CIRCLE_DAYS','*其他规律开放周期（天）','','47','Y','');</v>
      </c>
    </row>
    <row r="51" spans="1:10" outlineLevel="1" x14ac:dyDescent="0.15">
      <c r="A51" s="4">
        <v>48</v>
      </c>
      <c r="B51" s="4" t="s">
        <v>74</v>
      </c>
      <c r="C51" s="4" t="s">
        <v>757</v>
      </c>
      <c r="D51" s="4" t="s">
        <v>81</v>
      </c>
      <c r="E51" s="4" t="s">
        <v>1171</v>
      </c>
      <c r="F51" s="4"/>
      <c r="G51" s="4">
        <v>48</v>
      </c>
      <c r="H51" s="4" t="s">
        <v>72</v>
      </c>
      <c r="I51" s="4"/>
      <c r="J51" s="2" t="str">
        <f t="shared" si="0"/>
        <v>insert into CHB_INFOMGR_RESULT_CONFIG (RESULT_ID,MGRTABLE_ID,COLUMN_ID,COLUMN_NAME,DICTCODE,ORDER_NO,SHOWFLAG,REAL_COLUMN_ID) values (f_guid(),'CHB_PRD_BASEINFO','RULE_COMMENT','*无规律开放说明','','48','Y','');</v>
      </c>
    </row>
    <row r="52" spans="1:10" outlineLevel="1" x14ac:dyDescent="0.15">
      <c r="A52" s="4">
        <v>49</v>
      </c>
      <c r="B52" s="4" t="s">
        <v>74</v>
      </c>
      <c r="C52" s="4" t="s">
        <v>757</v>
      </c>
      <c r="D52" s="4" t="s">
        <v>82</v>
      </c>
      <c r="E52" s="4" t="s">
        <v>1172</v>
      </c>
      <c r="F52" s="4"/>
      <c r="G52" s="4">
        <v>49</v>
      </c>
      <c r="H52" s="4" t="s">
        <v>72</v>
      </c>
      <c r="I52" s="4"/>
      <c r="J52" s="2" t="str">
        <f t="shared" si="0"/>
        <v>insert into CHB_INFOMGR_RESULT_CONFIG (RESULT_ID,MGRTABLE_ID,COLUMN_ID,COLUMN_NAME,DICTCODE,ORDER_NO,SHOWFLAG,REAL_COLUMN_ID) values (f_guid(),'CHB_PRD_BASEINFO','FIRST_OPEN_DAY','*首次开放周期起始日','','49','Y','');</v>
      </c>
    </row>
    <row r="53" spans="1:10" outlineLevel="1" x14ac:dyDescent="0.15">
      <c r="A53" s="4">
        <v>50</v>
      </c>
      <c r="B53" s="4" t="s">
        <v>74</v>
      </c>
      <c r="C53" s="4" t="s">
        <v>757</v>
      </c>
      <c r="D53" s="4" t="s">
        <v>83</v>
      </c>
      <c r="E53" s="4" t="s">
        <v>1173</v>
      </c>
      <c r="F53" s="4" t="s">
        <v>301</v>
      </c>
      <c r="G53" s="4">
        <v>50</v>
      </c>
      <c r="H53" s="4" t="s">
        <v>72</v>
      </c>
      <c r="I53" s="4"/>
      <c r="J53" s="2" t="str">
        <f t="shared" si="0"/>
        <v>insert into CHB_INFOMGR_RESULT_CONFIG (RESULT_ID,MGRTABLE_ID,COLUMN_ID,COLUMN_NAME,DICTCODE,ORDER_NO,SHOWFLAG,REAL_COLUMN_ID) values (f_guid(),'CHB_PRD_BASEINFO','HOLIDAY_ON_FLAG','*节假日是否开放','SVR_YES_OR_NO','50','Y','');</v>
      </c>
    </row>
    <row r="54" spans="1:10" outlineLevel="1" x14ac:dyDescent="0.15">
      <c r="A54" s="4">
        <v>51</v>
      </c>
      <c r="B54" s="4" t="s">
        <v>74</v>
      </c>
      <c r="C54" s="4" t="s">
        <v>757</v>
      </c>
      <c r="D54" s="4" t="s">
        <v>84</v>
      </c>
      <c r="E54" s="4" t="s">
        <v>1174</v>
      </c>
      <c r="F54" s="4"/>
      <c r="G54" s="4">
        <v>51</v>
      </c>
      <c r="H54" s="4" t="s">
        <v>72</v>
      </c>
      <c r="I54" s="4"/>
      <c r="J54" s="2" t="str">
        <f t="shared" si="0"/>
        <v>insert into CHB_INFOMGR_RESULT_CONFIG (RESULT_ID,MGRTABLE_ID,COLUMN_ID,COLUMN_NAME,DICTCODE,ORDER_NO,SHOWFLAG,REAL_COLUMN_ID) values (f_guid(),'CHB_PRD_BASEINFO','AVG_OPEN_COUNT','*平均开放次数（年化）','','51','Y','');</v>
      </c>
    </row>
    <row r="55" spans="1:10" outlineLevel="1" x14ac:dyDescent="0.15">
      <c r="A55" s="4">
        <v>52</v>
      </c>
      <c r="B55" s="4" t="s">
        <v>74</v>
      </c>
      <c r="C55" s="4" t="s">
        <v>757</v>
      </c>
      <c r="D55" s="4" t="s">
        <v>85</v>
      </c>
      <c r="E55" s="4" t="s">
        <v>1175</v>
      </c>
      <c r="F55" s="4" t="s">
        <v>767</v>
      </c>
      <c r="G55" s="4">
        <v>52</v>
      </c>
      <c r="H55" s="4" t="s">
        <v>72</v>
      </c>
      <c r="I55" s="4"/>
      <c r="J55" s="2" t="str">
        <f t="shared" si="0"/>
        <v>insert into CHB_INFOMGR_RESULT_CONFIG (RESULT_ID,MGRTABLE_ID,COLUMN_ID,COLUMN_NAME,DICTCODE,ORDER_NO,SHOWFLAG,REAL_COLUMN_ID) values (f_guid(),'CHB_PRD_BASEINFO','OPEN_BUSS','*开放期业务','SVR_OPEN_BUSS','52','Y','');</v>
      </c>
    </row>
    <row r="56" spans="1:10" outlineLevel="1" x14ac:dyDescent="0.15">
      <c r="A56" s="4">
        <v>53</v>
      </c>
      <c r="B56" s="4" t="s">
        <v>74</v>
      </c>
      <c r="C56" s="4" t="s">
        <v>757</v>
      </c>
      <c r="D56" s="4" t="s">
        <v>784</v>
      </c>
      <c r="E56" s="4" t="s">
        <v>1176</v>
      </c>
      <c r="F56" s="4"/>
      <c r="G56" s="4">
        <v>53</v>
      </c>
      <c r="H56" s="4" t="s">
        <v>72</v>
      </c>
      <c r="I56" s="4"/>
      <c r="J56" s="2" t="str">
        <f t="shared" si="0"/>
        <v>insert into CHB_INFOMGR_RESULT_CONFIG (RESULT_ID,MGRTABLE_ID,COLUMN_ID,COLUMN_NAME,DICTCODE,ORDER_NO,SHOWFLAG,REAL_COLUMN_ID) values (f_guid(),'CHB_PRD_BASEINFO','OPEN_BUSS_REMARK','*开放期业务说明','','53','Y','');</v>
      </c>
    </row>
    <row r="57" spans="1:10" outlineLevel="1" x14ac:dyDescent="0.15">
      <c r="A57" s="4">
        <v>54</v>
      </c>
      <c r="B57" s="4" t="s">
        <v>74</v>
      </c>
      <c r="C57" s="4" t="s">
        <v>757</v>
      </c>
      <c r="D57" s="4" t="s">
        <v>782</v>
      </c>
      <c r="E57" s="4" t="s">
        <v>1177</v>
      </c>
      <c r="F57" s="4"/>
      <c r="G57" s="4">
        <v>54</v>
      </c>
      <c r="H57" s="4" t="s">
        <v>72</v>
      </c>
      <c r="I57" s="4"/>
      <c r="J57" s="2" t="str">
        <f t="shared" si="0"/>
        <v>insert into CHB_INFOMGR_RESULT_CONFIG (RESULT_ID,MGRTABLE_ID,COLUMN_ID,COLUMN_NAME,DICTCODE,ORDER_NO,SHOWFLAG,REAL_COLUMN_ID) values (f_guid(),'CHB_PRD_BASEINFO','BUSI_ACCT_NO','**资金托管账号','','54','Y','');</v>
      </c>
    </row>
    <row r="58" spans="1:10" outlineLevel="1" x14ac:dyDescent="0.15">
      <c r="A58" s="4">
        <v>55</v>
      </c>
      <c r="B58" s="4" t="s">
        <v>74</v>
      </c>
      <c r="C58" s="4" t="s">
        <v>757</v>
      </c>
      <c r="D58" s="4" t="s">
        <v>783</v>
      </c>
      <c r="E58" s="4" t="s">
        <v>1178</v>
      </c>
      <c r="F58" s="4"/>
      <c r="G58" s="4">
        <v>55</v>
      </c>
      <c r="H58" s="4" t="s">
        <v>72</v>
      </c>
      <c r="I58" s="4"/>
      <c r="J58" s="2" t="str">
        <f t="shared" si="0"/>
        <v>insert into CHB_INFOMGR_RESULT_CONFIG (RESULT_ID,MGRTABLE_ID,COLUMN_ID,COLUMN_NAME,DICTCODE,ORDER_NO,SHOWFLAG,REAL_COLUMN_ID) values (f_guid(),'CHB_PRD_BASEINFO','ACCT_NAME','**资金托管账户','','55','Y','');</v>
      </c>
    </row>
    <row r="59" spans="1:10" outlineLevel="1" x14ac:dyDescent="0.15">
      <c r="A59" s="4">
        <v>56</v>
      </c>
      <c r="B59" s="4" t="s">
        <v>74</v>
      </c>
      <c r="C59" s="4" t="s">
        <v>757</v>
      </c>
      <c r="D59" s="4" t="s">
        <v>770</v>
      </c>
      <c r="E59" s="4" t="s">
        <v>1179</v>
      </c>
      <c r="F59" s="4" t="s">
        <v>793</v>
      </c>
      <c r="G59" s="4">
        <v>56</v>
      </c>
      <c r="H59" s="4" t="s">
        <v>72</v>
      </c>
      <c r="I59" s="4"/>
      <c r="J59" s="2" t="str">
        <f t="shared" si="0"/>
        <v>insert into CHB_INFOMGR_RESULT_CONFIG (RESULT_ID,MGRTABLE_ID,COLUMN_ID,COLUMN_NAME,DICTCODE,ORDER_NO,SHOWFLAG,REAL_COLUMN_ID) values (f_guid(),'CHB_PRD_BASEINFO','FIDUCIARY_DUTY','**受托职责','SVR_FIDUCIARY_DUTY','56','Y','');</v>
      </c>
    </row>
    <row r="60" spans="1:10" outlineLevel="1" x14ac:dyDescent="0.15">
      <c r="A60" s="4">
        <v>57</v>
      </c>
      <c r="B60" s="4" t="s">
        <v>74</v>
      </c>
      <c r="C60" s="4" t="s">
        <v>757</v>
      </c>
      <c r="D60" s="4" t="s">
        <v>771</v>
      </c>
      <c r="E60" s="4" t="s">
        <v>1180</v>
      </c>
      <c r="F60" s="4" t="s">
        <v>772</v>
      </c>
      <c r="G60" s="4">
        <v>57</v>
      </c>
      <c r="H60" s="4" t="s">
        <v>72</v>
      </c>
      <c r="I60" s="4"/>
      <c r="J60" s="2" t="str">
        <f t="shared" si="0"/>
        <v>insert into CHB_INFOMGR_RESULT_CONFIG (RESULT_ID,MGRTABLE_ID,COLUMN_ID,COLUMN_NAME,DICTCODE,ORDER_NO,SHOWFLAG,REAL_COLUMN_ID) values (f_guid(),'CHB_PRD_BASEINFO','TRANSFER_TYPE','**转让类型','SVR_TRANSFER_TYPE','57','Y','');</v>
      </c>
    </row>
    <row r="61" spans="1:10" outlineLevel="1" x14ac:dyDescent="0.15">
      <c r="A61" s="4">
        <v>58</v>
      </c>
      <c r="B61" s="4" t="s">
        <v>74</v>
      </c>
      <c r="C61" s="4" t="s">
        <v>757</v>
      </c>
      <c r="D61" s="4" t="s">
        <v>773</v>
      </c>
      <c r="E61" s="4" t="s">
        <v>1181</v>
      </c>
      <c r="F61" s="4" t="s">
        <v>301</v>
      </c>
      <c r="G61" s="4">
        <v>58</v>
      </c>
      <c r="H61" s="4" t="s">
        <v>72</v>
      </c>
      <c r="I61" s="4"/>
      <c r="J61" s="2" t="str">
        <f t="shared" si="0"/>
        <v>insert into CHB_INFOMGR_RESULT_CONFIG (RESULT_ID,MGRTABLE_ID,COLUMN_ID,COLUMN_NAME,DICTCODE,ORDER_NO,SHOWFLAG,REAL_COLUMN_ID) values (f_guid(),'CHB_PRD_BASEINFO','IS_MARKET_FUND','**货币市场基金标识','SVR_YES_OR_NO','58','Y','');</v>
      </c>
    </row>
    <row r="62" spans="1:10" outlineLevel="1" x14ac:dyDescent="0.15">
      <c r="A62" s="4">
        <v>59</v>
      </c>
      <c r="B62" s="4" t="s">
        <v>74</v>
      </c>
      <c r="C62" s="4" t="s">
        <v>757</v>
      </c>
      <c r="D62" s="4" t="s">
        <v>86</v>
      </c>
      <c r="E62" s="4" t="s">
        <v>1182</v>
      </c>
      <c r="F62" s="4" t="s">
        <v>792</v>
      </c>
      <c r="G62" s="4">
        <v>59</v>
      </c>
      <c r="H62" s="4" t="s">
        <v>72</v>
      </c>
      <c r="I62" s="4"/>
      <c r="J62" s="2" t="str">
        <f t="shared" si="0"/>
        <v>insert into CHB_INFOMGR_RESULT_CONFIG (RESULT_ID,MGRTABLE_ID,COLUMN_ID,COLUMN_NAME,DICTCODE,ORDER_NO,SHOWFLAG,REAL_COLUMN_ID) values (f_guid(),'CHB_PRD_BASEINFO','MANAGE_TYPE','**管理方式','SVR_PRO_STYLE','59','Y','');</v>
      </c>
    </row>
    <row r="63" spans="1:10" outlineLevel="1" x14ac:dyDescent="0.15">
      <c r="A63" s="4">
        <v>60</v>
      </c>
      <c r="B63" s="4" t="s">
        <v>74</v>
      </c>
      <c r="C63" s="4" t="s">
        <v>757</v>
      </c>
      <c r="D63" s="4" t="s">
        <v>774</v>
      </c>
      <c r="E63" s="4" t="s">
        <v>1183</v>
      </c>
      <c r="F63" s="4" t="s">
        <v>790</v>
      </c>
      <c r="G63" s="4">
        <v>60</v>
      </c>
      <c r="H63" s="4" t="s">
        <v>72</v>
      </c>
      <c r="I63" s="4"/>
      <c r="J63" s="2" t="str">
        <f t="shared" si="0"/>
        <v>insert into CHB_INFOMGR_RESULT_CONFIG (RESULT_ID,MGRTABLE_ID,COLUMN_ID,COLUMN_NAME,DICTCODE,ORDER_NO,SHOWFLAG,REAL_COLUMN_ID) values (f_guid(),'CHB_PRD_BASEINFO','CUSTOMER_TYPE','**客户类型','SVR_CUSTOMER_TYPE','60','Y','');</v>
      </c>
    </row>
    <row r="64" spans="1:10" outlineLevel="1" x14ac:dyDescent="0.15">
      <c r="A64" s="4">
        <v>61</v>
      </c>
      <c r="B64" s="4" t="s">
        <v>74</v>
      </c>
      <c r="C64" s="4" t="s">
        <v>757</v>
      </c>
      <c r="D64" s="4" t="s">
        <v>777</v>
      </c>
      <c r="E64" s="4" t="s">
        <v>1184</v>
      </c>
      <c r="F64" s="4" t="s">
        <v>791</v>
      </c>
      <c r="G64" s="4">
        <v>61</v>
      </c>
      <c r="H64" s="4" t="s">
        <v>72</v>
      </c>
      <c r="I64" s="4"/>
      <c r="J64" s="2" t="str">
        <f t="shared" si="0"/>
        <v>insert into CHB_INFOMGR_RESULT_CONFIG (RESULT_ID,MGRTABLE_ID,COLUMN_ID,COLUMN_NAME,DICTCODE,ORDER_NO,SHOWFLAG,REAL_COLUMN_ID) values (f_guid(),'CHB_PRD_BASEINFO','ISSUING_STATUS','**发行状态','SVR_ISSUING_STATUS','61','Y','');</v>
      </c>
    </row>
    <row r="65" spans="1:10" s="3" customFormat="1" outlineLevel="1" x14ac:dyDescent="0.15">
      <c r="A65" s="8">
        <v>61</v>
      </c>
      <c r="B65" s="8" t="s">
        <v>74</v>
      </c>
      <c r="C65" s="8" t="s">
        <v>757</v>
      </c>
      <c r="D65" s="8" t="s">
        <v>1127</v>
      </c>
      <c r="E65" s="8" t="s">
        <v>1185</v>
      </c>
      <c r="F65" s="8" t="s">
        <v>301</v>
      </c>
      <c r="G65" s="8">
        <v>62</v>
      </c>
      <c r="H65" s="8" t="s">
        <v>72</v>
      </c>
      <c r="I65" s="8"/>
      <c r="J65" s="3" t="str">
        <f t="shared" si="0"/>
        <v>insert into CHB_INFOMGR_RESULT_CONFIG (RESULT_ID,MGRTABLE_ID,COLUMN_ID,COLUMN_NAME,DICTCODE,ORDER_NO,SHOWFLAG,REAL_COLUMN_ID) values (f_guid(),'CHB_PRD_BASEINFO','IS_TRANSFER','**是否母行划转产品','SVR_YES_OR_NO','62','Y','');</v>
      </c>
    </row>
    <row r="66" spans="1:10" s="3" customFormat="1" outlineLevel="1" x14ac:dyDescent="0.15">
      <c r="A66" s="8">
        <v>61</v>
      </c>
      <c r="B66" s="8" t="s">
        <v>74</v>
      </c>
      <c r="C66" s="8" t="s">
        <v>757</v>
      </c>
      <c r="D66" s="8" t="s">
        <v>1128</v>
      </c>
      <c r="E66" s="8" t="s">
        <v>1186</v>
      </c>
      <c r="F66" s="8" t="s">
        <v>301</v>
      </c>
      <c r="G66" s="8">
        <v>63</v>
      </c>
      <c r="H66" s="8" t="s">
        <v>72</v>
      </c>
      <c r="I66" s="8"/>
      <c r="J66" s="3" t="str">
        <f t="shared" si="0"/>
        <v>insert into CHB_INFOMGR_RESULT_CONFIG (RESULT_ID,MGRTABLE_ID,COLUMN_ID,COLUMN_NAME,DICTCODE,ORDER_NO,SHOWFLAG,REAL_COLUMN_ID) values (f_guid(),'CHB_PRD_BASEINFO','IS_FHXGCP','**是否合规新产品','SVR_YES_OR_NO','63','Y','');</v>
      </c>
    </row>
    <row r="67" spans="1:10" s="3" customFormat="1" outlineLevel="1" x14ac:dyDescent="0.15">
      <c r="A67" s="8">
        <v>61</v>
      </c>
      <c r="B67" s="8" t="s">
        <v>74</v>
      </c>
      <c r="C67" s="8" t="s">
        <v>757</v>
      </c>
      <c r="D67" s="8" t="s">
        <v>1129</v>
      </c>
      <c r="E67" s="8" t="s">
        <v>1187</v>
      </c>
      <c r="F67" s="8" t="s">
        <v>301</v>
      </c>
      <c r="G67" s="8">
        <v>64</v>
      </c>
      <c r="H67" s="8" t="s">
        <v>72</v>
      </c>
      <c r="I67" s="8"/>
      <c r="J67" s="3" t="str">
        <f t="shared" si="0"/>
        <v>insert into CHB_INFOMGR_RESULT_CONFIG (RESULT_ID,MGRTABLE_ID,COLUMN_ID,COLUMN_NAME,DICTCODE,ORDER_NO,SHOWFLAG,REAL_COLUMN_ID) values (f_guid(),'CHB_PRD_BASEINFO','IS_YLLCCP','**是否养老理财产品','SVR_YES_OR_NO','64','Y','');</v>
      </c>
    </row>
    <row r="68" spans="1:10" outlineLevel="1" x14ac:dyDescent="0.15">
      <c r="A68" s="4">
        <v>62</v>
      </c>
      <c r="B68" s="4" t="s">
        <v>74</v>
      </c>
      <c r="C68" s="4" t="s">
        <v>757</v>
      </c>
      <c r="D68" s="4" t="s">
        <v>787</v>
      </c>
      <c r="E68" s="4" t="s">
        <v>788</v>
      </c>
      <c r="F68" s="4"/>
      <c r="G68" s="4">
        <v>65</v>
      </c>
      <c r="H68" s="4" t="s">
        <v>72</v>
      </c>
      <c r="I68" s="4"/>
      <c r="J68" s="2" t="str">
        <f t="shared" si="0"/>
        <v>insert into CHB_INFOMGR_RESULT_CONFIG (RESULT_ID,MGRTABLE_ID,COLUMN_ID,COLUMN_NAME,DICTCODE,ORDER_NO,SHOWFLAG,REAL_COLUMN_ID) values (f_guid(),'CHB_PRD_BASEINFO','REMARK','备注','','65','Y','');</v>
      </c>
    </row>
    <row r="69" spans="1:10" outlineLevel="1" x14ac:dyDescent="0.15">
      <c r="A69" s="4">
        <v>63</v>
      </c>
      <c r="B69" s="4" t="s">
        <v>74</v>
      </c>
      <c r="C69" s="4" t="s">
        <v>757</v>
      </c>
      <c r="D69" s="4" t="s">
        <v>740</v>
      </c>
      <c r="E69" s="4" t="s">
        <v>762</v>
      </c>
      <c r="F69" s="4" t="s">
        <v>789</v>
      </c>
      <c r="G69" s="4">
        <v>66</v>
      </c>
      <c r="H69" s="4" t="s">
        <v>72</v>
      </c>
      <c r="I69" s="4"/>
      <c r="J69" s="2" t="str">
        <f t="shared" si="0"/>
        <v>insert into CHB_INFOMGR_RESULT_CONFIG (RESULT_ID,MGRTABLE_ID,COLUMN_ID,COLUMN_NAME,DICTCODE,ORDER_NO,SHOWFLAG,REAL_COLUMN_ID) values (f_guid(),'CHB_PRD_BASEINFO','STATUS','数据状态','SVR_STATUS','66','Y','');</v>
      </c>
    </row>
    <row r="70" spans="1:10" outlineLevel="1" x14ac:dyDescent="0.15">
      <c r="A70" s="4">
        <v>64</v>
      </c>
      <c r="B70" s="4" t="s">
        <v>74</v>
      </c>
      <c r="C70" s="4" t="s">
        <v>757</v>
      </c>
      <c r="D70" s="4" t="s">
        <v>52</v>
      </c>
      <c r="E70" s="4" t="s">
        <v>61</v>
      </c>
      <c r="F70" s="4" t="s">
        <v>756</v>
      </c>
      <c r="G70" s="4">
        <v>67</v>
      </c>
      <c r="H70" s="4" t="s">
        <v>739</v>
      </c>
      <c r="I70" s="4"/>
      <c r="J70" s="2" t="str">
        <f t="shared" si="0"/>
        <v>insert into CHB_INFOMGR_RESULT_CONFIG (RESULT_ID,MGRTABLE_ID,COLUMN_ID,COLUMN_NAME,DICTCODE,ORDER_NO,SHOWFLAG,REAL_COLUMN_ID) values (f_guid(),'CHB_PRD_BASEINFO','DATA_SOURCE','数据来源','SVR_DATA_SOURCE','67','N','');</v>
      </c>
    </row>
    <row r="71" spans="1:10" outlineLevel="1" x14ac:dyDescent="0.15">
      <c r="A71" s="4">
        <v>65</v>
      </c>
      <c r="B71" s="4" t="s">
        <v>74</v>
      </c>
      <c r="C71" s="4" t="s">
        <v>757</v>
      </c>
      <c r="D71" s="4" t="s">
        <v>49</v>
      </c>
      <c r="E71" s="4" t="s">
        <v>59</v>
      </c>
      <c r="F71" s="4"/>
      <c r="G71" s="4">
        <v>68</v>
      </c>
      <c r="H71" s="4" t="s">
        <v>739</v>
      </c>
      <c r="I71" s="4"/>
      <c r="J71" s="2" t="str">
        <f t="shared" ref="J71:J74" si="1">CONCATENATE("insert into CHB_INFOMGR_RESULT_CONFIG (RESULT_ID,MGRTABLE_ID,COLUMN_ID,COLUMN_NAME,DICTCODE,ORDER_NO,SHOWFLAG,REAL_COLUMN_ID) values (",B71,",'",C71,"','",D71,"','",E71,"','",F71,"','",G71,"','",H71,"','",I71,"');")</f>
        <v>insert into CHB_INFOMGR_RESULT_CONFIG (RESULT_ID,MGRTABLE_ID,COLUMN_ID,COLUMN_NAME,DICTCODE,ORDER_NO,SHOWFLAG,REAL_COLUMN_ID) values (f_guid(),'CHB_PRD_BASEINFO','UPDATE_USER','更新人','','68','N','');</v>
      </c>
    </row>
    <row r="72" spans="1:10" outlineLevel="1" x14ac:dyDescent="0.15">
      <c r="A72" s="4">
        <v>66</v>
      </c>
      <c r="B72" s="4" t="s">
        <v>74</v>
      </c>
      <c r="C72" s="4" t="s">
        <v>757</v>
      </c>
      <c r="D72" s="4" t="s">
        <v>50</v>
      </c>
      <c r="E72" s="4" t="s">
        <v>60</v>
      </c>
      <c r="F72" s="4"/>
      <c r="G72" s="4">
        <v>69</v>
      </c>
      <c r="H72" s="4" t="s">
        <v>739</v>
      </c>
      <c r="I72" s="4"/>
      <c r="J72" s="2" t="str">
        <f t="shared" si="1"/>
        <v>insert into CHB_INFOMGR_RESULT_CONFIG (RESULT_ID,MGRTABLE_ID,COLUMN_ID,COLUMN_NAME,DICTCODE,ORDER_NO,SHOWFLAG,REAL_COLUMN_ID) values (f_guid(),'CHB_PRD_BASEINFO','UPDATE_TIME','更新时间','','69','N','');</v>
      </c>
    </row>
    <row r="73" spans="1:10" outlineLevel="1" x14ac:dyDescent="0.15">
      <c r="A73" s="4">
        <v>67</v>
      </c>
      <c r="B73" s="4" t="s">
        <v>74</v>
      </c>
      <c r="C73" s="4" t="s">
        <v>757</v>
      </c>
      <c r="D73" s="4" t="s">
        <v>47</v>
      </c>
      <c r="E73" s="4" t="s">
        <v>57</v>
      </c>
      <c r="F73" s="4"/>
      <c r="G73" s="4">
        <v>70</v>
      </c>
      <c r="H73" s="4" t="s">
        <v>739</v>
      </c>
      <c r="I73" s="4"/>
      <c r="J73" s="2" t="str">
        <f t="shared" si="1"/>
        <v>insert into CHB_INFOMGR_RESULT_CONFIG (RESULT_ID,MGRTABLE_ID,COLUMN_ID,COLUMN_NAME,DICTCODE,ORDER_NO,SHOWFLAG,REAL_COLUMN_ID) values (f_guid(),'CHB_PRD_BASEINFO','CREATE_USER','创建人','','70','N','');</v>
      </c>
    </row>
    <row r="74" spans="1:10" outlineLevel="1" x14ac:dyDescent="0.15">
      <c r="A74" s="4">
        <v>68</v>
      </c>
      <c r="B74" s="4" t="s">
        <v>74</v>
      </c>
      <c r="C74" s="4" t="s">
        <v>757</v>
      </c>
      <c r="D74" s="4" t="s">
        <v>48</v>
      </c>
      <c r="E74" s="4" t="s">
        <v>58</v>
      </c>
      <c r="F74" s="4"/>
      <c r="G74" s="4">
        <v>71</v>
      </c>
      <c r="H74" s="4" t="s">
        <v>739</v>
      </c>
      <c r="I74" s="4"/>
      <c r="J74" s="2" t="str">
        <f t="shared" si="1"/>
        <v>insert into CHB_INFOMGR_RESULT_CONFIG (RESULT_ID,MGRTABLE_ID,COLUMN_ID,COLUMN_NAME,DICTCODE,ORDER_NO,SHOWFLAG,REAL_COLUMN_ID) values (f_guid(),'CHB_PRD_BASEINFO','CREATE_TIME','创建时间','','71','N','');</v>
      </c>
    </row>
  </sheetData>
  <mergeCells count="1">
    <mergeCell ref="A3:I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tabSelected="1" topLeftCell="A284" workbookViewId="0">
      <selection activeCell="A292" sqref="A292"/>
    </sheetView>
  </sheetViews>
  <sheetFormatPr defaultRowHeight="13.5" x14ac:dyDescent="0.15"/>
  <cols>
    <col min="2" max="2" width="41.75" customWidth="1"/>
    <col min="3" max="3" width="20.5" bestFit="1" customWidth="1"/>
    <col min="4" max="4" width="23.875" bestFit="1" customWidth="1"/>
    <col min="5" max="5" width="25.75" customWidth="1"/>
    <col min="6" max="6" width="11.375" customWidth="1"/>
    <col min="8" max="8" width="12.625" customWidth="1"/>
    <col min="9" max="9" width="21.875" bestFit="1" customWidth="1"/>
  </cols>
  <sheetData>
    <row r="1" spans="1:10" s="2" customFormat="1" ht="12" x14ac:dyDescent="0.15">
      <c r="B1" s="6" t="s">
        <v>16</v>
      </c>
      <c r="C1" s="6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</row>
    <row r="2" spans="1:10" s="2" customFormat="1" ht="48" x14ac:dyDescent="0.15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7" t="s">
        <v>7</v>
      </c>
      <c r="I2" s="6" t="s">
        <v>8</v>
      </c>
      <c r="J2" s="2" t="s">
        <v>1111</v>
      </c>
    </row>
    <row r="3" spans="1:10" x14ac:dyDescent="0.15">
      <c r="A3" s="2">
        <v>1</v>
      </c>
      <c r="B3" s="2" t="s">
        <v>824</v>
      </c>
      <c r="C3" s="2" t="s">
        <v>1110</v>
      </c>
      <c r="D3" s="2" t="s">
        <v>822</v>
      </c>
      <c r="E3" s="2" t="s">
        <v>759</v>
      </c>
      <c r="F3" s="2"/>
      <c r="G3" s="2">
        <v>1</v>
      </c>
      <c r="H3" s="2" t="s">
        <v>330</v>
      </c>
      <c r="I3" s="2" t="s">
        <v>822</v>
      </c>
      <c r="J3" s="5" t="str">
        <f>CONCATENATE("insert into CHB_INFOMGR_RESULT_CONFIG (RESULT_ID,MGRTABLE_ID,COLUMN_ID,COLUMN_NAME,DICTCODE,ORDER_NO,SHOWFLAG,REAL_COLUMN_ID) values ('",B3,"','",C3,"','",D3,"','",E3,"','",F3,"','",G3,"','",H3,"','",I3,"');")</f>
        <v>insert into CHB_INFOMGR_RESULT_CONFIG (RESULT_ID,MGRTABLE_ID,COLUMN_ID,COLUMN_NAME,DICTCODE,ORDER_NO,SHOWFLAG,REAL_COLUMN_ID) values ('A224B090-2F6F-2DB8-E053-52AA3F265907','CHB_ASSET_INFO','ASSET_UUID','主键','','1','H','ASSET_UUID');</v>
      </c>
    </row>
    <row r="4" spans="1:10" x14ac:dyDescent="0.15">
      <c r="A4" s="2">
        <v>2</v>
      </c>
      <c r="B4" s="2" t="s">
        <v>825</v>
      </c>
      <c r="C4" s="2" t="s">
        <v>802</v>
      </c>
      <c r="D4" s="2" t="s">
        <v>92</v>
      </c>
      <c r="E4" s="2" t="s">
        <v>331</v>
      </c>
      <c r="F4" s="2"/>
      <c r="G4" s="2">
        <v>2</v>
      </c>
      <c r="H4" s="2" t="s">
        <v>330</v>
      </c>
      <c r="I4" s="2" t="s">
        <v>92</v>
      </c>
      <c r="J4" s="5" t="str">
        <f t="shared" ref="J4:J67" si="0">CONCATENATE("insert into CHB_INFOMGR_RESULT_CONFIG (RESULT_ID,MGRTABLE_ID,COLUMN_ID,COLUMN_NAME,DICTCODE,ORDER_NO,SHOWFLAG,REAL_COLUMN_ID) values ('",B4,"','",C4,"','",D4,"','",E4,"','",F4,"','",G4,"','",H4,"','",I4,"');")</f>
        <v>insert into CHB_INFOMGR_RESULT_CONFIG (RESULT_ID,MGRTABLE_ID,COLUMN_ID,COLUMN_NAME,DICTCODE,ORDER_NO,SHOWFLAG,REAL_COLUMN_ID) values ('B1C7DF40-B663-F1CA-E050-007F010043F1','CHB_ASSET_INFO','ASSET_CODE','*行内资产/负债编码','','2','H','ASSET_CODE');</v>
      </c>
    </row>
    <row r="5" spans="1:10" x14ac:dyDescent="0.15">
      <c r="A5" s="2">
        <v>3</v>
      </c>
      <c r="B5" s="2" t="s">
        <v>826</v>
      </c>
      <c r="C5" s="2" t="s">
        <v>1112</v>
      </c>
      <c r="D5" s="2" t="s">
        <v>21</v>
      </c>
      <c r="E5" s="2" t="s">
        <v>332</v>
      </c>
      <c r="F5" s="2"/>
      <c r="G5" s="2">
        <v>3</v>
      </c>
      <c r="H5" s="2" t="s">
        <v>330</v>
      </c>
      <c r="I5" s="2" t="s">
        <v>21</v>
      </c>
      <c r="J5" s="5" t="str">
        <f t="shared" si="0"/>
        <v>insert into CHB_INFOMGR_RESULT_CONFIG (RESULT_ID,MGRTABLE_ID,COLUMN_ID,COLUMN_NAME,DICTCODE,ORDER_NO,SHOWFLAG,REAL_COLUMN_ID) values ('B1C7DF40-B664-F1CA-E050-007F010043F1','CHB_ASSET_INFO','ISSUE_PARTY_ID','*发行机构代码','','3','H','ISSUE_PARTY_ID');</v>
      </c>
    </row>
    <row r="6" spans="1:10" x14ac:dyDescent="0.15">
      <c r="A6" s="2">
        <v>4</v>
      </c>
      <c r="B6" s="2" t="s">
        <v>827</v>
      </c>
      <c r="C6" s="2" t="s">
        <v>802</v>
      </c>
      <c r="D6" s="2" t="s">
        <v>93</v>
      </c>
      <c r="E6" s="2" t="s">
        <v>333</v>
      </c>
      <c r="F6" s="2" t="s">
        <v>334</v>
      </c>
      <c r="G6" s="2">
        <v>4</v>
      </c>
      <c r="H6" s="2" t="s">
        <v>330</v>
      </c>
      <c r="I6" s="2" t="s">
        <v>93</v>
      </c>
      <c r="J6" s="5" t="str">
        <f t="shared" si="0"/>
        <v>insert into CHB_INFOMGR_RESULT_CONFIG (RESULT_ID,MGRTABLE_ID,COLUMN_ID,COLUMN_NAME,DICTCODE,ORDER_NO,SHOWFLAG,REAL_COLUMN_ID) values ('B1C7DF40-B665-F1CA-E050-007F010043F1','CHB_ASSET_INFO','ASSET_TYPE2','*资产/负债类别','SVR_ASSET_TYPE_SECOND_LEVEL','4','H','ASSET_TYPE2');</v>
      </c>
    </row>
    <row r="7" spans="1:10" x14ac:dyDescent="0.15">
      <c r="A7" s="2">
        <v>5</v>
      </c>
      <c r="B7" s="2" t="s">
        <v>828</v>
      </c>
      <c r="C7" s="2" t="s">
        <v>802</v>
      </c>
      <c r="D7" s="2" t="s">
        <v>95</v>
      </c>
      <c r="E7" s="2" t="s">
        <v>335</v>
      </c>
      <c r="F7" s="2" t="s">
        <v>286</v>
      </c>
      <c r="G7" s="2">
        <v>5</v>
      </c>
      <c r="H7" s="2" t="s">
        <v>330</v>
      </c>
      <c r="I7" s="2" t="s">
        <v>95</v>
      </c>
      <c r="J7" s="5" t="str">
        <f t="shared" si="0"/>
        <v>insert into CHB_INFOMGR_RESULT_CONFIG (RESULT_ID,MGRTABLE_ID,COLUMN_ID,COLUMN_NAME,DICTCODE,ORDER_NO,SHOWFLAG,REAL_COLUMN_ID) values ('B1C7DF40-B666-F1CA-E050-007F010043F1','CHB_ASSET_INFO','TRADE_MARKET','*交易流通场所','SVR_TRADE_MARKET','5','H','TRADE_MARKET');</v>
      </c>
    </row>
    <row r="8" spans="1:10" x14ac:dyDescent="0.15">
      <c r="A8" s="2">
        <v>6</v>
      </c>
      <c r="B8" s="2" t="s">
        <v>829</v>
      </c>
      <c r="C8" s="2" t="s">
        <v>802</v>
      </c>
      <c r="D8" s="2" t="s">
        <v>94</v>
      </c>
      <c r="E8" s="2" t="s">
        <v>336</v>
      </c>
      <c r="F8" s="2"/>
      <c r="G8" s="2">
        <v>6</v>
      </c>
      <c r="H8" s="2" t="s">
        <v>330</v>
      </c>
      <c r="I8" s="2" t="s">
        <v>94</v>
      </c>
      <c r="J8" s="5" t="str">
        <f t="shared" si="0"/>
        <v>insert into CHB_INFOMGR_RESULT_CONFIG (RESULT_ID,MGRTABLE_ID,COLUMN_ID,COLUMN_NAME,DICTCODE,ORDER_NO,SHOWFLAG,REAL_COLUMN_ID) values ('B1C7DF40-B667-F1CA-E050-007F010043F1','CHB_ASSET_INFO','CCY','*币种','','6','H','CCY');</v>
      </c>
    </row>
    <row r="9" spans="1:10" x14ac:dyDescent="0.15">
      <c r="A9" s="2">
        <v>7</v>
      </c>
      <c r="B9" s="2" t="s">
        <v>830</v>
      </c>
      <c r="C9" s="2" t="s">
        <v>802</v>
      </c>
      <c r="D9" s="2" t="s">
        <v>337</v>
      </c>
      <c r="E9" s="2" t="s">
        <v>237</v>
      </c>
      <c r="F9" s="2"/>
      <c r="G9" s="2">
        <v>7</v>
      </c>
      <c r="H9" s="2" t="s">
        <v>330</v>
      </c>
      <c r="I9" s="2" t="s">
        <v>96</v>
      </c>
      <c r="J9" s="5" t="str">
        <f t="shared" si="0"/>
        <v>insert into CHB_INFOMGR_RESULT_CONFIG (RESULT_ID,MGRTABLE_ID,COLUMN_ID,COLUMN_NAME,DICTCODE,ORDER_NO,SHOWFLAG,REAL_COLUMN_ID) values ('B1C7DF40-B668-F1CA-E050-007F010043F1','CHB_ASSET_INFO','BANK_NAME01','资金存入银行','','7','H','BANK_NAME');</v>
      </c>
    </row>
    <row r="10" spans="1:10" x14ac:dyDescent="0.15">
      <c r="A10" s="2">
        <v>8</v>
      </c>
      <c r="B10" s="2" t="s">
        <v>831</v>
      </c>
      <c r="C10" s="2" t="s">
        <v>802</v>
      </c>
      <c r="D10" s="2" t="s">
        <v>338</v>
      </c>
      <c r="E10" s="2" t="s">
        <v>339</v>
      </c>
      <c r="F10" s="2"/>
      <c r="G10" s="2">
        <v>8</v>
      </c>
      <c r="H10" s="2" t="s">
        <v>330</v>
      </c>
      <c r="I10" s="2" t="s">
        <v>97</v>
      </c>
      <c r="J10" s="5" t="str">
        <f t="shared" si="0"/>
        <v>insert into CHB_INFOMGR_RESULT_CONFIG (RESULT_ID,MGRTABLE_ID,COLUMN_ID,COLUMN_NAME,DICTCODE,ORDER_NO,SHOWFLAG,REAL_COLUMN_ID) values ('B1C7DF40-B669-F1CA-E050-007F010043F1','CHB_ASSET_INFO','AMT01','*存款金额','','8','H','AMT');</v>
      </c>
    </row>
    <row r="11" spans="1:10" x14ac:dyDescent="0.15">
      <c r="A11" s="2">
        <v>9</v>
      </c>
      <c r="B11" s="2" t="s">
        <v>832</v>
      </c>
      <c r="C11" s="2" t="s">
        <v>802</v>
      </c>
      <c r="D11" s="2" t="s">
        <v>340</v>
      </c>
      <c r="E11" s="2" t="s">
        <v>341</v>
      </c>
      <c r="F11" s="2"/>
      <c r="G11" s="2">
        <v>9</v>
      </c>
      <c r="H11" s="2" t="s">
        <v>330</v>
      </c>
      <c r="I11" s="2" t="s">
        <v>89</v>
      </c>
      <c r="J11" s="5" t="str">
        <f t="shared" si="0"/>
        <v>insert into CHB_INFOMGR_RESULT_CONFIG (RESULT_ID,MGRTABLE_ID,COLUMN_ID,COLUMN_NAME,DICTCODE,ORDER_NO,SHOWFLAG,REAL_COLUMN_ID) values ('B1C7DF40-B66A-F1CA-E050-007F010043F1','CHB_ASSET_INFO','VDATE01','*起息日','','9','H','VDATE');</v>
      </c>
    </row>
    <row r="12" spans="1:10" x14ac:dyDescent="0.15">
      <c r="A12" s="2">
        <v>10</v>
      </c>
      <c r="B12" s="2" t="s">
        <v>833</v>
      </c>
      <c r="C12" s="2" t="s">
        <v>802</v>
      </c>
      <c r="D12" s="2" t="s">
        <v>342</v>
      </c>
      <c r="E12" s="2" t="s">
        <v>343</v>
      </c>
      <c r="F12" s="2"/>
      <c r="G12" s="2">
        <v>10</v>
      </c>
      <c r="H12" s="2" t="s">
        <v>330</v>
      </c>
      <c r="I12" s="2" t="s">
        <v>90</v>
      </c>
      <c r="J12" s="5" t="str">
        <f t="shared" si="0"/>
        <v>insert into CHB_INFOMGR_RESULT_CONFIG (RESULT_ID,MGRTABLE_ID,COLUMN_ID,COLUMN_NAME,DICTCODE,ORDER_NO,SHOWFLAG,REAL_COLUMN_ID) values ('B1C7DF40-B66B-F1CA-E050-007F010043F1','CHB_ASSET_INFO','MDATE01','*到期日','','10','H','MDATE');</v>
      </c>
    </row>
    <row r="13" spans="1:10" x14ac:dyDescent="0.15">
      <c r="A13" s="2">
        <v>11</v>
      </c>
      <c r="B13" s="2" t="s">
        <v>834</v>
      </c>
      <c r="C13" s="2" t="s">
        <v>802</v>
      </c>
      <c r="D13" s="2" t="s">
        <v>344</v>
      </c>
      <c r="E13" s="2" t="s">
        <v>345</v>
      </c>
      <c r="F13" s="2"/>
      <c r="G13" s="2">
        <v>11</v>
      </c>
      <c r="H13" s="2" t="s">
        <v>330</v>
      </c>
      <c r="I13" s="2" t="s">
        <v>98</v>
      </c>
      <c r="J13" s="5" t="str">
        <f t="shared" si="0"/>
        <v>insert into CHB_INFOMGR_RESULT_CONFIG (RESULT_ID,MGRTABLE_ID,COLUMN_ID,COLUMN_NAME,DICTCODE,ORDER_NO,SHOWFLAG,REAL_COLUMN_ID) values ('B1C7DF40-B66C-F1CA-E050-007F010043F1','CHB_ASSET_INFO','ASSET_YIELD01','*年利率%','','11','H','ASSET_YIELD');</v>
      </c>
    </row>
    <row r="14" spans="1:10" x14ac:dyDescent="0.15">
      <c r="A14" s="2">
        <v>12</v>
      </c>
      <c r="B14" s="2" t="s">
        <v>835</v>
      </c>
      <c r="C14" s="2" t="s">
        <v>802</v>
      </c>
      <c r="D14" s="2" t="s">
        <v>346</v>
      </c>
      <c r="E14" s="2" t="s">
        <v>347</v>
      </c>
      <c r="F14" s="2" t="s">
        <v>287</v>
      </c>
      <c r="G14" s="2">
        <v>12</v>
      </c>
      <c r="H14" s="2" t="s">
        <v>330</v>
      </c>
      <c r="I14" s="2" t="s">
        <v>99</v>
      </c>
      <c r="J14" s="5" t="str">
        <f t="shared" si="0"/>
        <v>insert into CHB_INFOMGR_RESULT_CONFIG (RESULT_ID,MGRTABLE_ID,COLUMN_ID,COLUMN_NAME,DICTCODE,ORDER_NO,SHOWFLAG,REAL_COLUMN_ID) values ('B1C7DF40-B66D-F1CA-E050-007F010043F1','CHB_ASSET_INFO','BASIS01','*计息基础','SVR_BASIS','12','H','BASIS');</v>
      </c>
    </row>
    <row r="15" spans="1:10" x14ac:dyDescent="0.15">
      <c r="A15" s="2">
        <v>13</v>
      </c>
      <c r="B15" s="2" t="s">
        <v>836</v>
      </c>
      <c r="C15" s="2" t="s">
        <v>802</v>
      </c>
      <c r="D15" s="2" t="s">
        <v>348</v>
      </c>
      <c r="E15" s="2" t="s">
        <v>238</v>
      </c>
      <c r="F15" s="2" t="s">
        <v>288</v>
      </c>
      <c r="G15" s="2">
        <v>13</v>
      </c>
      <c r="H15" s="2" t="s">
        <v>330</v>
      </c>
      <c r="I15" s="2" t="s">
        <v>100</v>
      </c>
      <c r="J15" s="5" t="str">
        <f t="shared" si="0"/>
        <v>insert into CHB_INFOMGR_RESULT_CONFIG (RESULT_ID,MGRTABLE_ID,COLUMN_ID,COLUMN_NAME,DICTCODE,ORDER_NO,SHOWFLAG,REAL_COLUMN_ID) values ('B1C7DF40-B66E-F1CA-E050-007F010043F1','CHB_ASSET_INFO','DEPO_TYPE01','存款类型','SVR_DEPO_TYPE','13','H','DEPO_TYPE');</v>
      </c>
    </row>
    <row r="16" spans="1:10" x14ac:dyDescent="0.15">
      <c r="A16" s="2">
        <v>14</v>
      </c>
      <c r="B16" s="2" t="s">
        <v>837</v>
      </c>
      <c r="C16" s="2" t="s">
        <v>802</v>
      </c>
      <c r="D16" s="2" t="s">
        <v>823</v>
      </c>
      <c r="E16" s="2" t="s">
        <v>349</v>
      </c>
      <c r="F16" s="2" t="s">
        <v>289</v>
      </c>
      <c r="G16" s="2">
        <v>14</v>
      </c>
      <c r="H16" s="2" t="s">
        <v>330</v>
      </c>
      <c r="I16" s="2" t="s">
        <v>101</v>
      </c>
      <c r="J16" s="5" t="str">
        <f t="shared" si="0"/>
        <v>insert into CHB_INFOMGR_RESULT_CONFIG (RESULT_ID,MGRTABLE_ID,COLUMN_ID,COLUMN_NAME,DICTCODE,ORDER_NO,SHOWFLAG,REAL_COLUMN_ID) values ('B1C7DF40-B66F-F1CA-E050-007F010043F1','CHB_ASSET_INFO','TARGET_TYPE01','结构性存款挂钩标的类别','SVR_TARGET_TYPE','14','H','TARGET_TYPE');</v>
      </c>
    </row>
    <row r="17" spans="1:10" x14ac:dyDescent="0.15">
      <c r="A17" s="2">
        <v>15</v>
      </c>
      <c r="B17" s="2" t="s">
        <v>838</v>
      </c>
      <c r="C17" s="2" t="s">
        <v>802</v>
      </c>
      <c r="D17" s="2" t="s">
        <v>350</v>
      </c>
      <c r="E17" s="2" t="s">
        <v>239</v>
      </c>
      <c r="F17" s="2"/>
      <c r="G17" s="2">
        <v>15</v>
      </c>
      <c r="H17" s="2" t="s">
        <v>330</v>
      </c>
      <c r="I17" s="2" t="s">
        <v>102</v>
      </c>
      <c r="J17" s="5" t="str">
        <f t="shared" si="0"/>
        <v>insert into CHB_INFOMGR_RESULT_CONFIG (RESULT_ID,MGRTABLE_ID,COLUMN_ID,COLUMN_NAME,DICTCODE,ORDER_NO,SHOWFLAG,REAL_COLUMN_ID) values ('B1C7DF40-B670-F1CA-E050-007F010043F1','CHB_ASSET_INFO','TARGET01','结构性存款挂钩标的','','15','H','TARGET');</v>
      </c>
    </row>
    <row r="18" spans="1:10" x14ac:dyDescent="0.15">
      <c r="A18" s="2">
        <v>16</v>
      </c>
      <c r="B18" s="2" t="s">
        <v>839</v>
      </c>
      <c r="C18" s="2" t="s">
        <v>802</v>
      </c>
      <c r="D18" s="2" t="s">
        <v>351</v>
      </c>
      <c r="E18" s="2" t="s">
        <v>352</v>
      </c>
      <c r="F18" s="2"/>
      <c r="G18" s="2">
        <v>16</v>
      </c>
      <c r="H18" s="2" t="s">
        <v>330</v>
      </c>
      <c r="I18" s="2" t="s">
        <v>103</v>
      </c>
      <c r="J18" s="5" t="str">
        <f t="shared" si="0"/>
        <v>insert into CHB_INFOMGR_RESULT_CONFIG (RESULT_ID,MGRTABLE_ID,COLUMN_ID,COLUMN_NAME,DICTCODE,ORDER_NO,SHOWFLAG,REAL_COLUMN_ID) values ('B1C7DF40-B671-F1CA-E050-007F010043F1','CHB_ASSET_INFO','ASSET_ID03','*代码','','16','H','ASSET_ID');</v>
      </c>
    </row>
    <row r="19" spans="1:10" x14ac:dyDescent="0.15">
      <c r="A19" s="2">
        <v>17</v>
      </c>
      <c r="B19" s="2" t="s">
        <v>840</v>
      </c>
      <c r="C19" s="2" t="s">
        <v>802</v>
      </c>
      <c r="D19" s="2" t="s">
        <v>353</v>
      </c>
      <c r="E19" s="2" t="s">
        <v>354</v>
      </c>
      <c r="F19" s="2"/>
      <c r="G19" s="2">
        <v>17</v>
      </c>
      <c r="H19" s="2" t="s">
        <v>330</v>
      </c>
      <c r="I19" s="2" t="s">
        <v>104</v>
      </c>
      <c r="J19" s="5" t="str">
        <f t="shared" si="0"/>
        <v>insert into CHB_INFOMGR_RESULT_CONFIG (RESULT_ID,MGRTABLE_ID,COLUMN_ID,COLUMN_NAME,DICTCODE,ORDER_NO,SHOWFLAG,REAL_COLUMN_ID) values ('B1C7DF40-B672-F1CA-E050-007F010043F1','CHB_ASSET_INFO','ASSET_NAME03','*名称','','17','H','ASSET_NAME');</v>
      </c>
    </row>
    <row r="20" spans="1:10" x14ac:dyDescent="0.15">
      <c r="A20" s="2">
        <v>18</v>
      </c>
      <c r="B20" s="2" t="s">
        <v>841</v>
      </c>
      <c r="C20" s="2" t="s">
        <v>802</v>
      </c>
      <c r="D20" s="2" t="s">
        <v>355</v>
      </c>
      <c r="E20" s="2" t="s">
        <v>356</v>
      </c>
      <c r="F20" s="2" t="s">
        <v>290</v>
      </c>
      <c r="G20" s="2">
        <v>18</v>
      </c>
      <c r="H20" s="2" t="s">
        <v>330</v>
      </c>
      <c r="I20" s="2" t="s">
        <v>105</v>
      </c>
      <c r="J20" s="5" t="str">
        <f t="shared" si="0"/>
        <v>insert into CHB_INFOMGR_RESULT_CONFIG (RESULT_ID,MGRTABLE_ID,COLUMN_ID,COLUMN_NAME,DICTCODE,ORDER_NO,SHOWFLAG,REAL_COLUMN_ID) values ('B1C7DF40-B673-F1CA-E050-007F010043F1','CHB_ASSET_INFO','CHB_SECTYPE03','具体类别','SVR_SEC_DETAIL_TYPE','18','H','CHB_SECTYPE');</v>
      </c>
    </row>
    <row r="21" spans="1:10" x14ac:dyDescent="0.15">
      <c r="A21" s="2">
        <v>19</v>
      </c>
      <c r="B21" s="2" t="s">
        <v>842</v>
      </c>
      <c r="C21" s="2" t="s">
        <v>802</v>
      </c>
      <c r="D21" s="2" t="s">
        <v>357</v>
      </c>
      <c r="E21" s="2" t="s">
        <v>358</v>
      </c>
      <c r="F21" s="2" t="s">
        <v>291</v>
      </c>
      <c r="G21" s="2">
        <v>19</v>
      </c>
      <c r="H21" s="2" t="s">
        <v>330</v>
      </c>
      <c r="I21" s="2" t="s">
        <v>106</v>
      </c>
      <c r="J21" s="5" t="str">
        <f t="shared" si="0"/>
        <v>insert into CHB_INFOMGR_RESULT_CONFIG (RESULT_ID,MGRTABLE_ID,COLUMN_ID,COLUMN_NAME,DICTCODE,ORDER_NO,SHOWFLAG,REAL_COLUMN_ID) values ('B1C7DF40-B674-F1CA-E050-007F010043F1','CHB_ASSET_INFO','ISSUE_MODE03','*发行方式','SVR_ISSUE_MODE_FUND','19','H','ISSUE_MODE');</v>
      </c>
    </row>
    <row r="22" spans="1:10" x14ac:dyDescent="0.15">
      <c r="A22" s="2">
        <v>20</v>
      </c>
      <c r="B22" s="2" t="s">
        <v>843</v>
      </c>
      <c r="C22" s="2" t="s">
        <v>802</v>
      </c>
      <c r="D22" s="2" t="s">
        <v>359</v>
      </c>
      <c r="E22" s="2" t="s">
        <v>360</v>
      </c>
      <c r="F22" s="2" t="s">
        <v>292</v>
      </c>
      <c r="G22" s="2">
        <v>20</v>
      </c>
      <c r="H22" s="2" t="s">
        <v>330</v>
      </c>
      <c r="I22" s="2" t="s">
        <v>107</v>
      </c>
      <c r="J22" s="5" t="str">
        <f t="shared" si="0"/>
        <v>insert into CHB_INFOMGR_RESULT_CONFIG (RESULT_ID,MGRTABLE_ID,COLUMN_ID,COLUMN_NAME,DICTCODE,ORDER_NO,SHOWFLAG,REAL_COLUMN_ID) values ('B1C7DF40-B675-F1CA-E050-007F010043F1','CHB_ASSET_INFO','SEC_MAIN_GRADE03','*主体评级','SVR_MAIN_GRADE','20','H','SEC_MAIN_GRADE');</v>
      </c>
    </row>
    <row r="23" spans="1:10" x14ac:dyDescent="0.15">
      <c r="A23" s="2">
        <v>21</v>
      </c>
      <c r="B23" s="2" t="s">
        <v>844</v>
      </c>
      <c r="C23" s="2" t="s">
        <v>802</v>
      </c>
      <c r="D23" s="2" t="s">
        <v>361</v>
      </c>
      <c r="E23" s="2" t="s">
        <v>362</v>
      </c>
      <c r="F23" s="2" t="s">
        <v>293</v>
      </c>
      <c r="G23" s="2">
        <v>21</v>
      </c>
      <c r="H23" s="2" t="s">
        <v>330</v>
      </c>
      <c r="I23" s="2" t="s">
        <v>108</v>
      </c>
      <c r="J23" s="5" t="str">
        <f t="shared" si="0"/>
        <v>insert into CHB_INFOMGR_RESULT_CONFIG (RESULT_ID,MGRTABLE_ID,COLUMN_ID,COLUMN_NAME,DICTCODE,ORDER_NO,SHOWFLAG,REAL_COLUMN_ID) values ('B1C7DF40-B676-F1CA-E050-007F010043F1','CHB_ASSET_INFO','PARTY_TYPE103','*发行机构类型（按规模划分）','SVR_PARTY_TYPE1','21','H','PARTY_TYPE1');</v>
      </c>
    </row>
    <row r="24" spans="1:10" x14ac:dyDescent="0.15">
      <c r="A24" s="2">
        <v>22</v>
      </c>
      <c r="B24" s="2" t="s">
        <v>845</v>
      </c>
      <c r="C24" s="2" t="s">
        <v>802</v>
      </c>
      <c r="D24" s="2" t="s">
        <v>363</v>
      </c>
      <c r="E24" s="2" t="s">
        <v>364</v>
      </c>
      <c r="F24" s="2" t="s">
        <v>294</v>
      </c>
      <c r="G24" s="2">
        <v>22</v>
      </c>
      <c r="H24" s="2" t="s">
        <v>330</v>
      </c>
      <c r="I24" s="2" t="s">
        <v>109</v>
      </c>
      <c r="J24" s="5" t="str">
        <f t="shared" si="0"/>
        <v>insert into CHB_INFOMGR_RESULT_CONFIG (RESULT_ID,MGRTABLE_ID,COLUMN_ID,COLUMN_NAME,DICTCODE,ORDER_NO,SHOWFLAG,REAL_COLUMN_ID) values ('B1C7DF40-B677-F1CA-E050-007F010043F1','CHB_ASSET_INFO','PARTY_TYPE303','*发行机构类型（按技术领域划分）','SVR_PARTY_TYPE3','22','H','PARTY_TYPE3');</v>
      </c>
    </row>
    <row r="25" spans="1:10" x14ac:dyDescent="0.15">
      <c r="A25" s="2">
        <v>23</v>
      </c>
      <c r="B25" s="2" t="s">
        <v>846</v>
      </c>
      <c r="C25" s="2" t="s">
        <v>802</v>
      </c>
      <c r="D25" s="2" t="s">
        <v>365</v>
      </c>
      <c r="E25" s="2" t="s">
        <v>366</v>
      </c>
      <c r="F25" s="2" t="s">
        <v>295</v>
      </c>
      <c r="G25" s="2">
        <v>23</v>
      </c>
      <c r="H25" s="2" t="s">
        <v>330</v>
      </c>
      <c r="I25" s="2" t="s">
        <v>110</v>
      </c>
      <c r="J25" s="5" t="str">
        <f t="shared" si="0"/>
        <v>insert into CHB_INFOMGR_RESULT_CONFIG (RESULT_ID,MGRTABLE_ID,COLUMN_ID,COLUMN_NAME,DICTCODE,ORDER_NO,SHOWFLAG,REAL_COLUMN_ID) values ('B1C7DF40-B678-F1CA-E050-007F010043F1','CHB_ASSET_INFO','PARTY_TYPE203','*发行机构类型（按经济类型划分）','SVR_PARTY_TYPE2','23','H','PARTY_TYPE2');</v>
      </c>
    </row>
    <row r="26" spans="1:10" x14ac:dyDescent="0.15">
      <c r="A26" s="2">
        <v>24</v>
      </c>
      <c r="B26" s="2" t="s">
        <v>847</v>
      </c>
      <c r="C26" s="2" t="s">
        <v>802</v>
      </c>
      <c r="D26" s="2" t="s">
        <v>367</v>
      </c>
      <c r="E26" s="2" t="s">
        <v>368</v>
      </c>
      <c r="F26" s="2" t="s">
        <v>296</v>
      </c>
      <c r="G26" s="2">
        <v>24</v>
      </c>
      <c r="H26" s="2" t="s">
        <v>330</v>
      </c>
      <c r="I26" s="2" t="s">
        <v>111</v>
      </c>
      <c r="J26" s="5" t="str">
        <f t="shared" si="0"/>
        <v>insert into CHB_INFOMGR_RESULT_CONFIG (RESULT_ID,MGRTABLE_ID,COLUMN_ID,COLUMN_NAME,DICTCODE,ORDER_NO,SHOWFLAG,REAL_COLUMN_ID) values ('B1C7DF40-B679-F1CA-E050-007F010043F1','CHB_ASSET_INFO','INDUSTRY_LEVEL203','*发行机构所属行业','INSTITUTION_INDUSTRY_SECOND_LEVEL','24','H','INDUSTRY_LEVEL2');</v>
      </c>
    </row>
    <row r="27" spans="1:10" x14ac:dyDescent="0.15">
      <c r="A27" s="2">
        <v>25</v>
      </c>
      <c r="B27" s="2" t="s">
        <v>848</v>
      </c>
      <c r="C27" s="2" t="s">
        <v>802</v>
      </c>
      <c r="D27" s="2" t="s">
        <v>1125</v>
      </c>
      <c r="E27" s="2" t="s">
        <v>369</v>
      </c>
      <c r="F27" s="2" t="s">
        <v>297</v>
      </c>
      <c r="G27" s="2">
        <v>25</v>
      </c>
      <c r="H27" s="2" t="s">
        <v>330</v>
      </c>
      <c r="I27" s="2" t="s">
        <v>112</v>
      </c>
      <c r="J27" s="5" t="str">
        <f t="shared" si="0"/>
        <v>insert into CHB_INFOMGR_RESULT_CONFIG (RESULT_ID,MGRTABLE_ID,COLUMN_ID,COLUMN_NAME,DICTCODE,ORDER_NO,SHOWFLAG,REAL_COLUMN_ID) values ('B1C7DF40-B67A-F1CA-E050-007F010043F1','CHB_ASSET_INFO','REGIST_ORG03','*登记托管机构','SVR_REGIST_ORG','25','H','REGIST_ORG');</v>
      </c>
    </row>
    <row r="28" spans="1:10" x14ac:dyDescent="0.15">
      <c r="A28" s="2">
        <v>26</v>
      </c>
      <c r="B28" s="2" t="s">
        <v>849</v>
      </c>
      <c r="C28" s="2" t="s">
        <v>802</v>
      </c>
      <c r="D28" s="2" t="s">
        <v>370</v>
      </c>
      <c r="E28" s="2" t="s">
        <v>240</v>
      </c>
      <c r="F28" s="2"/>
      <c r="G28" s="2">
        <v>26</v>
      </c>
      <c r="H28" s="2" t="s">
        <v>330</v>
      </c>
      <c r="I28" s="2" t="s">
        <v>113</v>
      </c>
      <c r="J28" s="5" t="str">
        <f t="shared" si="0"/>
        <v>insert into CHB_INFOMGR_RESULT_CONFIG (RESULT_ID,MGRTABLE_ID,COLUMN_ID,COLUMN_NAME,DICTCODE,ORDER_NO,SHOWFLAG,REAL_COLUMN_ID) values ('B1C7DF40-B67B-F1CA-E050-007F010043F1','CHB_ASSET_INFO','REGISTORG_COMMENT03','登记托管机构说明','','26','H','REGISTORG_COMMENT');</v>
      </c>
    </row>
    <row r="29" spans="1:10" x14ac:dyDescent="0.15">
      <c r="A29" s="2">
        <v>27</v>
      </c>
      <c r="B29" s="2" t="s">
        <v>850</v>
      </c>
      <c r="C29" s="2" t="s">
        <v>802</v>
      </c>
      <c r="D29" s="2" t="s">
        <v>373</v>
      </c>
      <c r="E29" s="2" t="s">
        <v>341</v>
      </c>
      <c r="F29" s="2"/>
      <c r="G29" s="2">
        <v>27</v>
      </c>
      <c r="H29" s="2" t="s">
        <v>330</v>
      </c>
      <c r="I29" s="2" t="s">
        <v>89</v>
      </c>
      <c r="J29" s="5" t="str">
        <f t="shared" si="0"/>
        <v>insert into CHB_INFOMGR_RESULT_CONFIG (RESULT_ID,MGRTABLE_ID,COLUMN_ID,COLUMN_NAME,DICTCODE,ORDER_NO,SHOWFLAG,REAL_COLUMN_ID) values ('B1C7DF40-B67C-F1CA-E050-007F010043F1','CHB_ASSET_INFO','VDATE02','*起息日','','27','H','VDATE');</v>
      </c>
    </row>
    <row r="30" spans="1:10" x14ac:dyDescent="0.15">
      <c r="A30" s="2">
        <v>28</v>
      </c>
      <c r="B30" s="2" t="s">
        <v>851</v>
      </c>
      <c r="C30" s="2" t="s">
        <v>802</v>
      </c>
      <c r="D30" s="2" t="s">
        <v>374</v>
      </c>
      <c r="E30" s="2" t="s">
        <v>343</v>
      </c>
      <c r="F30" s="2"/>
      <c r="G30" s="2">
        <v>28</v>
      </c>
      <c r="H30" s="2" t="s">
        <v>330</v>
      </c>
      <c r="I30" s="2" t="s">
        <v>90</v>
      </c>
      <c r="J30" s="5" t="str">
        <f t="shared" si="0"/>
        <v>insert into CHB_INFOMGR_RESULT_CONFIG (RESULT_ID,MGRTABLE_ID,COLUMN_ID,COLUMN_NAME,DICTCODE,ORDER_NO,SHOWFLAG,REAL_COLUMN_ID) values ('B1C7DF40-B67D-F1CA-E050-007F010043F1','CHB_ASSET_INFO','MDATE02','*到期日','','28','H','MDATE');</v>
      </c>
    </row>
    <row r="31" spans="1:10" x14ac:dyDescent="0.15">
      <c r="A31" s="2">
        <v>29</v>
      </c>
      <c r="B31" s="2" t="s">
        <v>852</v>
      </c>
      <c r="C31" s="2" t="s">
        <v>802</v>
      </c>
      <c r="D31" s="2" t="s">
        <v>375</v>
      </c>
      <c r="E31" s="2" t="s">
        <v>376</v>
      </c>
      <c r="F31" s="2"/>
      <c r="G31" s="2">
        <v>29</v>
      </c>
      <c r="H31" s="2" t="s">
        <v>330</v>
      </c>
      <c r="I31" s="2" t="s">
        <v>114</v>
      </c>
      <c r="J31" s="5" t="str">
        <f t="shared" si="0"/>
        <v>insert into CHB_INFOMGR_RESULT_CONFIG (RESULT_ID,MGRTABLE_ID,COLUMN_ID,COLUMN_NAME,DICTCODE,ORDER_NO,SHOWFLAG,REAL_COLUMN_ID) values ('B1C7DF40-B67E-F1CA-E050-007F010043F1','CHB_ASSET_INFO','RIVAL_PARTY02','*对手方','','29','H','RIVAL_PARTY');</v>
      </c>
    </row>
    <row r="32" spans="1:10" x14ac:dyDescent="0.15">
      <c r="A32" s="2">
        <v>30</v>
      </c>
      <c r="B32" s="2" t="s">
        <v>853</v>
      </c>
      <c r="C32" s="2" t="s">
        <v>802</v>
      </c>
      <c r="D32" s="2" t="s">
        <v>377</v>
      </c>
      <c r="E32" s="2" t="s">
        <v>241</v>
      </c>
      <c r="F32" s="2" t="s">
        <v>298</v>
      </c>
      <c r="G32" s="2">
        <v>30</v>
      </c>
      <c r="H32" s="2" t="s">
        <v>330</v>
      </c>
      <c r="I32" s="2" t="s">
        <v>115</v>
      </c>
      <c r="J32" s="5" t="str">
        <f t="shared" si="0"/>
        <v>insert into CHB_INFOMGR_RESULT_CONFIG (RESULT_ID,MGRTABLE_ID,COLUMN_ID,COLUMN_NAME,DICTCODE,ORDER_NO,SHOWFLAG,REAL_COLUMN_ID) values ('B1C7DF40-B67F-F1CA-E050-007F010043F1','CHB_ASSET_INFO','RIVAL_PARTY_TYPE02','对手方类型','SVR_RIVAL_PARTY_TYPE','30','H','RIVAL_PARTY_TYPE');</v>
      </c>
    </row>
    <row r="33" spans="1:10" x14ac:dyDescent="0.15">
      <c r="A33" s="2">
        <v>31</v>
      </c>
      <c r="B33" s="2" t="s">
        <v>854</v>
      </c>
      <c r="C33" s="2" t="s">
        <v>802</v>
      </c>
      <c r="D33" s="2" t="s">
        <v>378</v>
      </c>
      <c r="E33" s="2" t="s">
        <v>345</v>
      </c>
      <c r="F33" s="2"/>
      <c r="G33" s="2">
        <v>31</v>
      </c>
      <c r="H33" s="2" t="s">
        <v>330</v>
      </c>
      <c r="I33" s="2" t="s">
        <v>98</v>
      </c>
      <c r="J33" s="5" t="str">
        <f t="shared" si="0"/>
        <v>insert into CHB_INFOMGR_RESULT_CONFIG (RESULT_ID,MGRTABLE_ID,COLUMN_ID,COLUMN_NAME,DICTCODE,ORDER_NO,SHOWFLAG,REAL_COLUMN_ID) values ('B1C7DF40-B680-F1CA-E050-007F010043F1','CHB_ASSET_INFO','ASSET_YIELD02','*年利率%','','31','H','ASSET_YIELD');</v>
      </c>
    </row>
    <row r="34" spans="1:10" x14ac:dyDescent="0.15">
      <c r="A34" s="2">
        <v>32</v>
      </c>
      <c r="B34" s="2" t="s">
        <v>855</v>
      </c>
      <c r="C34" s="2" t="s">
        <v>802</v>
      </c>
      <c r="D34" s="2" t="s">
        <v>379</v>
      </c>
      <c r="E34" s="2" t="s">
        <v>347</v>
      </c>
      <c r="F34" s="2" t="s">
        <v>287</v>
      </c>
      <c r="G34" s="2">
        <v>32</v>
      </c>
      <c r="H34" s="2" t="s">
        <v>330</v>
      </c>
      <c r="I34" s="2" t="s">
        <v>99</v>
      </c>
      <c r="J34" s="5" t="str">
        <f t="shared" si="0"/>
        <v>insert into CHB_INFOMGR_RESULT_CONFIG (RESULT_ID,MGRTABLE_ID,COLUMN_ID,COLUMN_NAME,DICTCODE,ORDER_NO,SHOWFLAG,REAL_COLUMN_ID) values ('B1C7DF40-B681-F1CA-E050-007F010043F1','CHB_ASSET_INFO','BASIS02','*计息基础','SVR_BASIS','32','H','BASIS');</v>
      </c>
    </row>
    <row r="35" spans="1:10" x14ac:dyDescent="0.15">
      <c r="A35" s="2">
        <v>33</v>
      </c>
      <c r="B35" s="2" t="s">
        <v>856</v>
      </c>
      <c r="C35" s="2" t="s">
        <v>802</v>
      </c>
      <c r="D35" s="2" t="s">
        <v>380</v>
      </c>
      <c r="E35" s="2" t="s">
        <v>381</v>
      </c>
      <c r="F35" s="2" t="s">
        <v>299</v>
      </c>
      <c r="G35" s="2">
        <v>33</v>
      </c>
      <c r="H35" s="2" t="s">
        <v>330</v>
      </c>
      <c r="I35" s="2" t="s">
        <v>116</v>
      </c>
      <c r="J35" s="5" t="str">
        <f t="shared" si="0"/>
        <v>insert into CHB_INFOMGR_RESULT_CONFIG (RESULT_ID,MGRTABLE_ID,COLUMN_ID,COLUMN_NAME,DICTCODE,ORDER_NO,SHOWFLAG,REAL_COLUMN_ID) values ('B1C7DF40-B682-F1CA-E050-007F010043F1','CHB_ASSET_INFO','TARGET_TYPE102','回购标的类别','SVR_TARGET_TYPE2','33','H','TARGET_TYPE1');</v>
      </c>
    </row>
    <row r="36" spans="1:10" x14ac:dyDescent="0.15">
      <c r="A36" s="2">
        <v>34</v>
      </c>
      <c r="B36" s="2" t="s">
        <v>857</v>
      </c>
      <c r="C36" s="2" t="s">
        <v>802</v>
      </c>
      <c r="D36" s="2" t="s">
        <v>382</v>
      </c>
      <c r="E36" s="2" t="s">
        <v>242</v>
      </c>
      <c r="F36" s="2"/>
      <c r="G36" s="2">
        <v>34</v>
      </c>
      <c r="H36" s="2" t="s">
        <v>330</v>
      </c>
      <c r="I36" s="2" t="s">
        <v>117</v>
      </c>
      <c r="J36" s="5" t="str">
        <f t="shared" si="0"/>
        <v>insert into CHB_INFOMGR_RESULT_CONFIG (RESULT_ID,MGRTABLE_ID,COLUMN_ID,COLUMN_NAME,DICTCODE,ORDER_NO,SHOWFLAG,REAL_COLUMN_ID) values ('B1C7DF40-B683-F1CA-E050-007F010043F1','CHB_ASSET_INFO','TARGET_AMT02','回购标的金额','','34','H','TARGET_AMT');</v>
      </c>
    </row>
    <row r="37" spans="1:10" x14ac:dyDescent="0.15">
      <c r="A37" s="2">
        <v>35</v>
      </c>
      <c r="B37" s="2" t="s">
        <v>858</v>
      </c>
      <c r="C37" s="2" t="s">
        <v>802</v>
      </c>
      <c r="D37" s="2" t="s">
        <v>383</v>
      </c>
      <c r="E37" s="2" t="s">
        <v>384</v>
      </c>
      <c r="F37" s="2" t="s">
        <v>300</v>
      </c>
      <c r="G37" s="2">
        <v>35</v>
      </c>
      <c r="H37" s="2" t="s">
        <v>330</v>
      </c>
      <c r="I37" s="2" t="s">
        <v>23</v>
      </c>
      <c r="J37" s="5" t="str">
        <f t="shared" si="0"/>
        <v>insert into CHB_INFOMGR_RESULT_CONFIG (RESULT_ID,MGRTABLE_ID,COLUMN_ID,COLUMN_NAME,DICTCODE,ORDER_NO,SHOWFLAG,REAL_COLUMN_ID) values ('B1C7DF40-B684-F1CA-E050-007F010043F1','CHB_ASSET_INFO','PROFIT_TYPE04','收/受益权类型','SVR_PROFIT_TYPE','35','H','PROFIT_TYPE');</v>
      </c>
    </row>
    <row r="38" spans="1:10" x14ac:dyDescent="0.15">
      <c r="A38" s="2">
        <v>36</v>
      </c>
      <c r="B38" s="2" t="s">
        <v>859</v>
      </c>
      <c r="C38" s="2" t="s">
        <v>802</v>
      </c>
      <c r="D38" s="2" t="s">
        <v>385</v>
      </c>
      <c r="E38" s="2" t="s">
        <v>386</v>
      </c>
      <c r="F38" s="2" t="s">
        <v>301</v>
      </c>
      <c r="G38" s="2">
        <v>36</v>
      </c>
      <c r="H38" s="2" t="s">
        <v>330</v>
      </c>
      <c r="I38" s="2" t="s">
        <v>119</v>
      </c>
      <c r="J38" s="5" t="str">
        <f t="shared" si="0"/>
        <v>insert into CHB_INFOMGR_RESULT_CONFIG (RESULT_ID,MGRTABLE_ID,COLUMN_ID,COLUMN_NAME,DICTCODE,ORDER_NO,SHOWFLAG,REAL_COLUMN_ID) values ('B1C7DF40-B685-F1CA-E050-007F010043F1','CHB_ASSET_INFO','IS_RESALE04','*是否属于买入返售','SVR_YES_OR_NO','36','H','IS_RESALE');</v>
      </c>
    </row>
    <row r="39" spans="1:10" x14ac:dyDescent="0.15">
      <c r="A39" s="2">
        <v>37</v>
      </c>
      <c r="B39" s="2" t="s">
        <v>860</v>
      </c>
      <c r="C39" s="2" t="s">
        <v>802</v>
      </c>
      <c r="D39" s="2" t="s">
        <v>387</v>
      </c>
      <c r="E39" s="2" t="s">
        <v>354</v>
      </c>
      <c r="F39" s="2"/>
      <c r="G39" s="2">
        <v>37</v>
      </c>
      <c r="H39" s="2" t="s">
        <v>330</v>
      </c>
      <c r="I39" s="2" t="s">
        <v>104</v>
      </c>
      <c r="J39" s="5" t="str">
        <f t="shared" si="0"/>
        <v>insert into CHB_INFOMGR_RESULT_CONFIG (RESULT_ID,MGRTABLE_ID,COLUMN_ID,COLUMN_NAME,DICTCODE,ORDER_NO,SHOWFLAG,REAL_COLUMN_ID) values ('B1C7DF40-B686-F1CA-E050-007F010043F1','CHB_ASSET_INFO','ASSET_NAME04','*名称','','37','H','ASSET_NAME');</v>
      </c>
    </row>
    <row r="40" spans="1:10" x14ac:dyDescent="0.15">
      <c r="A40" s="2">
        <v>38</v>
      </c>
      <c r="B40" s="2" t="s">
        <v>861</v>
      </c>
      <c r="C40" s="2" t="s">
        <v>802</v>
      </c>
      <c r="D40" s="2" t="s">
        <v>388</v>
      </c>
      <c r="E40" s="2" t="s">
        <v>389</v>
      </c>
      <c r="F40" s="2"/>
      <c r="G40" s="2">
        <v>38</v>
      </c>
      <c r="H40" s="2" t="s">
        <v>330</v>
      </c>
      <c r="I40" s="2" t="s">
        <v>97</v>
      </c>
      <c r="J40" s="5" t="str">
        <f t="shared" si="0"/>
        <v>insert into CHB_INFOMGR_RESULT_CONFIG (RESULT_ID,MGRTABLE_ID,COLUMN_ID,COLUMN_NAME,DICTCODE,ORDER_NO,SHOWFLAG,REAL_COLUMN_ID) values ('B1C7DF40-B687-F1CA-E050-007F010043F1','CHB_ASSET_INFO','AMT04','*金额','','38','H','AMT');</v>
      </c>
    </row>
    <row r="41" spans="1:10" x14ac:dyDescent="0.15">
      <c r="A41" s="2">
        <v>39</v>
      </c>
      <c r="B41" s="2" t="s">
        <v>862</v>
      </c>
      <c r="C41" s="2" t="s">
        <v>802</v>
      </c>
      <c r="D41" s="2" t="s">
        <v>390</v>
      </c>
      <c r="E41" s="2" t="s">
        <v>243</v>
      </c>
      <c r="F41" s="2"/>
      <c r="G41" s="2">
        <v>39</v>
      </c>
      <c r="H41" s="2" t="s">
        <v>330</v>
      </c>
      <c r="I41" s="2" t="s">
        <v>118</v>
      </c>
      <c r="J41" s="5" t="str">
        <f t="shared" si="0"/>
        <v>insert into CHB_INFOMGR_RESULT_CONFIG (RESULT_ID,MGRTABLE_ID,COLUMN_ID,COLUMN_NAME,DICTCODE,ORDER_NO,SHOWFLAG,REAL_COLUMN_ID) values ('B1C7DF40-B688-F1CA-E050-007F010043F1','CHB_ASSET_INFO','PRIN_BASEAMT04','份额面值','','39','H','PRIN_BASEAMT');</v>
      </c>
    </row>
    <row r="42" spans="1:10" x14ac:dyDescent="0.15">
      <c r="A42" s="2">
        <v>40</v>
      </c>
      <c r="B42" s="2" t="s">
        <v>863</v>
      </c>
      <c r="C42" s="2" t="s">
        <v>802</v>
      </c>
      <c r="D42" s="2" t="s">
        <v>391</v>
      </c>
      <c r="E42" s="2" t="s">
        <v>341</v>
      </c>
      <c r="F42" s="2"/>
      <c r="G42" s="2">
        <v>40</v>
      </c>
      <c r="H42" s="2" t="s">
        <v>330</v>
      </c>
      <c r="I42" s="2" t="s">
        <v>89</v>
      </c>
      <c r="J42" s="5" t="str">
        <f t="shared" si="0"/>
        <v>insert into CHB_INFOMGR_RESULT_CONFIG (RESULT_ID,MGRTABLE_ID,COLUMN_ID,COLUMN_NAME,DICTCODE,ORDER_NO,SHOWFLAG,REAL_COLUMN_ID) values ('B1C7DF40-B689-F1CA-E050-007F010043F1','CHB_ASSET_INFO','VDATE04','*起息日','','40','H','VDATE');</v>
      </c>
    </row>
    <row r="43" spans="1:10" x14ac:dyDescent="0.15">
      <c r="A43" s="2">
        <v>41</v>
      </c>
      <c r="B43" s="2" t="s">
        <v>864</v>
      </c>
      <c r="C43" s="2" t="s">
        <v>802</v>
      </c>
      <c r="D43" s="2" t="s">
        <v>392</v>
      </c>
      <c r="E43" s="2" t="s">
        <v>343</v>
      </c>
      <c r="F43" s="2"/>
      <c r="G43" s="2">
        <v>41</v>
      </c>
      <c r="H43" s="2" t="s">
        <v>330</v>
      </c>
      <c r="I43" s="2" t="s">
        <v>90</v>
      </c>
      <c r="J43" s="5" t="str">
        <f t="shared" si="0"/>
        <v>insert into CHB_INFOMGR_RESULT_CONFIG (RESULT_ID,MGRTABLE_ID,COLUMN_ID,COLUMN_NAME,DICTCODE,ORDER_NO,SHOWFLAG,REAL_COLUMN_ID) values ('B1C7DF40-B68A-F1CA-E050-007F010043F1','CHB_ASSET_INFO','MDATE04','*到期日','','41','H','MDATE');</v>
      </c>
    </row>
    <row r="44" spans="1:10" x14ac:dyDescent="0.15">
      <c r="A44" s="2">
        <v>42</v>
      </c>
      <c r="B44" s="2" t="s">
        <v>865</v>
      </c>
      <c r="C44" s="2" t="s">
        <v>802</v>
      </c>
      <c r="D44" s="2" t="s">
        <v>393</v>
      </c>
      <c r="E44" s="2" t="s">
        <v>244</v>
      </c>
      <c r="F44" s="2"/>
      <c r="G44" s="2">
        <v>42</v>
      </c>
      <c r="H44" s="2" t="s">
        <v>330</v>
      </c>
      <c r="I44" s="2" t="s">
        <v>120</v>
      </c>
      <c r="J44" s="5" t="str">
        <f t="shared" si="0"/>
        <v>insert into CHB_INFOMGR_RESULT_CONFIG (RESULT_ID,MGRTABLE_ID,COLUMN_ID,COLUMN_NAME,DICTCODE,ORDER_NO,SHOWFLAG,REAL_COLUMN_ID) values ('B1C7DF40-B68B-F1CA-E050-007F010043F1','CHB_ASSET_INFO','FMDATE04','法定到期日','','42','H','FMDATE');</v>
      </c>
    </row>
    <row r="45" spans="1:10" x14ac:dyDescent="0.15">
      <c r="A45" s="2">
        <v>43</v>
      </c>
      <c r="B45" s="2" t="s">
        <v>866</v>
      </c>
      <c r="C45" s="2" t="s">
        <v>802</v>
      </c>
      <c r="D45" s="2" t="s">
        <v>394</v>
      </c>
      <c r="E45" s="2" t="s">
        <v>395</v>
      </c>
      <c r="F45" s="2" t="s">
        <v>301</v>
      </c>
      <c r="G45" s="2">
        <v>43</v>
      </c>
      <c r="H45" s="2" t="s">
        <v>330</v>
      </c>
      <c r="I45" s="2" t="s">
        <v>121</v>
      </c>
      <c r="J45" s="5" t="str">
        <f t="shared" si="0"/>
        <v>insert into CHB_INFOMGR_RESULT_CONFIG (RESULT_ID,MGRTABLE_ID,COLUMN_ID,COLUMN_NAME,DICTCODE,ORDER_NO,SHOWFLAG,REAL_COLUMN_ID) values ('B1C7DF40-B68C-F1CA-E050-007F010043F1','CHB_ASSET_INFO','RATE_FLAG04','*是否有预期收益率','SVR_YES_OR_NO','43','H','RATE_FLAG');</v>
      </c>
    </row>
    <row r="46" spans="1:10" x14ac:dyDescent="0.15">
      <c r="A46" s="2">
        <v>44</v>
      </c>
      <c r="B46" s="2" t="s">
        <v>867</v>
      </c>
      <c r="C46" s="2" t="s">
        <v>802</v>
      </c>
      <c r="D46" s="2" t="s">
        <v>396</v>
      </c>
      <c r="E46" s="2" t="s">
        <v>397</v>
      </c>
      <c r="F46" s="2"/>
      <c r="G46" s="2">
        <v>44</v>
      </c>
      <c r="H46" s="2" t="s">
        <v>330</v>
      </c>
      <c r="I46" s="2" t="s">
        <v>98</v>
      </c>
      <c r="J46" s="5" t="str">
        <f t="shared" si="0"/>
        <v>insert into CHB_INFOMGR_RESULT_CONFIG (RESULT_ID,MGRTABLE_ID,COLUMN_ID,COLUMN_NAME,DICTCODE,ORDER_NO,SHOWFLAG,REAL_COLUMN_ID) values ('B1C7DF40-B68D-F1CA-E050-007F010043F1','CHB_ASSET_INFO','ASSET_YIELD04','项目收益率(利率)%','','44','H','ASSET_YIELD');</v>
      </c>
    </row>
    <row r="47" spans="1:10" x14ac:dyDescent="0.15">
      <c r="A47" s="2">
        <v>45</v>
      </c>
      <c r="B47" s="2" t="s">
        <v>868</v>
      </c>
      <c r="C47" s="2" t="s">
        <v>802</v>
      </c>
      <c r="D47" s="2" t="s">
        <v>398</v>
      </c>
      <c r="E47" s="2" t="s">
        <v>245</v>
      </c>
      <c r="F47" s="2" t="s">
        <v>302</v>
      </c>
      <c r="G47" s="2">
        <v>45</v>
      </c>
      <c r="H47" s="2" t="s">
        <v>330</v>
      </c>
      <c r="I47" s="2" t="s">
        <v>122</v>
      </c>
      <c r="J47" s="5" t="str">
        <f t="shared" si="0"/>
        <v>insert into CHB_INFOMGR_RESULT_CONFIG (RESULT_ID,MGRTABLE_ID,COLUMN_ID,COLUMN_NAME,DICTCODE,ORDER_NO,SHOWFLAG,REAL_COLUMN_ID) values ('B1C7DF40-B68E-F1CA-E050-007F010043F1','CHB_ASSET_INFO','COUPON_SPECIES04','计息类型','SVR_COUPON_SPECIES','45','H','COUPON_SPECIES');</v>
      </c>
    </row>
    <row r="48" spans="1:10" x14ac:dyDescent="0.15">
      <c r="A48" s="2">
        <v>46</v>
      </c>
      <c r="B48" s="2" t="s">
        <v>869</v>
      </c>
      <c r="C48" s="2" t="s">
        <v>802</v>
      </c>
      <c r="D48" s="2" t="s">
        <v>399</v>
      </c>
      <c r="E48" s="2" t="s">
        <v>246</v>
      </c>
      <c r="F48" s="2" t="s">
        <v>301</v>
      </c>
      <c r="G48" s="2">
        <v>46</v>
      </c>
      <c r="H48" s="2" t="s">
        <v>330</v>
      </c>
      <c r="I48" s="2" t="s">
        <v>123</v>
      </c>
      <c r="J48" s="5" t="str">
        <f t="shared" si="0"/>
        <v>insert into CHB_INFOMGR_RESULT_CONFIG (RESULT_ID,MGRTABLE_ID,COLUMN_ID,COLUMN_NAME,DICTCODE,ORDER_NO,SHOWFLAG,REAL_COLUMN_ID) values ('B1C7DF40-B68F-F1CA-E050-007F010043F1','CHB_ASSET_INFO','INTEREST_RULE_FLAG04','规则付息标识','SVR_YES_OR_NO','46','H','INTEREST_RULE_FLAG');</v>
      </c>
    </row>
    <row r="49" spans="1:10" x14ac:dyDescent="0.15">
      <c r="A49" s="2">
        <v>47</v>
      </c>
      <c r="B49" s="2" t="s">
        <v>870</v>
      </c>
      <c r="C49" s="2" t="s">
        <v>802</v>
      </c>
      <c r="D49" s="2" t="s">
        <v>400</v>
      </c>
      <c r="E49" s="2" t="s">
        <v>401</v>
      </c>
      <c r="F49" s="2"/>
      <c r="G49" s="2">
        <v>47</v>
      </c>
      <c r="H49" s="2" t="s">
        <v>330</v>
      </c>
      <c r="I49" s="2" t="s">
        <v>124</v>
      </c>
      <c r="J49" s="5" t="str">
        <f t="shared" si="0"/>
        <v>insert into CHB_INFOMGR_RESULT_CONFIG (RESULT_ID,MGRTABLE_ID,COLUMN_ID,COLUMN_NAME,DICTCODE,ORDER_NO,SHOWFLAG,REAL_COLUMN_ID) values ('B1C7DF40-B690-F1CA-E050-007F010043F1','CHB_ASSET_INFO','INTPAY_CYCLE04','*付息频率（个月/次）','','47','H','INTPAY_CYCLE');</v>
      </c>
    </row>
    <row r="50" spans="1:10" x14ac:dyDescent="0.15">
      <c r="A50" s="2">
        <v>48</v>
      </c>
      <c r="B50" s="2" t="s">
        <v>871</v>
      </c>
      <c r="C50" s="2" t="s">
        <v>802</v>
      </c>
      <c r="D50" s="2" t="s">
        <v>402</v>
      </c>
      <c r="E50" s="2" t="s">
        <v>248</v>
      </c>
      <c r="F50" s="2" t="s">
        <v>303</v>
      </c>
      <c r="G50" s="2">
        <v>48</v>
      </c>
      <c r="H50" s="2" t="s">
        <v>330</v>
      </c>
      <c r="I50" s="2" t="s">
        <v>125</v>
      </c>
      <c r="J50" s="5" t="str">
        <f t="shared" si="0"/>
        <v>insert into CHB_INFOMGR_RESULT_CONFIG (RESULT_ID,MGRTABLE_ID,COLUMN_ID,COLUMN_NAME,DICTCODE,ORDER_NO,SHOWFLAG,REAL_COLUMN_ID) values ('B1C7DF40-B691-F1CA-E050-007F010043F1','CHB_ASSET_INFO','INTPAY_RULE04','利息分布方式','SVR_INTPAY_RULE','48','H','INTPAY_RULE');</v>
      </c>
    </row>
    <row r="51" spans="1:10" x14ac:dyDescent="0.15">
      <c r="A51" s="2">
        <v>49</v>
      </c>
      <c r="B51" s="2" t="s">
        <v>872</v>
      </c>
      <c r="C51" s="2" t="s">
        <v>802</v>
      </c>
      <c r="D51" s="2" t="s">
        <v>403</v>
      </c>
      <c r="E51" s="2" t="s">
        <v>404</v>
      </c>
      <c r="F51" s="2"/>
      <c r="G51" s="2">
        <v>49</v>
      </c>
      <c r="H51" s="2" t="s">
        <v>330</v>
      </c>
      <c r="I51" s="2" t="s">
        <v>126</v>
      </c>
      <c r="J51" s="5" t="str">
        <f t="shared" si="0"/>
        <v>insert into CHB_INFOMGR_RESULT_CONFIG (RESULT_ID,MGRTABLE_ID,COLUMN_ID,COLUMN_NAME,DICTCODE,ORDER_NO,SHOWFLAG,REAL_COLUMN_ID) values ('B1C7DF40-B692-F1CA-E050-007F010043F1','CHB_ASSET_INFO','REPAY_CMT04','*还本付息情况说明','','49','H','REPAY_CMT');</v>
      </c>
    </row>
    <row r="52" spans="1:10" x14ac:dyDescent="0.15">
      <c r="A52" s="2">
        <v>50</v>
      </c>
      <c r="B52" s="2" t="s">
        <v>873</v>
      </c>
      <c r="C52" s="2" t="s">
        <v>802</v>
      </c>
      <c r="D52" s="2" t="s">
        <v>405</v>
      </c>
      <c r="E52" s="2" t="s">
        <v>347</v>
      </c>
      <c r="F52" s="2" t="s">
        <v>287</v>
      </c>
      <c r="G52" s="2">
        <v>50</v>
      </c>
      <c r="H52" s="2" t="s">
        <v>330</v>
      </c>
      <c r="I52" s="2" t="s">
        <v>99</v>
      </c>
      <c r="J52" s="5" t="str">
        <f t="shared" si="0"/>
        <v>insert into CHB_INFOMGR_RESULT_CONFIG (RESULT_ID,MGRTABLE_ID,COLUMN_ID,COLUMN_NAME,DICTCODE,ORDER_NO,SHOWFLAG,REAL_COLUMN_ID) values ('B1C7DF40-B693-F1CA-E050-007F010043F1','CHB_ASSET_INFO','BASIS04','*计息基础','SVR_BASIS','50','H','BASIS');</v>
      </c>
    </row>
    <row r="53" spans="1:10" x14ac:dyDescent="0.15">
      <c r="A53" s="2">
        <v>51</v>
      </c>
      <c r="B53" s="2" t="s">
        <v>874</v>
      </c>
      <c r="C53" s="2" t="s">
        <v>802</v>
      </c>
      <c r="D53" s="2" t="s">
        <v>406</v>
      </c>
      <c r="E53" s="2" t="s">
        <v>407</v>
      </c>
      <c r="F53" s="2" t="s">
        <v>304</v>
      </c>
      <c r="G53" s="2">
        <v>51</v>
      </c>
      <c r="H53" s="2" t="s">
        <v>330</v>
      </c>
      <c r="I53" s="2" t="s">
        <v>127</v>
      </c>
      <c r="J53" s="5" t="str">
        <f t="shared" si="0"/>
        <v>insert into CHB_INFOMGR_RESULT_CONFIG (RESULT_ID,MGRTABLE_ID,COLUMN_ID,COLUMN_NAME,DICTCODE,ORDER_NO,SHOWFLAG,REAL_COLUMN_ID) values ('B1C7DF40-B694-F1CA-E050-007F010043F1','CHB_ASSET_INFO','BASIS_TYPE04','基准利率种类','SVR_BASIS_TYPE','51','H','BASIS_TYPE');</v>
      </c>
    </row>
    <row r="54" spans="1:10" x14ac:dyDescent="0.15">
      <c r="A54" s="2">
        <v>52</v>
      </c>
      <c r="B54" s="2" t="s">
        <v>875</v>
      </c>
      <c r="C54" s="2" t="s">
        <v>802</v>
      </c>
      <c r="D54" s="2" t="s">
        <v>408</v>
      </c>
      <c r="E54" s="2" t="s">
        <v>249</v>
      </c>
      <c r="F54" s="2" t="s">
        <v>301</v>
      </c>
      <c r="G54" s="2">
        <v>52</v>
      </c>
      <c r="H54" s="2" t="s">
        <v>330</v>
      </c>
      <c r="I54" s="2" t="s">
        <v>128</v>
      </c>
      <c r="J54" s="5" t="str">
        <f t="shared" si="0"/>
        <v>insert into CHB_INFOMGR_RESULT_CONFIG (RESULT_ID,MGRTABLE_ID,COLUMN_ID,COLUMN_NAME,DICTCODE,ORDER_NO,SHOWFLAG,REAL_COLUMN_ID) values ('B1C7DF40-B695-F1CA-E050-007F010043F1','CHB_ASSET_INFO','FLOAT_FACTOR_FLAG04','是否有浮动因子','SVR_YES_OR_NO','52','H','FLOAT_FACTOR_FLAG');</v>
      </c>
    </row>
    <row r="55" spans="1:10" x14ac:dyDescent="0.15">
      <c r="A55" s="2">
        <v>53</v>
      </c>
      <c r="B55" s="2" t="s">
        <v>876</v>
      </c>
      <c r="C55" s="2" t="s">
        <v>802</v>
      </c>
      <c r="D55" s="2" t="s">
        <v>409</v>
      </c>
      <c r="E55" s="2" t="s">
        <v>410</v>
      </c>
      <c r="F55" s="2"/>
      <c r="G55" s="2">
        <v>53</v>
      </c>
      <c r="H55" s="2" t="s">
        <v>330</v>
      </c>
      <c r="I55" s="2" t="s">
        <v>129</v>
      </c>
      <c r="J55" s="5" t="str">
        <f t="shared" si="0"/>
        <v>insert into CHB_INFOMGR_RESULT_CONFIG (RESULT_ID,MGRTABLE_ID,COLUMN_ID,COLUMN_NAME,DICTCODE,ORDER_NO,SHOWFLAG,REAL_COLUMN_ID) values ('B1C7DF40-B696-F1CA-E050-007F010043F1','CHB_ASSET_INFO','FLOAT_FACTOR04','浮动因子（%）','','53','H','FLOAT_FACTOR');</v>
      </c>
    </row>
    <row r="56" spans="1:10" x14ac:dyDescent="0.15">
      <c r="A56" s="2">
        <v>54</v>
      </c>
      <c r="B56" s="2" t="s">
        <v>877</v>
      </c>
      <c r="C56" s="2" t="s">
        <v>802</v>
      </c>
      <c r="D56" s="2" t="s">
        <v>411</v>
      </c>
      <c r="E56" s="2" t="s">
        <v>412</v>
      </c>
      <c r="F56" s="2"/>
      <c r="G56" s="2">
        <v>54</v>
      </c>
      <c r="H56" s="2" t="s">
        <v>330</v>
      </c>
      <c r="I56" s="2" t="s">
        <v>130</v>
      </c>
      <c r="J56" s="5" t="str">
        <f t="shared" si="0"/>
        <v>insert into CHB_INFOMGR_RESULT_CONFIG (RESULT_ID,MGRTABLE_ID,COLUMN_ID,COLUMN_NAME,DICTCODE,ORDER_NO,SHOWFLAG,REAL_COLUMN_ID) values ('B1C7DF40-B697-F1CA-E050-007F010043F1','CHB_ASSET_INFO','SPREAD_RATE04','利差(BP)','','54','H','SPREAD_RATE');</v>
      </c>
    </row>
    <row r="57" spans="1:10" x14ac:dyDescent="0.15">
      <c r="A57" s="2">
        <v>55</v>
      </c>
      <c r="B57" s="2" t="s">
        <v>878</v>
      </c>
      <c r="C57" s="2" t="s">
        <v>802</v>
      </c>
      <c r="D57" s="2" t="s">
        <v>413</v>
      </c>
      <c r="E57" s="2" t="s">
        <v>250</v>
      </c>
      <c r="F57" s="2" t="s">
        <v>305</v>
      </c>
      <c r="G57" s="2">
        <v>55</v>
      </c>
      <c r="H57" s="2" t="s">
        <v>330</v>
      </c>
      <c r="I57" s="2" t="s">
        <v>131</v>
      </c>
      <c r="J57" s="5" t="str">
        <f t="shared" si="0"/>
        <v>insert into CHB_INFOMGR_RESULT_CONFIG (RESULT_ID,MGRTABLE_ID,COLUMN_ID,COLUMN_NAME,DICTCODE,ORDER_NO,SHOWFLAG,REAL_COLUMN_ID) values ('B1C7DF40-B698-F1CA-E050-007F010043F1','CHB_ASSET_INFO','STRUCT_GRADE04','结构档次','SVR_STRUCT_GRADE','55','H','STRUCT_GRADE');</v>
      </c>
    </row>
    <row r="58" spans="1:10" x14ac:dyDescent="0.15">
      <c r="A58" s="2">
        <v>56</v>
      </c>
      <c r="B58" s="2" t="s">
        <v>879</v>
      </c>
      <c r="C58" s="2" t="s">
        <v>802</v>
      </c>
      <c r="D58" s="2" t="s">
        <v>414</v>
      </c>
      <c r="E58" s="2" t="s">
        <v>251</v>
      </c>
      <c r="F58" s="2" t="s">
        <v>306</v>
      </c>
      <c r="G58" s="2">
        <v>56</v>
      </c>
      <c r="H58" s="2" t="s">
        <v>330</v>
      </c>
      <c r="I58" s="2" t="s">
        <v>132</v>
      </c>
      <c r="J58" s="5" t="str">
        <f t="shared" si="0"/>
        <v>insert into CHB_INFOMGR_RESULT_CONFIG (RESULT_ID,MGRTABLE_ID,COLUMN_ID,COLUMN_NAME,DICTCODE,ORDER_NO,SHOWFLAG,REAL_COLUMN_ID) values ('B1C7DF40-B699-F1CA-E050-007F010043F1','CHB_ASSET_INFO','REPAYMENT_TYPE04','还本方式','SVR_REPAYMENT_TYPE','56','H','REPAYMENT_TYPE');</v>
      </c>
    </row>
    <row r="59" spans="1:10" x14ac:dyDescent="0.15">
      <c r="A59" s="2">
        <v>57</v>
      </c>
      <c r="B59" s="2" t="s">
        <v>880</v>
      </c>
      <c r="C59" s="2" t="s">
        <v>802</v>
      </c>
      <c r="D59" s="2" t="s">
        <v>415</v>
      </c>
      <c r="E59" s="2" t="s">
        <v>252</v>
      </c>
      <c r="F59" s="2" t="s">
        <v>307</v>
      </c>
      <c r="G59" s="2">
        <v>57</v>
      </c>
      <c r="H59" s="2" t="s">
        <v>330</v>
      </c>
      <c r="I59" s="2" t="s">
        <v>133</v>
      </c>
      <c r="J59" s="5" t="str">
        <f t="shared" si="0"/>
        <v>insert into CHB_INFOMGR_RESULT_CONFIG (RESULT_ID,MGRTABLE_ID,COLUMN_ID,COLUMN_NAME,DICTCODE,ORDER_NO,SHOWFLAG,REAL_COLUMN_ID) values ('B1C7DF40-B69A-F1CA-E050-007F010043F1','CHB_ASSET_INFO','PERIOD_REPAYMENT_FLAG04','分期还本条款标识','SVR_PERIOD_REPAYMENT_FLAG','57','H','PERIOD_REPAYMENT_FLAG');</v>
      </c>
    </row>
    <row r="60" spans="1:10" x14ac:dyDescent="0.15">
      <c r="A60" s="2">
        <v>58</v>
      </c>
      <c r="B60" s="2" t="s">
        <v>881</v>
      </c>
      <c r="C60" s="2" t="s">
        <v>802</v>
      </c>
      <c r="D60" s="2" t="s">
        <v>416</v>
      </c>
      <c r="E60" s="2" t="s">
        <v>253</v>
      </c>
      <c r="F60" s="2"/>
      <c r="G60" s="2">
        <v>58</v>
      </c>
      <c r="H60" s="2" t="s">
        <v>330</v>
      </c>
      <c r="I60" s="2" t="s">
        <v>134</v>
      </c>
      <c r="J60" s="5" t="str">
        <f t="shared" si="0"/>
        <v>insert into CHB_INFOMGR_RESULT_CONFIG (RESULT_ID,MGRTABLE_ID,COLUMN_ID,COLUMN_NAME,DICTCODE,ORDER_NO,SHOWFLAG,REAL_COLUMN_ID) values ('B1C7DF40-B69B-F1CA-E050-007F010043F1','CHB_ASSET_INFO','BASIC_ASSET_TYPE04','基础资产类型','','58','H','BASIC_ASSET_TYPE');</v>
      </c>
    </row>
    <row r="61" spans="1:10" x14ac:dyDescent="0.15">
      <c r="A61" s="2">
        <v>59</v>
      </c>
      <c r="B61" s="2" t="s">
        <v>882</v>
      </c>
      <c r="C61" s="2" t="s">
        <v>802</v>
      </c>
      <c r="D61" s="2" t="s">
        <v>417</v>
      </c>
      <c r="E61" s="2" t="s">
        <v>254</v>
      </c>
      <c r="F61" s="2"/>
      <c r="G61" s="2">
        <v>59</v>
      </c>
      <c r="H61" s="2" t="s">
        <v>330</v>
      </c>
      <c r="I61" s="2" t="s">
        <v>135</v>
      </c>
      <c r="J61" s="5" t="str">
        <f t="shared" si="0"/>
        <v>insert into CHB_INFOMGR_RESULT_CONFIG (RESULT_ID,MGRTABLE_ID,COLUMN_ID,COLUMN_NAME,DICTCODE,ORDER_NO,SHOWFLAG,REAL_COLUMN_ID) values ('B1C7DF40-B69C-F1CA-E050-007F010043F1','CHB_ASSET_INFO','EXCESS_PROFIT_RATE04','超额收益分配比例%','','59','H','EXCESS_PROFIT_RATE');</v>
      </c>
    </row>
    <row r="62" spans="1:10" x14ac:dyDescent="0.15">
      <c r="A62" s="2">
        <v>60</v>
      </c>
      <c r="B62" s="2" t="s">
        <v>883</v>
      </c>
      <c r="C62" s="2" t="s">
        <v>802</v>
      </c>
      <c r="D62" s="2" t="s">
        <v>418</v>
      </c>
      <c r="E62" s="2" t="s">
        <v>419</v>
      </c>
      <c r="F62" s="2"/>
      <c r="G62" s="2">
        <v>60</v>
      </c>
      <c r="H62" s="2" t="s">
        <v>330</v>
      </c>
      <c r="I62" s="2" t="s">
        <v>136</v>
      </c>
      <c r="J62" s="5" t="str">
        <f t="shared" si="0"/>
        <v>insert into CHB_INFOMGR_RESULT_CONFIG (RESULT_ID,MGRTABLE_ID,COLUMN_ID,COLUMN_NAME,DICTCODE,ORDER_NO,SHOWFLAG,REAL_COLUMN_ID) values ('B1C7DF40-B69D-F1CA-E050-007F010043F1','CHB_ASSET_INFO','FINANCIE04','*融资人','','60','H','FINANCIE');</v>
      </c>
    </row>
    <row r="63" spans="1:10" x14ac:dyDescent="0.15">
      <c r="A63" s="2">
        <v>61</v>
      </c>
      <c r="B63" s="2" t="s">
        <v>884</v>
      </c>
      <c r="C63" s="2" t="s">
        <v>802</v>
      </c>
      <c r="D63" s="2" t="s">
        <v>420</v>
      </c>
      <c r="E63" s="2" t="s">
        <v>421</v>
      </c>
      <c r="F63" s="2"/>
      <c r="G63" s="2">
        <v>61</v>
      </c>
      <c r="H63" s="2" t="s">
        <v>330</v>
      </c>
      <c r="I63" s="2" t="s">
        <v>137</v>
      </c>
      <c r="J63" s="5" t="str">
        <f t="shared" si="0"/>
        <v>insert into CHB_INFOMGR_RESULT_CONFIG (RESULT_ID,MGRTABLE_ID,COLUMN_ID,COLUMN_NAME,DICTCODE,ORDER_NO,SHOWFLAG,REAL_COLUMN_ID) values ('B1C7DF40-B69E-F1CA-E050-007F010043F1','CHB_ASSET_INFO','FCR_GRADE_IN04','*融资人内部信用评级','','61','H','FCR_GRADE_IN');</v>
      </c>
    </row>
    <row r="64" spans="1:10" x14ac:dyDescent="0.15">
      <c r="A64" s="2">
        <v>62</v>
      </c>
      <c r="B64" s="2" t="s">
        <v>885</v>
      </c>
      <c r="C64" s="2" t="s">
        <v>802</v>
      </c>
      <c r="D64" s="2" t="s">
        <v>422</v>
      </c>
      <c r="E64" s="2" t="s">
        <v>423</v>
      </c>
      <c r="F64" s="2"/>
      <c r="G64" s="2">
        <v>62</v>
      </c>
      <c r="H64" s="2" t="s">
        <v>330</v>
      </c>
      <c r="I64" s="2" t="s">
        <v>138</v>
      </c>
      <c r="J64" s="5" t="str">
        <f t="shared" si="0"/>
        <v>insert into CHB_INFOMGR_RESULT_CONFIG (RESULT_ID,MGRTABLE_ID,COLUMN_ID,COLUMN_NAME,DICTCODE,ORDER_NO,SHOWFLAG,REAL_COLUMN_ID) values ('B1C7DF40-B69F-F1CA-E050-007F010043F1','CHB_ASSET_INFO','FCR_GRADE_OUT04','*外部评级机构名称及对融资人评级结果','','62','H','FCR_GRADE_OUT');</v>
      </c>
    </row>
    <row r="65" spans="1:10" x14ac:dyDescent="0.15">
      <c r="A65" s="2">
        <v>63</v>
      </c>
      <c r="B65" s="2" t="s">
        <v>886</v>
      </c>
      <c r="C65" s="2" t="s">
        <v>802</v>
      </c>
      <c r="D65" s="2" t="s">
        <v>424</v>
      </c>
      <c r="E65" s="2" t="s">
        <v>425</v>
      </c>
      <c r="F65" s="2" t="s">
        <v>293</v>
      </c>
      <c r="G65" s="2">
        <v>63</v>
      </c>
      <c r="H65" s="2" t="s">
        <v>330</v>
      </c>
      <c r="I65" s="2" t="s">
        <v>139</v>
      </c>
      <c r="J65" s="5" t="str">
        <f t="shared" si="0"/>
        <v>insert into CHB_INFOMGR_RESULT_CONFIG (RESULT_ID,MGRTABLE_ID,COLUMN_ID,COLUMN_NAME,DICTCODE,ORDER_NO,SHOWFLAG,REAL_COLUMN_ID) values ('B1C7DF40-B6A0-F1CA-E050-007F010043F1','CHB_ASSET_INFO','FINANCIER_TYPE104','*融资人类型（按规模划分）','SVR_PARTY_TYPE1','63','H','FINANCIER_TYPE1');</v>
      </c>
    </row>
    <row r="66" spans="1:10" x14ac:dyDescent="0.15">
      <c r="A66" s="2">
        <v>64</v>
      </c>
      <c r="B66" s="2" t="s">
        <v>887</v>
      </c>
      <c r="C66" s="2" t="s">
        <v>802</v>
      </c>
      <c r="D66" s="2" t="s">
        <v>426</v>
      </c>
      <c r="E66" s="2" t="s">
        <v>427</v>
      </c>
      <c r="F66" s="2" t="s">
        <v>294</v>
      </c>
      <c r="G66" s="2">
        <v>64</v>
      </c>
      <c r="H66" s="2" t="s">
        <v>330</v>
      </c>
      <c r="I66" s="2" t="s">
        <v>140</v>
      </c>
      <c r="J66" s="5" t="str">
        <f t="shared" si="0"/>
        <v>insert into CHB_INFOMGR_RESULT_CONFIG (RESULT_ID,MGRTABLE_ID,COLUMN_ID,COLUMN_NAME,DICTCODE,ORDER_NO,SHOWFLAG,REAL_COLUMN_ID) values ('B1C7DF40-B6A1-F1CA-E050-007F010043F1','CHB_ASSET_INFO','FINANCIER_TYPE204','*融资人类型（按技术领域划分）','SVR_PARTY_TYPE3','64','H','FINANCIER_TYPE2');</v>
      </c>
    </row>
    <row r="67" spans="1:10" x14ac:dyDescent="0.15">
      <c r="A67" s="2">
        <v>65</v>
      </c>
      <c r="B67" s="2" t="s">
        <v>888</v>
      </c>
      <c r="C67" s="2" t="s">
        <v>802</v>
      </c>
      <c r="D67" s="2" t="s">
        <v>428</v>
      </c>
      <c r="E67" s="2" t="s">
        <v>429</v>
      </c>
      <c r="F67" s="2" t="s">
        <v>295</v>
      </c>
      <c r="G67" s="2">
        <v>65</v>
      </c>
      <c r="H67" s="2" t="s">
        <v>330</v>
      </c>
      <c r="I67" s="2" t="s">
        <v>141</v>
      </c>
      <c r="J67" s="5" t="str">
        <f t="shared" si="0"/>
        <v>insert into CHB_INFOMGR_RESULT_CONFIG (RESULT_ID,MGRTABLE_ID,COLUMN_ID,COLUMN_NAME,DICTCODE,ORDER_NO,SHOWFLAG,REAL_COLUMN_ID) values ('B1C7DF40-B6A2-F1CA-E050-007F010043F1','CHB_ASSET_INFO','FINANCIER_TYPE304','*融资人类型（按经济类型划分）','SVR_PARTY_TYPE2','65','H','FINANCIER_TYPE3');</v>
      </c>
    </row>
    <row r="68" spans="1:10" x14ac:dyDescent="0.15">
      <c r="A68" s="2">
        <v>66</v>
      </c>
      <c r="B68" s="2" t="s">
        <v>889</v>
      </c>
      <c r="C68" s="2" t="s">
        <v>802</v>
      </c>
      <c r="D68" s="2" t="s">
        <v>430</v>
      </c>
      <c r="E68" s="2" t="s">
        <v>431</v>
      </c>
      <c r="F68" s="2"/>
      <c r="G68" s="2">
        <v>66</v>
      </c>
      <c r="H68" s="2" t="s">
        <v>330</v>
      </c>
      <c r="I68" s="2" t="s">
        <v>142</v>
      </c>
      <c r="J68" s="5" t="str">
        <f t="shared" ref="J68:J131" si="1">CONCATENATE("insert into CHB_INFOMGR_RESULT_CONFIG (RESULT_ID,MGRTABLE_ID,COLUMN_ID,COLUMN_NAME,DICTCODE,ORDER_NO,SHOWFLAG,REAL_COLUMN_ID) values ('",B68,"','",C68,"','",D68,"','",E68,"','",F68,"','",G68,"','",H68,"','",I68,"');")</f>
        <v>insert into CHB_INFOMGR_RESULT_CONFIG (RESULT_ID,MGRTABLE_ID,COLUMN_ID,COLUMN_NAME,DICTCODE,ORDER_NO,SHOWFLAG,REAL_COLUMN_ID) values ('B1C7DF40-B6A3-F1CA-E050-007F010043F1','CHB_ASSET_INFO','FINANCE_PROJ04','*融资项目','','66','H','FINANCE_PROJ');</v>
      </c>
    </row>
    <row r="69" spans="1:10" x14ac:dyDescent="0.15">
      <c r="A69" s="2">
        <v>67</v>
      </c>
      <c r="B69" s="2" t="s">
        <v>890</v>
      </c>
      <c r="C69" s="2" t="s">
        <v>802</v>
      </c>
      <c r="D69" s="2" t="s">
        <v>432</v>
      </c>
      <c r="E69" s="2" t="s">
        <v>433</v>
      </c>
      <c r="F69" s="2" t="s">
        <v>296</v>
      </c>
      <c r="G69" s="2">
        <v>67</v>
      </c>
      <c r="H69" s="2" t="s">
        <v>330</v>
      </c>
      <c r="I69" s="2" t="s">
        <v>143</v>
      </c>
      <c r="J69" s="5" t="str">
        <f t="shared" si="1"/>
        <v>insert into CHB_INFOMGR_RESULT_CONFIG (RESULT_ID,MGRTABLE_ID,COLUMN_ID,COLUMN_NAME,DICTCODE,ORDER_NO,SHOWFLAG,REAL_COLUMN_ID) values ('B1C7DF40-B6A4-F1CA-E050-007F010043F1','CHB_ASSET_INFO','INDUSTRY_LEVEL2_TYPE04','*融资人所属行业','INSTITUTION_INDUSTRY_SECOND_LEVEL','67','H','INDUSTRY_LEVEL2_TYPE');</v>
      </c>
    </row>
    <row r="70" spans="1:10" x14ac:dyDescent="0.15">
      <c r="A70" s="2">
        <v>68</v>
      </c>
      <c r="B70" s="2" t="s">
        <v>891</v>
      </c>
      <c r="C70" s="2" t="s">
        <v>802</v>
      </c>
      <c r="D70" s="2" t="s">
        <v>434</v>
      </c>
      <c r="E70" s="2" t="s">
        <v>435</v>
      </c>
      <c r="F70" s="2" t="s">
        <v>301</v>
      </c>
      <c r="G70" s="2">
        <v>68</v>
      </c>
      <c r="H70" s="2" t="s">
        <v>330</v>
      </c>
      <c r="I70" s="2" t="s">
        <v>145</v>
      </c>
      <c r="J70" s="5" t="str">
        <f t="shared" si="1"/>
        <v>insert into CHB_INFOMGR_RESULT_CONFIG (RESULT_ID,MGRTABLE_ID,COLUMN_ID,COLUMN_NAME,DICTCODE,ORDER_NO,SHOWFLAG,REAL_COLUMN_ID) values ('B1C7DF40-B6A5-F1CA-E050-007F010043F1','CHB_ASSET_INFO','INDUSTRY_FLAG04','*项目是否属于重点监控行业和领域','SVR_YES_OR_NO','68','H','INDUSTRY_FLAG');</v>
      </c>
    </row>
    <row r="71" spans="1:10" x14ac:dyDescent="0.15">
      <c r="A71" s="2">
        <v>69</v>
      </c>
      <c r="B71" s="2" t="s">
        <v>892</v>
      </c>
      <c r="C71" s="2" t="s">
        <v>802</v>
      </c>
      <c r="D71" s="2" t="s">
        <v>436</v>
      </c>
      <c r="E71" s="2" t="s">
        <v>437</v>
      </c>
      <c r="F71" s="2" t="s">
        <v>308</v>
      </c>
      <c r="G71" s="2">
        <v>69</v>
      </c>
      <c r="H71" s="2" t="s">
        <v>330</v>
      </c>
      <c r="I71" s="2" t="s">
        <v>146</v>
      </c>
      <c r="J71" s="5" t="str">
        <f t="shared" si="1"/>
        <v>insert into CHB_INFOMGR_RESULT_CONFIG (RESULT_ID,MGRTABLE_ID,COLUMN_ID,COLUMN_NAME,DICTCODE,ORDER_NO,SHOWFLAG,REAL_COLUMN_ID) values ('B1C7DF40-B6A6-F1CA-E050-007F010043F1','CHB_ASSET_INFO','MONIT_TYPE04','重点监控行业和领域类别','SVR_MOINT_TYPE','69','H','MONIT_TYPE');</v>
      </c>
    </row>
    <row r="72" spans="1:10" x14ac:dyDescent="0.15">
      <c r="A72" s="2">
        <v>70</v>
      </c>
      <c r="B72" s="2" t="s">
        <v>893</v>
      </c>
      <c r="C72" s="2" t="s">
        <v>802</v>
      </c>
      <c r="D72" s="2" t="s">
        <v>438</v>
      </c>
      <c r="E72" s="2" t="s">
        <v>255</v>
      </c>
      <c r="F72" s="2"/>
      <c r="G72" s="2">
        <v>70</v>
      </c>
      <c r="H72" s="2" t="s">
        <v>330</v>
      </c>
      <c r="I72" s="2" t="s">
        <v>147</v>
      </c>
      <c r="J72" s="5" t="str">
        <f t="shared" si="1"/>
        <v>insert into CHB_INFOMGR_RESULT_CONFIG (RESULT_ID,MGRTABLE_ID,COLUMN_ID,COLUMN_NAME,DICTCODE,ORDER_NO,SHOWFLAG,REAL_COLUMN_ID) values ('B1C7DF40-B6A7-F1CA-E050-007F010043F1','CHB_ASSET_INFO','MON_TYPE_COMM04','重点监控行业和领域类别说明','','70','H','MON_TYPE_COMM');</v>
      </c>
    </row>
    <row r="73" spans="1:10" x14ac:dyDescent="0.15">
      <c r="A73" s="2">
        <v>71</v>
      </c>
      <c r="B73" s="2" t="s">
        <v>894</v>
      </c>
      <c r="C73" s="2" t="s">
        <v>802</v>
      </c>
      <c r="D73" s="2" t="s">
        <v>439</v>
      </c>
      <c r="E73" s="2" t="s">
        <v>372</v>
      </c>
      <c r="F73" s="2" t="s">
        <v>309</v>
      </c>
      <c r="G73" s="2">
        <v>71</v>
      </c>
      <c r="H73" s="2" t="s">
        <v>330</v>
      </c>
      <c r="I73" s="2" t="s">
        <v>148</v>
      </c>
      <c r="J73" s="5" t="str">
        <f t="shared" si="1"/>
        <v>insert into CHB_INFOMGR_RESULT_CONFIG (RESULT_ID,MGRTABLE_ID,COLUMN_ID,COLUMN_NAME,DICTCODE,ORDER_NO,SHOWFLAG,REAL_COLUMN_ID) values ('B1C7DF40-B6A8-F1CA-E050-007F010043F1','CHB_ASSET_INFO','GUA_TYPE04','担保方式','SVR_GUA_TYPE','71','H','GUA_TYPE');</v>
      </c>
    </row>
    <row r="74" spans="1:10" x14ac:dyDescent="0.15">
      <c r="A74" s="2">
        <v>72</v>
      </c>
      <c r="B74" s="2" t="s">
        <v>895</v>
      </c>
      <c r="C74" s="2" t="s">
        <v>802</v>
      </c>
      <c r="D74" s="2" t="s">
        <v>441</v>
      </c>
      <c r="E74" s="2" t="s">
        <v>256</v>
      </c>
      <c r="F74" s="2" t="s">
        <v>310</v>
      </c>
      <c r="G74" s="2">
        <v>72</v>
      </c>
      <c r="H74" s="2" t="s">
        <v>330</v>
      </c>
      <c r="I74" s="2" t="s">
        <v>150</v>
      </c>
      <c r="J74" s="5" t="str">
        <f t="shared" si="1"/>
        <v>insert into CHB_INFOMGR_RESULT_CONFIG (RESULT_ID,MGRTABLE_ID,COLUMN_ID,COLUMN_NAME,DICTCODE,ORDER_NO,SHOWFLAG,REAL_COLUMN_ID) values ('B1C7DF40-B6A9-F1CA-E050-007F010043F1','CHB_ASSET_INFO','PLEDGE_TYPE04','抵质押物类型','SVR_PLEDGE_TYPE','72','H','PLEDGE_TYPE');</v>
      </c>
    </row>
    <row r="75" spans="1:10" x14ac:dyDescent="0.15">
      <c r="A75" s="2">
        <v>73</v>
      </c>
      <c r="B75" s="2" t="s">
        <v>896</v>
      </c>
      <c r="C75" s="2" t="s">
        <v>802</v>
      </c>
      <c r="D75" s="2" t="s">
        <v>442</v>
      </c>
      <c r="E75" s="2" t="s">
        <v>257</v>
      </c>
      <c r="F75" s="2"/>
      <c r="G75" s="2">
        <v>73</v>
      </c>
      <c r="H75" s="2" t="s">
        <v>330</v>
      </c>
      <c r="I75" s="2" t="s">
        <v>151</v>
      </c>
      <c r="J75" s="5" t="str">
        <f t="shared" si="1"/>
        <v>insert into CHB_INFOMGR_RESULT_CONFIG (RESULT_ID,MGRTABLE_ID,COLUMN_ID,COLUMN_NAME,DICTCODE,ORDER_NO,SHOWFLAG,REAL_COLUMN_ID) values ('B1C7DF40-B6AA-F1CA-E050-007F010043F1','CHB_ASSET_INFO','PLEDGE_VALUE04','抵质押物价值（元）','','73','H','PLEDGE_VALUE');</v>
      </c>
    </row>
    <row r="76" spans="1:10" x14ac:dyDescent="0.15">
      <c r="A76" s="2">
        <v>74</v>
      </c>
      <c r="B76" s="2" t="s">
        <v>897</v>
      </c>
      <c r="C76" s="2" t="s">
        <v>802</v>
      </c>
      <c r="D76" s="2" t="s">
        <v>443</v>
      </c>
      <c r="E76" s="2" t="s">
        <v>258</v>
      </c>
      <c r="F76" s="2" t="s">
        <v>311</v>
      </c>
      <c r="G76" s="2">
        <v>74</v>
      </c>
      <c r="H76" s="2" t="s">
        <v>330</v>
      </c>
      <c r="I76" s="2" t="s">
        <v>152</v>
      </c>
      <c r="J76" s="5" t="str">
        <f t="shared" si="1"/>
        <v>insert into CHB_INFOMGR_RESULT_CONFIG (RESULT_ID,MGRTABLE_ID,COLUMN_ID,COLUMN_NAME,DICTCODE,ORDER_NO,SHOWFLAG,REAL_COLUMN_ID) values ('B1C7DF40-B6AB-F1CA-E050-007F010043F1','CHB_ASSET_INFO','NATURE_GUARANTEE04','担保性质','SVR_NATURE_GUARANTEE','74','H','NATURE_GUARANTEE');</v>
      </c>
    </row>
    <row r="77" spans="1:10" x14ac:dyDescent="0.15">
      <c r="A77" s="2">
        <v>75</v>
      </c>
      <c r="B77" s="2" t="s">
        <v>898</v>
      </c>
      <c r="C77" s="2" t="s">
        <v>802</v>
      </c>
      <c r="D77" s="2" t="s">
        <v>444</v>
      </c>
      <c r="E77" s="2" t="s">
        <v>259</v>
      </c>
      <c r="F77" s="2" t="s">
        <v>312</v>
      </c>
      <c r="G77" s="2">
        <v>75</v>
      </c>
      <c r="H77" s="2" t="s">
        <v>330</v>
      </c>
      <c r="I77" s="2" t="s">
        <v>153</v>
      </c>
      <c r="J77" s="5" t="str">
        <f t="shared" si="1"/>
        <v>insert into CHB_INFOMGR_RESULT_CONFIG (RESULT_ID,MGRTABLE_ID,COLUMN_ID,COLUMN_NAME,DICTCODE,ORDER_NO,SHOWFLAG,REAL_COLUMN_ID) values ('B1C7DF40-B6AC-F1CA-E050-007F010043F1','CHB_ASSET_INFO','RELATION_FINAN04','担保人与融资人关系','SVR_RELATION_FINAN','75','H','RELATION_FINAN');</v>
      </c>
    </row>
    <row r="78" spans="1:10" x14ac:dyDescent="0.15">
      <c r="A78" s="2">
        <v>76</v>
      </c>
      <c r="B78" s="2" t="s">
        <v>899</v>
      </c>
      <c r="C78" s="2" t="s">
        <v>802</v>
      </c>
      <c r="D78" s="2" t="s">
        <v>440</v>
      </c>
      <c r="E78" s="2" t="s">
        <v>275</v>
      </c>
      <c r="F78" s="2"/>
      <c r="G78" s="2">
        <v>76</v>
      </c>
      <c r="H78" s="2" t="s">
        <v>330</v>
      </c>
      <c r="I78" s="2" t="s">
        <v>149</v>
      </c>
      <c r="J78" s="5" t="str">
        <f t="shared" si="1"/>
        <v>insert into CHB_INFOMGR_RESULT_CONFIG (RESULT_ID,MGRTABLE_ID,COLUMN_ID,COLUMN_NAME,DICTCODE,ORDER_NO,SHOWFLAG,REAL_COLUMN_ID) values ('B1C7DF40-B6AD-F1CA-E050-007F010043F1','CHB_ASSET_INFO','GUA_TYPE_REMARK04','担保情况说明','','76','H','GUA_TYPE_REMARK');</v>
      </c>
    </row>
    <row r="79" spans="1:10" x14ac:dyDescent="0.15">
      <c r="A79" s="2">
        <v>77</v>
      </c>
      <c r="B79" s="2" t="s">
        <v>900</v>
      </c>
      <c r="C79" s="2" t="s">
        <v>802</v>
      </c>
      <c r="D79" s="2" t="s">
        <v>445</v>
      </c>
      <c r="E79" s="2" t="s">
        <v>446</v>
      </c>
      <c r="F79" s="2" t="s">
        <v>292</v>
      </c>
      <c r="G79" s="2">
        <v>77</v>
      </c>
      <c r="H79" s="2" t="s">
        <v>330</v>
      </c>
      <c r="I79" s="2" t="s">
        <v>154</v>
      </c>
      <c r="J79" s="5" t="str">
        <f t="shared" si="1"/>
        <v>insert into CHB_INFOMGR_RESULT_CONFIG (RESULT_ID,MGRTABLE_ID,COLUMN_ID,COLUMN_NAME,DICTCODE,ORDER_NO,SHOWFLAG,REAL_COLUMN_ID) values ('B1C7DF40-B6AE-F1CA-E050-007F010043F1','CHB_ASSET_INFO','FINANCIER_GRADE04','*融资人主体评级','SVR_MAIN_GRADE','77','H','FINANCIER_GRADE');</v>
      </c>
    </row>
    <row r="80" spans="1:10" x14ac:dyDescent="0.15">
      <c r="A80" s="2">
        <v>78</v>
      </c>
      <c r="B80" s="2" t="s">
        <v>901</v>
      </c>
      <c r="C80" s="2" t="s">
        <v>802</v>
      </c>
      <c r="D80" s="2" t="s">
        <v>447</v>
      </c>
      <c r="E80" s="2" t="s">
        <v>448</v>
      </c>
      <c r="F80" s="2"/>
      <c r="G80" s="2">
        <v>78</v>
      </c>
      <c r="H80" s="2" t="s">
        <v>330</v>
      </c>
      <c r="I80" s="2" t="s">
        <v>155</v>
      </c>
      <c r="J80" s="5" t="str">
        <f t="shared" si="1"/>
        <v>insert into CHB_INFOMGR_RESULT_CONFIG (RESULT_ID,MGRTABLE_ID,COLUMN_ID,COLUMN_NAME,DICTCODE,ORDER_NO,SHOWFLAG,REAL_COLUMN_ID) values ('B1C7DF40-B6AF-F1CA-E050-007F010043F1','CHB_ASSET_INFO','IN_GRADE04','*资产内部评级','','78','H','IN_GRADE');</v>
      </c>
    </row>
    <row r="81" spans="1:10" x14ac:dyDescent="0.15">
      <c r="A81" s="2">
        <v>79</v>
      </c>
      <c r="B81" s="2" t="s">
        <v>902</v>
      </c>
      <c r="C81" s="2" t="s">
        <v>802</v>
      </c>
      <c r="D81" s="2" t="s">
        <v>449</v>
      </c>
      <c r="E81" s="2" t="s">
        <v>450</v>
      </c>
      <c r="F81" s="2" t="s">
        <v>292</v>
      </c>
      <c r="G81" s="2">
        <v>79</v>
      </c>
      <c r="H81" s="2" t="s">
        <v>330</v>
      </c>
      <c r="I81" s="2" t="s">
        <v>156</v>
      </c>
      <c r="J81" s="5" t="str">
        <f t="shared" si="1"/>
        <v>insert into CHB_INFOMGR_RESULT_CONFIG (RESULT_ID,MGRTABLE_ID,COLUMN_ID,COLUMN_NAME,DICTCODE,ORDER_NO,SHOWFLAG,REAL_COLUMN_ID) values ('B1C7DF40-B6B0-F1CA-E050-007F010043F1','CHB_ASSET_INFO','OUT_GRADE04','*资产外部评级','SVR_MAIN_GRADE','79','H','OUT_GRADE');</v>
      </c>
    </row>
    <row r="82" spans="1:10" x14ac:dyDescent="0.15">
      <c r="A82" s="2">
        <v>80</v>
      </c>
      <c r="B82" s="2" t="s">
        <v>903</v>
      </c>
      <c r="C82" s="2" t="s">
        <v>802</v>
      </c>
      <c r="D82" s="2" t="s">
        <v>451</v>
      </c>
      <c r="E82" s="2" t="s">
        <v>260</v>
      </c>
      <c r="F82" s="2" t="s">
        <v>313</v>
      </c>
      <c r="G82" s="2">
        <v>80</v>
      </c>
      <c r="H82" s="2" t="s">
        <v>330</v>
      </c>
      <c r="I82" s="2" t="s">
        <v>157</v>
      </c>
      <c r="J82" s="5" t="str">
        <f t="shared" si="1"/>
        <v>insert into CHB_INFOMGR_RESULT_CONFIG (RESULT_ID,MGRTABLE_ID,COLUMN_ID,COLUMN_NAME,DICTCODE,ORDER_NO,SHOWFLAG,REAL_COLUMN_ID) values ('B1C7DF40-B6B1-F1CA-E050-007F010043F1','CHB_ASSET_INFO','CONTAIN_TYPE04','含权类型','SVR_CONTAIN_TYPE','80','H','CONTAIN_TYPE');</v>
      </c>
    </row>
    <row r="83" spans="1:10" x14ac:dyDescent="0.15">
      <c r="A83" s="2">
        <v>81</v>
      </c>
      <c r="B83" s="2" t="s">
        <v>904</v>
      </c>
      <c r="C83" s="2" t="s">
        <v>802</v>
      </c>
      <c r="D83" s="2" t="s">
        <v>452</v>
      </c>
      <c r="E83" s="2" t="s">
        <v>261</v>
      </c>
      <c r="F83" s="2" t="s">
        <v>314</v>
      </c>
      <c r="G83" s="2">
        <v>81</v>
      </c>
      <c r="H83" s="2" t="s">
        <v>330</v>
      </c>
      <c r="I83" s="2" t="s">
        <v>158</v>
      </c>
      <c r="J83" s="5" t="str">
        <f t="shared" si="1"/>
        <v>insert into CHB_INFOMGR_RESULT_CONFIG (RESULT_ID,MGRTABLE_ID,COLUMN_ID,COLUMN_NAME,DICTCODE,ORDER_NO,SHOWFLAG,REAL_COLUMN_ID) values ('B1C7DF40-B6B2-F1CA-E050-007F010043F1','CHB_ASSET_INFO','EXERCISE_TYPE04','行权方式','SVR_EXERCISE_TYPE','81','H','EXERCISE_TYPE');</v>
      </c>
    </row>
    <row r="84" spans="1:10" x14ac:dyDescent="0.15">
      <c r="A84" s="2">
        <v>82</v>
      </c>
      <c r="B84" s="2" t="s">
        <v>905</v>
      </c>
      <c r="C84" s="2" t="s">
        <v>802</v>
      </c>
      <c r="D84" s="2" t="s">
        <v>453</v>
      </c>
      <c r="E84" s="2" t="s">
        <v>262</v>
      </c>
      <c r="F84" s="2"/>
      <c r="G84" s="2">
        <v>82</v>
      </c>
      <c r="H84" s="2" t="s">
        <v>330</v>
      </c>
      <c r="I84" s="2" t="s">
        <v>159</v>
      </c>
      <c r="J84" s="5" t="str">
        <f t="shared" si="1"/>
        <v>insert into CHB_INFOMGR_RESULT_CONFIG (RESULT_ID,MGRTABLE_ID,COLUMN_ID,COLUMN_NAME,DICTCODE,ORDER_NO,SHOWFLAG,REAL_COLUMN_ID) values ('B1C7DF40-B6B3-F1CA-E050-007F010043F1','CHB_ASSET_INFO','EXERCISE_DATE04','固定行权日','','82','H','EXERCISE_DATE');</v>
      </c>
    </row>
    <row r="85" spans="1:10" x14ac:dyDescent="0.15">
      <c r="A85" s="2">
        <v>83</v>
      </c>
      <c r="B85" s="2" t="s">
        <v>906</v>
      </c>
      <c r="C85" s="2" t="s">
        <v>802</v>
      </c>
      <c r="D85" s="2" t="s">
        <v>454</v>
      </c>
      <c r="E85" s="2" t="s">
        <v>263</v>
      </c>
      <c r="F85" s="2"/>
      <c r="G85" s="2">
        <v>83</v>
      </c>
      <c r="H85" s="2" t="s">
        <v>330</v>
      </c>
      <c r="I85" s="2" t="s">
        <v>160</v>
      </c>
      <c r="J85" s="5" t="str">
        <f t="shared" si="1"/>
        <v>insert into CHB_INFOMGR_RESULT_CONFIG (RESULT_ID,MGRTABLE_ID,COLUMN_ID,COLUMN_NAME,DICTCODE,ORDER_NO,SHOWFLAG,REAL_COLUMN_ID) values ('B1C7DF40-B6B4-F1CA-E050-007F010043F1','CHB_ASSET_INFO','FIRST_EXERCISE_DATE04','首次行权日期','','83','H','FIRST_EXERCISE_DATE');</v>
      </c>
    </row>
    <row r="86" spans="1:10" x14ac:dyDescent="0.15">
      <c r="A86" s="2">
        <v>84</v>
      </c>
      <c r="B86" s="2" t="s">
        <v>907</v>
      </c>
      <c r="C86" s="2" t="s">
        <v>802</v>
      </c>
      <c r="D86" s="2" t="s">
        <v>455</v>
      </c>
      <c r="E86" s="2" t="s">
        <v>264</v>
      </c>
      <c r="F86" s="2"/>
      <c r="G86" s="2">
        <v>84</v>
      </c>
      <c r="H86" s="2" t="s">
        <v>330</v>
      </c>
      <c r="I86" s="2" t="s">
        <v>161</v>
      </c>
      <c r="J86" s="5" t="str">
        <f t="shared" si="1"/>
        <v>insert into CHB_INFOMGR_RESULT_CONFIG (RESULT_ID,MGRTABLE_ID,COLUMN_ID,COLUMN_NAME,DICTCODE,ORDER_NO,SHOWFLAG,REAL_COLUMN_ID) values ('B1C7DF40-B6B5-F1CA-E050-007F010043F1','CHB_ASSET_INFO','EXERCISE_PERIOD04','行权周期','','84','H','EXERCISE_PERIOD');</v>
      </c>
    </row>
    <row r="87" spans="1:10" x14ac:dyDescent="0.15">
      <c r="A87" s="2">
        <v>85</v>
      </c>
      <c r="B87" s="2" t="s">
        <v>908</v>
      </c>
      <c r="C87" s="2" t="s">
        <v>802</v>
      </c>
      <c r="D87" s="2" t="s">
        <v>456</v>
      </c>
      <c r="E87" s="2" t="s">
        <v>265</v>
      </c>
      <c r="F87" s="2"/>
      <c r="G87" s="2">
        <v>85</v>
      </c>
      <c r="H87" s="2" t="s">
        <v>330</v>
      </c>
      <c r="I87" s="2" t="s">
        <v>162</v>
      </c>
      <c r="J87" s="5" t="str">
        <f t="shared" si="1"/>
        <v>insert into CHB_INFOMGR_RESULT_CONFIG (RESULT_ID,MGRTABLE_ID,COLUMN_ID,COLUMN_NAME,DICTCODE,ORDER_NO,SHOWFLAG,REAL_COLUMN_ID) values ('B1C7DF40-B6B6-F1CA-E050-007F010043F1','CHB_ASSET_INFO','EXERCISE_PRICE04','行权价格','','85','H','EXERCISE_PRICE');</v>
      </c>
    </row>
    <row r="88" spans="1:10" x14ac:dyDescent="0.15">
      <c r="A88" s="2">
        <v>86</v>
      </c>
      <c r="B88" s="2" t="s">
        <v>909</v>
      </c>
      <c r="C88" s="2" t="s">
        <v>802</v>
      </c>
      <c r="D88" s="2" t="s">
        <v>457</v>
      </c>
      <c r="E88" s="2" t="s">
        <v>266</v>
      </c>
      <c r="F88" s="2" t="s">
        <v>315</v>
      </c>
      <c r="G88" s="2">
        <v>86</v>
      </c>
      <c r="H88" s="2" t="s">
        <v>330</v>
      </c>
      <c r="I88" s="2" t="s">
        <v>163</v>
      </c>
      <c r="J88" s="5" t="str">
        <f t="shared" si="1"/>
        <v>insert into CHB_INFOMGR_RESULT_CONFIG (RESULT_ID,MGRTABLE_ID,COLUMN_ID,COLUMN_NAME,DICTCODE,ORDER_NO,SHOWFLAG,REAL_COLUMN_ID) values ('B1C7DF40-B6B7-F1CA-E050-007F010043F1','CHB_ASSET_INFO','PERPETUAL_CLAUSE_TYPE04','永续条款类型','SVR_PERPETUAL_CLAUSE_TYPE','86','H','PERPETUAL_CLAUSE_TYPE');</v>
      </c>
    </row>
    <row r="89" spans="1:10" x14ac:dyDescent="0.15">
      <c r="A89" s="2">
        <v>87</v>
      </c>
      <c r="B89" s="2" t="s">
        <v>910</v>
      </c>
      <c r="C89" s="2" t="s">
        <v>802</v>
      </c>
      <c r="D89" s="2" t="s">
        <v>458</v>
      </c>
      <c r="E89" s="2" t="s">
        <v>267</v>
      </c>
      <c r="F89" s="2" t="s">
        <v>316</v>
      </c>
      <c r="G89" s="2">
        <v>87</v>
      </c>
      <c r="H89" s="2" t="s">
        <v>330</v>
      </c>
      <c r="I89" s="2" t="s">
        <v>164</v>
      </c>
      <c r="J89" s="5" t="str">
        <f t="shared" si="1"/>
        <v>insert into CHB_INFOMGR_RESULT_CONFIG (RESULT_ID,MGRTABLE_ID,COLUMN_ID,COLUMN_NAME,DICTCODE,ORDER_NO,SHOWFLAG,REAL_COLUMN_ID) values ('B1C7DF40-B6B8-F1CA-E050-007F010043F1','CHB_ASSET_INFO','DEFERRED_INTEREST_TYPE04','利息递延条款类型','SVR_DEFERRED_INTEREST_TYPE','87','H','DEFERRED_INTEREST_TYPE');</v>
      </c>
    </row>
    <row r="90" spans="1:10" x14ac:dyDescent="0.15">
      <c r="A90" s="2">
        <v>88</v>
      </c>
      <c r="B90" s="2" t="s">
        <v>911</v>
      </c>
      <c r="C90" s="2" t="s">
        <v>802</v>
      </c>
      <c r="D90" s="2" t="s">
        <v>459</v>
      </c>
      <c r="E90" s="2" t="s">
        <v>268</v>
      </c>
      <c r="F90" s="2" t="s">
        <v>301</v>
      </c>
      <c r="G90" s="2">
        <v>88</v>
      </c>
      <c r="H90" s="2" t="s">
        <v>330</v>
      </c>
      <c r="I90" s="2" t="s">
        <v>165</v>
      </c>
      <c r="J90" s="5" t="str">
        <f t="shared" si="1"/>
        <v>insert into CHB_INFOMGR_RESULT_CONFIG (RESULT_ID,MGRTABLE_ID,COLUMN_ID,COLUMN_NAME,DICTCODE,ORDER_NO,SHOWFLAG,REAL_COLUMN_ID) values ('B1C7DF40-B6B9-F1CA-E050-007F010043F1','CHB_ASSET_INFO','DEFERRED_INTEREST_INT04','递延利息是否计息','SVR_YES_OR_NO','88','H','DEFERRED_INTEREST_INT');</v>
      </c>
    </row>
    <row r="91" spans="1:10" x14ac:dyDescent="0.15">
      <c r="A91" s="2">
        <v>89</v>
      </c>
      <c r="B91" s="2" t="s">
        <v>912</v>
      </c>
      <c r="C91" s="2" t="s">
        <v>802</v>
      </c>
      <c r="D91" s="2" t="s">
        <v>460</v>
      </c>
      <c r="E91" s="2" t="s">
        <v>269</v>
      </c>
      <c r="F91" s="2"/>
      <c r="G91" s="2">
        <v>89</v>
      </c>
      <c r="H91" s="2" t="s">
        <v>330</v>
      </c>
      <c r="I91" s="2" t="s">
        <v>166</v>
      </c>
      <c r="J91" s="5" t="str">
        <f t="shared" si="1"/>
        <v>insert into CHB_INFOMGR_RESULT_CONFIG (RESULT_ID,MGRTABLE_ID,COLUMN_ID,COLUMN_NAME,DICTCODE,ORDER_NO,SHOWFLAG,REAL_COLUMN_ID) values ('B1C7DF40-B6BA-F1CA-E050-007F010043F1','CHB_ASSET_INFO','FIRST_REPRCE_DATE04','首次重定价日期','','89','H','FIRST_REPRCE_DATE');</v>
      </c>
    </row>
    <row r="92" spans="1:10" x14ac:dyDescent="0.15">
      <c r="A92" s="2">
        <v>90</v>
      </c>
      <c r="B92" s="2" t="s">
        <v>913</v>
      </c>
      <c r="C92" s="2" t="s">
        <v>802</v>
      </c>
      <c r="D92" s="2" t="s">
        <v>461</v>
      </c>
      <c r="E92" s="2" t="s">
        <v>270</v>
      </c>
      <c r="F92" s="2"/>
      <c r="G92" s="2">
        <v>90</v>
      </c>
      <c r="H92" s="2" t="s">
        <v>330</v>
      </c>
      <c r="I92" s="2" t="s">
        <v>167</v>
      </c>
      <c r="J92" s="5" t="str">
        <f t="shared" si="1"/>
        <v>insert into CHB_INFOMGR_RESULT_CONFIG (RESULT_ID,MGRTABLE_ID,COLUMN_ID,COLUMN_NAME,DICTCODE,ORDER_NO,SHOWFLAG,REAL_COLUMN_ID) values ('B1C7DF40-B6BB-F1CA-E050-007F010043F1','CHB_ASSET_INFO','REPRCE_CYCLE04','重定价周期','','90','H','REPRCE_CYCLE');</v>
      </c>
    </row>
    <row r="93" spans="1:10" x14ac:dyDescent="0.15">
      <c r="A93" s="2">
        <v>91</v>
      </c>
      <c r="B93" s="2" t="s">
        <v>914</v>
      </c>
      <c r="C93" s="2" t="s">
        <v>802</v>
      </c>
      <c r="D93" s="2" t="s">
        <v>462</v>
      </c>
      <c r="E93" s="2" t="s">
        <v>271</v>
      </c>
      <c r="F93" s="2" t="s">
        <v>301</v>
      </c>
      <c r="G93" s="2">
        <v>91</v>
      </c>
      <c r="H93" s="2" t="s">
        <v>330</v>
      </c>
      <c r="I93" s="2" t="s">
        <v>168</v>
      </c>
      <c r="J93" s="5" t="str">
        <f t="shared" si="1"/>
        <v>insert into CHB_INFOMGR_RESULT_CONFIG (RESULT_ID,MGRTABLE_ID,COLUMN_ID,COLUMN_NAME,DICTCODE,ORDER_NO,SHOWFLAG,REAL_COLUMN_ID) values ('B1C7DF40-B6BC-F1CA-E050-007F010043F1','CHB_ASSET_INFO','PART_REDEM_FLAG04','部分赎回标识','SVR_YES_OR_NO','91','H','PART_REDEM_FLAG');</v>
      </c>
    </row>
    <row r="94" spans="1:10" x14ac:dyDescent="0.15">
      <c r="A94" s="2">
        <v>92</v>
      </c>
      <c r="B94" s="2" t="s">
        <v>915</v>
      </c>
      <c r="C94" s="2" t="s">
        <v>802</v>
      </c>
      <c r="D94" s="2" t="s">
        <v>463</v>
      </c>
      <c r="E94" s="2" t="s">
        <v>916</v>
      </c>
      <c r="F94" s="2"/>
      <c r="G94" s="2">
        <v>92</v>
      </c>
      <c r="H94" s="2" t="s">
        <v>330</v>
      </c>
      <c r="I94" s="2" t="s">
        <v>169</v>
      </c>
      <c r="J94" s="5" t="str">
        <f t="shared" si="1"/>
        <v>insert into CHB_INFOMGR_RESULT_CONFIG (RESULT_ID,MGRTABLE_ID,COLUMN_ID,COLUMN_NAME,DICTCODE,ORDER_NO,SHOWFLAG,REAL_COLUMN_ID) values ('B1C7DF40-B6BD-F1CA-E050-007F010043F1','CHB_ASSET_INFO','PART_REDEM_RATE04','部分赎回比例（%）','','92','H','PART_REDEM_RATE');</v>
      </c>
    </row>
    <row r="95" spans="1:10" x14ac:dyDescent="0.15">
      <c r="A95" s="2">
        <v>93</v>
      </c>
      <c r="B95" s="2" t="s">
        <v>917</v>
      </c>
      <c r="C95" s="2" t="s">
        <v>802</v>
      </c>
      <c r="D95" s="2" t="s">
        <v>464</v>
      </c>
      <c r="E95" s="2" t="s">
        <v>465</v>
      </c>
      <c r="F95" s="2"/>
      <c r="G95" s="2">
        <v>93</v>
      </c>
      <c r="H95" s="2" t="s">
        <v>330</v>
      </c>
      <c r="I95" s="2" t="s">
        <v>170</v>
      </c>
      <c r="J95" s="5" t="str">
        <f t="shared" si="1"/>
        <v>insert into CHB_INFOMGR_RESULT_CONFIG (RESULT_ID,MGRTABLE_ID,COLUMN_ID,COLUMN_NAME,DICTCODE,ORDER_NO,SHOWFLAG,REAL_COLUMN_ID) values ('B1C7DF40-B6BE-F1CA-E050-007F010043F1','CHB_ASSET_INFO','CHOSE04','*选择权','','93','H','CHOSE');</v>
      </c>
    </row>
    <row r="96" spans="1:10" x14ac:dyDescent="0.15">
      <c r="A96" s="2">
        <v>94</v>
      </c>
      <c r="B96" s="2" t="s">
        <v>918</v>
      </c>
      <c r="C96" s="2" t="s">
        <v>802</v>
      </c>
      <c r="D96" s="2" t="s">
        <v>466</v>
      </c>
      <c r="E96" s="2" t="s">
        <v>467</v>
      </c>
      <c r="F96" s="2"/>
      <c r="G96" s="2">
        <v>94</v>
      </c>
      <c r="H96" s="2" t="s">
        <v>330</v>
      </c>
      <c r="I96" s="2" t="s">
        <v>171</v>
      </c>
      <c r="J96" s="5" t="str">
        <f t="shared" si="1"/>
        <v>insert into CHB_INFOMGR_RESULT_CONFIG (RESULT_ID,MGRTABLE_ID,COLUMN_ID,COLUMN_NAME,DICTCODE,ORDER_NO,SHOWFLAG,REAL_COLUMN_ID) values ('B1C7DF40-B6BF-F1CA-E050-007F010043F1','CHB_ASSET_INFO','CONDITION_CMM04','*行权条件说明','','94','H','CONDITION_CMM');</v>
      </c>
    </row>
    <row r="97" spans="1:10" x14ac:dyDescent="0.15">
      <c r="A97" s="2">
        <v>95</v>
      </c>
      <c r="B97" s="2" t="s">
        <v>919</v>
      </c>
      <c r="C97" s="2" t="s">
        <v>802</v>
      </c>
      <c r="D97" s="2" t="s">
        <v>468</v>
      </c>
      <c r="E97" s="2" t="s">
        <v>469</v>
      </c>
      <c r="F97" s="2" t="s">
        <v>317</v>
      </c>
      <c r="G97" s="2">
        <v>95</v>
      </c>
      <c r="H97" s="2" t="s">
        <v>330</v>
      </c>
      <c r="I97" s="2" t="s">
        <v>172</v>
      </c>
      <c r="J97" s="5" t="str">
        <f t="shared" si="1"/>
        <v>insert into CHB_INFOMGR_RESULT_CONFIG (RESULT_ID,MGRTABLE_ID,COLUMN_ID,COLUMN_NAME,DICTCODE,ORDER_NO,SHOWFLAG,REAL_COLUMN_ID) values ('B1C7DF40-B6C0-F1CA-E050-007F010043F1','CHB_ASSET_INFO','FIN_AREA04','*融资人所属地区','ADMINISTRATIVE_TYPE2','95','H','FIN_AREA');</v>
      </c>
    </row>
    <row r="98" spans="1:10" x14ac:dyDescent="0.15">
      <c r="A98" s="2">
        <v>96</v>
      </c>
      <c r="B98" s="2" t="s">
        <v>920</v>
      </c>
      <c r="C98" s="2" t="s">
        <v>802</v>
      </c>
      <c r="D98" s="2" t="s">
        <v>470</v>
      </c>
      <c r="E98" s="2" t="s">
        <v>471</v>
      </c>
      <c r="F98" s="2"/>
      <c r="G98" s="2">
        <v>96</v>
      </c>
      <c r="H98" s="2" t="s">
        <v>330</v>
      </c>
      <c r="I98" s="2" t="s">
        <v>176</v>
      </c>
      <c r="J98" s="5" t="str">
        <f t="shared" si="1"/>
        <v>insert into CHB_INFOMGR_RESULT_CONFIG (RESULT_ID,MGRTABLE_ID,COLUMN_ID,COLUMN_NAME,DICTCODE,ORDER_NO,SHOWFLAG,REAL_COLUMN_ID) values ('B1C7DF40-B6C1-F1CA-E050-007F010043F1','CHB_ASSET_INFO','FIN_ORG_CODE04','*融资人组织机构（社会信用）代码','','96','H','FIN_ORG_CODE');</v>
      </c>
    </row>
    <row r="99" spans="1:10" x14ac:dyDescent="0.15">
      <c r="A99" s="2">
        <v>97</v>
      </c>
      <c r="B99" s="2" t="s">
        <v>921</v>
      </c>
      <c r="C99" s="2" t="s">
        <v>802</v>
      </c>
      <c r="D99" s="2" t="s">
        <v>472</v>
      </c>
      <c r="E99" s="2" t="s">
        <v>272</v>
      </c>
      <c r="F99" s="2"/>
      <c r="G99" s="2">
        <v>97</v>
      </c>
      <c r="H99" s="2" t="s">
        <v>330</v>
      </c>
      <c r="I99" s="2" t="s">
        <v>173</v>
      </c>
      <c r="J99" s="5" t="str">
        <f t="shared" si="1"/>
        <v>insert into CHB_INFOMGR_RESULT_CONFIG (RESULT_ID,MGRTABLE_ID,COLUMN_ID,COLUMN_NAME,DICTCODE,ORDER_NO,SHOWFLAG,REAL_COLUMN_ID) values ('B1C7DF40-B6C2-F1CA-E050-007F010043F1','CHB_ASSET_INFO','CREDIT_ORG_CODE04','增信机构代码','','97','H','CREDIT_ORG_CODE');</v>
      </c>
    </row>
    <row r="100" spans="1:10" x14ac:dyDescent="0.15">
      <c r="A100" s="2">
        <v>98</v>
      </c>
      <c r="B100" s="2" t="s">
        <v>922</v>
      </c>
      <c r="C100" s="2" t="s">
        <v>802</v>
      </c>
      <c r="D100" s="2" t="s">
        <v>473</v>
      </c>
      <c r="E100" s="2" t="s">
        <v>273</v>
      </c>
      <c r="F100" s="2"/>
      <c r="G100" s="2">
        <v>98</v>
      </c>
      <c r="H100" s="2" t="s">
        <v>330</v>
      </c>
      <c r="I100" s="2" t="s">
        <v>174</v>
      </c>
      <c r="J100" s="5" t="str">
        <f t="shared" si="1"/>
        <v>insert into CHB_INFOMGR_RESULT_CONFIG (RESULT_ID,MGRTABLE_ID,COLUMN_ID,COLUMN_NAME,DICTCODE,ORDER_NO,SHOWFLAG,REAL_COLUMN_ID) values ('B1C7DF40-B6C3-F1CA-E050-007F010043F1','CHB_ASSET_INFO','CREDIT_ORG_NAME04','增信机构名称','','98','H','CREDIT_ORG_NAME');</v>
      </c>
    </row>
    <row r="101" spans="1:10" x14ac:dyDescent="0.15">
      <c r="A101" s="2">
        <v>99</v>
      </c>
      <c r="B101" s="2" t="s">
        <v>923</v>
      </c>
      <c r="C101" s="2" t="s">
        <v>802</v>
      </c>
      <c r="D101" s="2" t="s">
        <v>474</v>
      </c>
      <c r="E101" s="2" t="s">
        <v>475</v>
      </c>
      <c r="F101" s="2"/>
      <c r="G101" s="2">
        <v>99</v>
      </c>
      <c r="H101" s="2" t="s">
        <v>330</v>
      </c>
      <c r="I101" s="2" t="s">
        <v>175</v>
      </c>
      <c r="J101" s="5" t="str">
        <f t="shared" si="1"/>
        <v>insert into CHB_INFOMGR_RESULT_CONFIG (RESULT_ID,MGRTABLE_ID,COLUMN_ID,COLUMN_NAME,DICTCODE,ORDER_NO,SHOWFLAG,REAL_COLUMN_ID) values ('B1C7DF40-B6C4-F1CA-E050-007F010043F1','CHB_ASSET_INFO','TOTAL_FEE_RATE04','*融资总费率%','','99','H','TOTAL_FEE_RATE');</v>
      </c>
    </row>
    <row r="102" spans="1:10" x14ac:dyDescent="0.15">
      <c r="A102" s="2">
        <v>100</v>
      </c>
      <c r="B102" s="2" t="s">
        <v>924</v>
      </c>
      <c r="C102" s="2" t="s">
        <v>802</v>
      </c>
      <c r="D102" s="2" t="s">
        <v>476</v>
      </c>
      <c r="E102" s="2" t="s">
        <v>477</v>
      </c>
      <c r="F102" s="2" t="s">
        <v>296</v>
      </c>
      <c r="G102" s="2">
        <v>100</v>
      </c>
      <c r="H102" s="2" t="s">
        <v>330</v>
      </c>
      <c r="I102" s="2" t="s">
        <v>144</v>
      </c>
      <c r="J102" s="5" t="str">
        <f t="shared" si="1"/>
        <v>insert into CHB_INFOMGR_RESULT_CONFIG (RESULT_ID,MGRTABLE_ID,COLUMN_ID,COLUMN_NAME,DICTCODE,ORDER_NO,SHOWFLAG,REAL_COLUMN_ID) values ('B1C7DF40-B6C5-F1CA-E050-007F010043F1','CHB_ASSET_INFO','PRO_INDUSTRY_LEVEL204','*融资项目所属行业','INSTITUTION_INDUSTRY_SECOND_LEVEL','100','H','PRO_INDUSTRY_LEVEL2');</v>
      </c>
    </row>
    <row r="103" spans="1:10" x14ac:dyDescent="0.15">
      <c r="A103" s="2">
        <v>101</v>
      </c>
      <c r="B103" s="2" t="s">
        <v>925</v>
      </c>
      <c r="C103" s="2" t="s">
        <v>802</v>
      </c>
      <c r="D103" s="2" t="s">
        <v>478</v>
      </c>
      <c r="E103" s="2" t="s">
        <v>479</v>
      </c>
      <c r="F103" s="2" t="s">
        <v>301</v>
      </c>
      <c r="G103" s="2">
        <v>101</v>
      </c>
      <c r="H103" s="2" t="s">
        <v>330</v>
      </c>
      <c r="I103" s="2" t="s">
        <v>177</v>
      </c>
      <c r="J103" s="5" t="str">
        <f t="shared" si="1"/>
        <v>insert into CHB_INFOMGR_RESULT_CONFIG (RESULT_ID,MGRTABLE_ID,COLUMN_ID,COLUMN_NAME,DICTCODE,ORDER_NO,SHOWFLAG,REAL_COLUMN_ID) values ('B1C7DF40-B6C6-F1CA-E050-007F010043F1','CHB_ASSET_INFO','IS_RIGHT05','*是否为收/受益权','SVR_YES_OR_NO','101','H','IS_RIGHT');</v>
      </c>
    </row>
    <row r="104" spans="1:10" x14ac:dyDescent="0.15">
      <c r="A104" s="2">
        <v>102</v>
      </c>
      <c r="B104" s="2" t="s">
        <v>926</v>
      </c>
      <c r="C104" s="2" t="s">
        <v>802</v>
      </c>
      <c r="D104" s="2" t="s">
        <v>480</v>
      </c>
      <c r="E104" s="2" t="s">
        <v>386</v>
      </c>
      <c r="F104" s="2" t="s">
        <v>301</v>
      </c>
      <c r="G104" s="2">
        <v>102</v>
      </c>
      <c r="H104" s="2" t="s">
        <v>330</v>
      </c>
      <c r="I104" s="2" t="s">
        <v>119</v>
      </c>
      <c r="J104" s="5" t="str">
        <f t="shared" si="1"/>
        <v>insert into CHB_INFOMGR_RESULT_CONFIG (RESULT_ID,MGRTABLE_ID,COLUMN_ID,COLUMN_NAME,DICTCODE,ORDER_NO,SHOWFLAG,REAL_COLUMN_ID) values ('B1C7DF40-B6C7-F1CA-E050-007F010043F1','CHB_ASSET_INFO','IS_RESALE05','*是否属于买入返售','SVR_YES_OR_NO','102','H','IS_RESALE');</v>
      </c>
    </row>
    <row r="105" spans="1:10" x14ac:dyDescent="0.15">
      <c r="A105" s="2">
        <v>103</v>
      </c>
      <c r="B105" s="2" t="s">
        <v>927</v>
      </c>
      <c r="C105" s="2" t="s">
        <v>802</v>
      </c>
      <c r="D105" s="2" t="s">
        <v>481</v>
      </c>
      <c r="E105" s="2" t="s">
        <v>482</v>
      </c>
      <c r="F105" s="2" t="s">
        <v>318</v>
      </c>
      <c r="G105" s="2">
        <v>103</v>
      </c>
      <c r="H105" s="2" t="s">
        <v>330</v>
      </c>
      <c r="I105" s="2" t="s">
        <v>483</v>
      </c>
      <c r="J105" s="5" t="str">
        <f t="shared" si="1"/>
        <v>insert into CHB_INFOMGR_RESULT_CONFIG (RESULT_ID,MGRTABLE_ID,COLUMN_ID,COLUMN_NAME,DICTCODE,ORDER_NO,SHOWFLAG,REAL_COLUMN_ID) values ('B1C7DF40-B6C8-F1CA-E050-007F010043F1','CHB_ASSET_INFO','NOTSTAND_SEC_TYPE05','*类型','SVR_ASSET_TYPE_BILL_LETTERCREDIT','103','H','NOTSTAND_SEC_TYPE');</v>
      </c>
    </row>
    <row r="106" spans="1:10" x14ac:dyDescent="0.15">
      <c r="A106" s="2">
        <v>104</v>
      </c>
      <c r="B106" s="2" t="s">
        <v>928</v>
      </c>
      <c r="C106" s="2" t="s">
        <v>802</v>
      </c>
      <c r="D106" s="2" t="s">
        <v>484</v>
      </c>
      <c r="E106" s="2" t="s">
        <v>485</v>
      </c>
      <c r="F106" s="2"/>
      <c r="G106" s="2">
        <v>104</v>
      </c>
      <c r="H106" s="2" t="s">
        <v>330</v>
      </c>
      <c r="I106" s="2" t="s">
        <v>178</v>
      </c>
      <c r="J106" s="5" t="str">
        <f t="shared" si="1"/>
        <v>insert into CHB_INFOMGR_RESULT_CONFIG (RESULT_ID,MGRTABLE_ID,COLUMN_ID,COLUMN_NAME,DICTCODE,ORDER_NO,SHOWFLAG,REAL_COLUMN_ID) values ('B1C7DF40-B6C9-F1CA-E050-007F010043F1','CHB_ASSET_INFO','NOTSTAND_SEC_NUM05','*数量','','104','H','NOTSTAND_SEC_NUM');</v>
      </c>
    </row>
    <row r="107" spans="1:10" x14ac:dyDescent="0.15">
      <c r="A107" s="2">
        <v>105</v>
      </c>
      <c r="B107" s="2" t="s">
        <v>929</v>
      </c>
      <c r="C107" s="2" t="s">
        <v>802</v>
      </c>
      <c r="D107" s="2" t="s">
        <v>486</v>
      </c>
      <c r="E107" s="2" t="s">
        <v>487</v>
      </c>
      <c r="F107" s="2"/>
      <c r="G107" s="2">
        <v>105</v>
      </c>
      <c r="H107" s="2" t="s">
        <v>330</v>
      </c>
      <c r="I107" s="2" t="s">
        <v>97</v>
      </c>
      <c r="J107" s="5" t="str">
        <f t="shared" si="1"/>
        <v>insert into CHB_INFOMGR_RESULT_CONFIG (RESULT_ID,MGRTABLE_ID,COLUMN_ID,COLUMN_NAME,DICTCODE,ORDER_NO,SHOWFLAG,REAL_COLUMN_ID) values ('B1C7DF40-B6CA-F1CA-E050-007F010043F1','CHB_ASSET_INFO','AMT05','*合计金额','','105','H','AMT');</v>
      </c>
    </row>
    <row r="108" spans="1:10" x14ac:dyDescent="0.15">
      <c r="A108" s="2">
        <v>106</v>
      </c>
      <c r="B108" s="2" t="s">
        <v>930</v>
      </c>
      <c r="C108" s="2" t="s">
        <v>802</v>
      </c>
      <c r="D108" s="2" t="s">
        <v>488</v>
      </c>
      <c r="E108" s="2" t="s">
        <v>489</v>
      </c>
      <c r="F108" s="2"/>
      <c r="G108" s="2">
        <v>106</v>
      </c>
      <c r="H108" s="2" t="s">
        <v>330</v>
      </c>
      <c r="I108" s="2" t="s">
        <v>179</v>
      </c>
      <c r="J108" s="5" t="str">
        <f t="shared" si="1"/>
        <v>insert into CHB_INFOMGR_RESULT_CONFIG (RESULT_ID,MGRTABLE_ID,COLUMN_ID,COLUMN_NAME,DICTCODE,ORDER_NO,SHOWFLAG,REAL_COLUMN_ID) values ('B1C7DF40-B6CB-F1CA-E050-007F010043F1','CHB_ASSET_INFO','REMAIN_TERM05','*加权剩余期限（天）','','106','H','REMAIN_TERM');</v>
      </c>
    </row>
    <row r="109" spans="1:10" x14ac:dyDescent="0.15">
      <c r="A109" s="2">
        <v>107</v>
      </c>
      <c r="B109" s="2" t="s">
        <v>931</v>
      </c>
      <c r="C109" s="2" t="s">
        <v>802</v>
      </c>
      <c r="D109" s="2" t="s">
        <v>490</v>
      </c>
      <c r="E109" s="2" t="s">
        <v>491</v>
      </c>
      <c r="F109" s="2"/>
      <c r="G109" s="2">
        <v>107</v>
      </c>
      <c r="H109" s="2" t="s">
        <v>330</v>
      </c>
      <c r="I109" s="2" t="s">
        <v>180</v>
      </c>
      <c r="J109" s="5" t="str">
        <f t="shared" si="1"/>
        <v>insert into CHB_INFOMGR_RESULT_CONFIG (RESULT_ID,MGRTABLE_ID,COLUMN_ID,COLUMN_NAME,DICTCODE,ORDER_NO,SHOWFLAG,REAL_COLUMN_ID) values ('B1C7DF40-B6CC-F1CA-E050-007F010043F1','CHB_ASSET_INFO','MAX_REMAIN_TERM05','*最长剩余期限（天）','','107','H','MAX_REMAIN_TERM');</v>
      </c>
    </row>
    <row r="110" spans="1:10" x14ac:dyDescent="0.15">
      <c r="A110" s="2">
        <v>108</v>
      </c>
      <c r="B110" s="2" t="s">
        <v>932</v>
      </c>
      <c r="C110" s="2" t="s">
        <v>802</v>
      </c>
      <c r="D110" s="2" t="s">
        <v>492</v>
      </c>
      <c r="E110" s="2" t="s">
        <v>493</v>
      </c>
      <c r="F110" s="2"/>
      <c r="G110" s="2">
        <v>108</v>
      </c>
      <c r="H110" s="2" t="s">
        <v>330</v>
      </c>
      <c r="I110" s="2" t="s">
        <v>181</v>
      </c>
      <c r="J110" s="5" t="str">
        <f t="shared" si="1"/>
        <v>insert into CHB_INFOMGR_RESULT_CONFIG (RESULT_ID,MGRTABLE_ID,COLUMN_ID,COLUMN_NAME,DICTCODE,ORDER_NO,SHOWFLAG,REAL_COLUMN_ID) values ('B1C7DF40-B6CD-F1CA-E050-007F010043F1','CHB_ASSET_INFO','MIN_REMAIN_TERM05','*最短剩余期限（天）','','108','H','MIN_REMAIN_TERM');</v>
      </c>
    </row>
    <row r="111" spans="1:10" x14ac:dyDescent="0.15">
      <c r="A111" s="2">
        <v>109</v>
      </c>
      <c r="B111" s="2" t="s">
        <v>933</v>
      </c>
      <c r="C111" s="2" t="s">
        <v>802</v>
      </c>
      <c r="D111" s="2" t="s">
        <v>494</v>
      </c>
      <c r="E111" s="2" t="s">
        <v>341</v>
      </c>
      <c r="F111" s="2"/>
      <c r="G111" s="2">
        <v>109</v>
      </c>
      <c r="H111" s="2" t="s">
        <v>330</v>
      </c>
      <c r="I111" s="2" t="s">
        <v>89</v>
      </c>
      <c r="J111" s="5" t="str">
        <f t="shared" si="1"/>
        <v>insert into CHB_INFOMGR_RESULT_CONFIG (RESULT_ID,MGRTABLE_ID,COLUMN_ID,COLUMN_NAME,DICTCODE,ORDER_NO,SHOWFLAG,REAL_COLUMN_ID) values ('B1C7DF40-B6CE-F1CA-E050-007F010043F1','CHB_ASSET_INFO','VDATE05','*起息日','','109','H','VDATE');</v>
      </c>
    </row>
    <row r="112" spans="1:10" x14ac:dyDescent="0.15">
      <c r="A112" s="2">
        <v>110</v>
      </c>
      <c r="B112" s="2" t="s">
        <v>934</v>
      </c>
      <c r="C112" s="2" t="s">
        <v>802</v>
      </c>
      <c r="D112" s="2" t="s">
        <v>495</v>
      </c>
      <c r="E112" s="2" t="s">
        <v>343</v>
      </c>
      <c r="F112" s="2"/>
      <c r="G112" s="2">
        <v>110</v>
      </c>
      <c r="H112" s="2" t="s">
        <v>330</v>
      </c>
      <c r="I112" s="2" t="s">
        <v>90</v>
      </c>
      <c r="J112" s="5" t="str">
        <f t="shared" si="1"/>
        <v>insert into CHB_INFOMGR_RESULT_CONFIG (RESULT_ID,MGRTABLE_ID,COLUMN_ID,COLUMN_NAME,DICTCODE,ORDER_NO,SHOWFLAG,REAL_COLUMN_ID) values ('B1C7DF40-B6CF-F1CA-E050-007F010043F1','CHB_ASSET_INFO','MDATE05','*到期日','','110','H','MDATE');</v>
      </c>
    </row>
    <row r="113" spans="1:10" x14ac:dyDescent="0.15">
      <c r="A113" s="2">
        <v>111</v>
      </c>
      <c r="B113" s="2" t="s">
        <v>935</v>
      </c>
      <c r="C113" s="2" t="s">
        <v>802</v>
      </c>
      <c r="D113" s="2" t="s">
        <v>496</v>
      </c>
      <c r="E113" s="2" t="s">
        <v>497</v>
      </c>
      <c r="F113" s="2" t="s">
        <v>296</v>
      </c>
      <c r="G113" s="2">
        <v>111</v>
      </c>
      <c r="H113" s="2" t="s">
        <v>330</v>
      </c>
      <c r="I113" s="2" t="s">
        <v>182</v>
      </c>
      <c r="J113" s="5" t="str">
        <f t="shared" si="1"/>
        <v>insert into CHB_INFOMGR_RESULT_CONFIG (RESULT_ID,MGRTABLE_ID,COLUMN_ID,COLUMN_NAME,DICTCODE,ORDER_NO,SHOWFLAG,REAL_COLUMN_ID) values ('B1C7DF40-B6D0-F1CA-E050-007F010043F1','CHB_ASSET_INFO','INDUSTRY_SHARES205','*行业','INSTITUTION_INDUSTRY_SECOND_LEVEL','111','H','INDUSTRY_SHARES2');</v>
      </c>
    </row>
    <row r="114" spans="1:10" x14ac:dyDescent="0.15">
      <c r="A114" s="2">
        <v>112</v>
      </c>
      <c r="B114" s="2" t="s">
        <v>936</v>
      </c>
      <c r="C114" s="2" t="s">
        <v>802</v>
      </c>
      <c r="D114" s="2" t="s">
        <v>498</v>
      </c>
      <c r="E114" s="2" t="s">
        <v>499</v>
      </c>
      <c r="F114" s="2"/>
      <c r="G114" s="2">
        <v>112</v>
      </c>
      <c r="H114" s="2" t="s">
        <v>330</v>
      </c>
      <c r="I114" s="2" t="s">
        <v>98</v>
      </c>
      <c r="J114" s="5" t="str">
        <f t="shared" si="1"/>
        <v>insert into CHB_INFOMGR_RESULT_CONFIG (RESULT_ID,MGRTABLE_ID,COLUMN_ID,COLUMN_NAME,DICTCODE,ORDER_NO,SHOWFLAG,REAL_COLUMN_ID) values ('B1C7DF40-B6D1-F1CA-E050-007F010043F1','CHB_ASSET_INFO','ASSET_YIELD05','*贴现利率（%）','','112','H','ASSET_YIELD');</v>
      </c>
    </row>
    <row r="115" spans="1:10" x14ac:dyDescent="0.15">
      <c r="A115" s="2">
        <v>113</v>
      </c>
      <c r="B115" s="2" t="s">
        <v>937</v>
      </c>
      <c r="C115" s="2" t="s">
        <v>802</v>
      </c>
      <c r="D115" s="2" t="s">
        <v>500</v>
      </c>
      <c r="E115" s="2" t="s">
        <v>501</v>
      </c>
      <c r="F115" s="2"/>
      <c r="G115" s="2">
        <v>113</v>
      </c>
      <c r="H115" s="2" t="s">
        <v>330</v>
      </c>
      <c r="I115" s="2" t="s">
        <v>103</v>
      </c>
      <c r="J115" s="5" t="str">
        <f t="shared" si="1"/>
        <v>insert into CHB_INFOMGR_RESULT_CONFIG (RESULT_ID,MGRTABLE_ID,COLUMN_ID,COLUMN_NAME,DICTCODE,ORDER_NO,SHOWFLAG,REAL_COLUMN_ID) values ('B1C7DF40-B6D2-F1CA-E050-007F010043F1','CHB_ASSET_INFO','ASSET_ID06','股票代码','','113','H','ASSET_ID');</v>
      </c>
    </row>
    <row r="116" spans="1:10" x14ac:dyDescent="0.15">
      <c r="A116" s="2">
        <v>114</v>
      </c>
      <c r="B116" s="2" t="s">
        <v>938</v>
      </c>
      <c r="C116" s="2" t="s">
        <v>802</v>
      </c>
      <c r="D116" s="2" t="s">
        <v>502</v>
      </c>
      <c r="E116" s="2" t="s">
        <v>503</v>
      </c>
      <c r="F116" s="2"/>
      <c r="G116" s="2">
        <v>114</v>
      </c>
      <c r="H116" s="2" t="s">
        <v>330</v>
      </c>
      <c r="I116" s="2" t="s">
        <v>104</v>
      </c>
      <c r="J116" s="5" t="str">
        <f t="shared" si="1"/>
        <v>insert into CHB_INFOMGR_RESULT_CONFIG (RESULT_ID,MGRTABLE_ID,COLUMN_ID,COLUMN_NAME,DICTCODE,ORDER_NO,SHOWFLAG,REAL_COLUMN_ID) values ('B1C7DF40-B6D3-F1CA-E050-007F010043F1','CHB_ASSET_INFO','ASSET_NAME06','*股票/企业名称','','114','H','ASSET_NAME');</v>
      </c>
    </row>
    <row r="117" spans="1:10" x14ac:dyDescent="0.15">
      <c r="A117" s="2">
        <v>115</v>
      </c>
      <c r="B117" s="2" t="s">
        <v>939</v>
      </c>
      <c r="C117" s="2" t="s">
        <v>802</v>
      </c>
      <c r="D117" s="2" t="s">
        <v>504</v>
      </c>
      <c r="E117" s="2" t="s">
        <v>505</v>
      </c>
      <c r="F117" s="2" t="s">
        <v>319</v>
      </c>
      <c r="G117" s="2">
        <v>115</v>
      </c>
      <c r="H117" s="2" t="s">
        <v>330</v>
      </c>
      <c r="I117" s="2" t="s">
        <v>506</v>
      </c>
      <c r="J117" s="5" t="str">
        <f t="shared" si="1"/>
        <v>insert into CHB_INFOMGR_RESULT_CONFIG (RESULT_ID,MGRTABLE_ID,COLUMN_ID,COLUMN_NAME,DICTCODE,ORDER_NO,SHOWFLAG,REAL_COLUMN_ID) values ('B1C7DF40-B6D4-F1CA-E050-007F010043F1','CHB_ASSET_INFO','SHARES_TYPE06','股票类型','SVR_SHARES_TYPE','115','H','SHARES_TYPE');</v>
      </c>
    </row>
    <row r="118" spans="1:10" x14ac:dyDescent="0.15">
      <c r="A118" s="2">
        <v>116</v>
      </c>
      <c r="B118" s="2" t="s">
        <v>940</v>
      </c>
      <c r="C118" s="2" t="s">
        <v>802</v>
      </c>
      <c r="D118" s="2" t="s">
        <v>507</v>
      </c>
      <c r="E118" s="2" t="s">
        <v>497</v>
      </c>
      <c r="F118" s="2" t="s">
        <v>296</v>
      </c>
      <c r="G118" s="2">
        <v>116</v>
      </c>
      <c r="H118" s="2" t="s">
        <v>330</v>
      </c>
      <c r="I118" s="2" t="s">
        <v>182</v>
      </c>
      <c r="J118" s="5" t="str">
        <f t="shared" si="1"/>
        <v>insert into CHB_INFOMGR_RESULT_CONFIG (RESULT_ID,MGRTABLE_ID,COLUMN_ID,COLUMN_NAME,DICTCODE,ORDER_NO,SHOWFLAG,REAL_COLUMN_ID) values ('B1C7DF40-B6D5-F1CA-E050-007F010043F1','CHB_ASSET_INFO','INDUSTRY_SHARES206','*行业','INSTITUTION_INDUSTRY_SECOND_LEVEL','116','H','INDUSTRY_SHARES2');</v>
      </c>
    </row>
    <row r="119" spans="1:10" x14ac:dyDescent="0.15">
      <c r="A119" s="2">
        <v>117</v>
      </c>
      <c r="B119" s="2" t="s">
        <v>941</v>
      </c>
      <c r="C119" s="2" t="s">
        <v>802</v>
      </c>
      <c r="D119" s="2" t="s">
        <v>508</v>
      </c>
      <c r="E119" s="2" t="s">
        <v>509</v>
      </c>
      <c r="F119" s="2" t="s">
        <v>320</v>
      </c>
      <c r="G119" s="2">
        <v>117</v>
      </c>
      <c r="H119" s="2" t="s">
        <v>330</v>
      </c>
      <c r="I119" s="2" t="s">
        <v>183</v>
      </c>
      <c r="J119" s="5" t="str">
        <f t="shared" si="1"/>
        <v>insert into CHB_INFOMGR_RESULT_CONFIG (RESULT_ID,MGRTABLE_ID,COLUMN_ID,COLUMN_NAME,DICTCODE,ORDER_NO,SHOWFLAG,REAL_COLUMN_ID) values ('B1C7DF40-B6D6-F1CA-E050-007F010043F1','CHB_ASSET_INFO','INVEST_STAGE06','投资阶段','SVR_INVEST_STAGE','117','H','INVEST_STAGE');</v>
      </c>
    </row>
    <row r="120" spans="1:10" x14ac:dyDescent="0.15">
      <c r="A120" s="2">
        <v>118</v>
      </c>
      <c r="B120" s="2" t="s">
        <v>942</v>
      </c>
      <c r="C120" s="2" t="s">
        <v>802</v>
      </c>
      <c r="D120" s="2" t="s">
        <v>510</v>
      </c>
      <c r="E120" s="2" t="s">
        <v>274</v>
      </c>
      <c r="F120" s="2"/>
      <c r="G120" s="2">
        <v>118</v>
      </c>
      <c r="H120" s="2" t="s">
        <v>330</v>
      </c>
      <c r="I120" s="2" t="s">
        <v>184</v>
      </c>
      <c r="J120" s="5" t="str">
        <f t="shared" si="1"/>
        <v>insert into CHB_INFOMGR_RESULT_CONFIG (RESULT_ID,MGRTABLE_ID,COLUMN_ID,COLUMN_NAME,DICTCODE,ORDER_NO,SHOWFLAG,REAL_COLUMN_ID) values ('B1C7DF40-B6D7-F1CA-E050-007F010043F1','CHB_ASSET_INFO','EQUITY_QUIT06','股权退出安排','','118','H','EQUITY_QUIT');</v>
      </c>
    </row>
    <row r="121" spans="1:10" x14ac:dyDescent="0.15">
      <c r="A121" s="2">
        <v>119</v>
      </c>
      <c r="B121" s="2" t="s">
        <v>943</v>
      </c>
      <c r="C121" s="2" t="s">
        <v>802</v>
      </c>
      <c r="D121" s="2" t="s">
        <v>511</v>
      </c>
      <c r="E121" s="2" t="s">
        <v>512</v>
      </c>
      <c r="F121" s="2" t="s">
        <v>293</v>
      </c>
      <c r="G121" s="2">
        <v>119</v>
      </c>
      <c r="H121" s="2" t="s">
        <v>330</v>
      </c>
      <c r="I121" s="2" t="s">
        <v>185</v>
      </c>
      <c r="J121" s="5" t="str">
        <f t="shared" si="1"/>
        <v>insert into CHB_INFOMGR_RESULT_CONFIG (RESULT_ID,MGRTABLE_ID,COLUMN_ID,COLUMN_NAME,DICTCODE,ORDER_NO,SHOWFLAG,REAL_COLUMN_ID) values ('B1C7DF40-B6D8-F1CA-E050-007F010043F1','CHB_ASSET_INFO','SHARES_TYPE106','*企业类型（按规模划分）','SVR_PARTY_TYPE1','119','H','SHARES_TYPE1');</v>
      </c>
    </row>
    <row r="122" spans="1:10" x14ac:dyDescent="0.15">
      <c r="A122" s="2">
        <v>120</v>
      </c>
      <c r="B122" s="2" t="s">
        <v>944</v>
      </c>
      <c r="C122" s="2" t="s">
        <v>802</v>
      </c>
      <c r="D122" s="2" t="s">
        <v>513</v>
      </c>
      <c r="E122" s="2" t="s">
        <v>514</v>
      </c>
      <c r="F122" s="2" t="s">
        <v>294</v>
      </c>
      <c r="G122" s="2">
        <v>120</v>
      </c>
      <c r="H122" s="2" t="s">
        <v>330</v>
      </c>
      <c r="I122" s="2" t="s">
        <v>187</v>
      </c>
      <c r="J122" s="5" t="str">
        <f t="shared" si="1"/>
        <v>insert into CHB_INFOMGR_RESULT_CONFIG (RESULT_ID,MGRTABLE_ID,COLUMN_ID,COLUMN_NAME,DICTCODE,ORDER_NO,SHOWFLAG,REAL_COLUMN_ID) values ('B1C7DF40-B6D9-F1CA-E050-007F010043F1','CHB_ASSET_INFO','SHARES_TYPE306','*企业类型（按技术领域划分）','SVR_PARTY_TYPE3','120','H','SHARES_TYPE3');</v>
      </c>
    </row>
    <row r="123" spans="1:10" x14ac:dyDescent="0.15">
      <c r="A123" s="2">
        <v>121</v>
      </c>
      <c r="B123" s="2" t="s">
        <v>945</v>
      </c>
      <c r="C123" s="2" t="s">
        <v>802</v>
      </c>
      <c r="D123" s="2" t="s">
        <v>515</v>
      </c>
      <c r="E123" s="2" t="s">
        <v>516</v>
      </c>
      <c r="F123" s="2" t="s">
        <v>295</v>
      </c>
      <c r="G123" s="2">
        <v>121</v>
      </c>
      <c r="H123" s="2" t="s">
        <v>330</v>
      </c>
      <c r="I123" s="2" t="s">
        <v>186</v>
      </c>
      <c r="J123" s="5" t="str">
        <f t="shared" si="1"/>
        <v>insert into CHB_INFOMGR_RESULT_CONFIG (RESULT_ID,MGRTABLE_ID,COLUMN_ID,COLUMN_NAME,DICTCODE,ORDER_NO,SHOWFLAG,REAL_COLUMN_ID) values ('B1C7DF40-B6DA-F1CA-E050-007F010043F1','CHB_ASSET_INFO','SHARES_TYPE206','*企业类型（按经济类型划分）','SVR_PARTY_TYPE2','121','H','SHARES_TYPE2');</v>
      </c>
    </row>
    <row r="124" spans="1:10" x14ac:dyDescent="0.15">
      <c r="A124" s="2">
        <v>122</v>
      </c>
      <c r="B124" s="2" t="s">
        <v>946</v>
      </c>
      <c r="C124" s="2" t="s">
        <v>802</v>
      </c>
      <c r="D124" s="2" t="s">
        <v>517</v>
      </c>
      <c r="E124" s="2" t="s">
        <v>518</v>
      </c>
      <c r="F124" s="2" t="s">
        <v>301</v>
      </c>
      <c r="G124" s="2">
        <v>122</v>
      </c>
      <c r="H124" s="2" t="s">
        <v>330</v>
      </c>
      <c r="I124" s="2" t="s">
        <v>188</v>
      </c>
      <c r="J124" s="5" t="str">
        <f t="shared" si="1"/>
        <v>insert into CHB_INFOMGR_RESULT_CONFIG (RESULT_ID,MGRTABLE_ID,COLUMN_ID,COLUMN_NAME,DICTCODE,ORDER_NO,SHOWFLAG,REAL_COLUMN_ID) values ('B1C7DF40-B6DB-F1CA-E050-007F010043F1','CHB_ASSET_INFO','IS_PLEDGE06','*是否为质押融资','SVR_YES_OR_NO','122','H','IS_PLEDGE');</v>
      </c>
    </row>
    <row r="125" spans="1:10" x14ac:dyDescent="0.15">
      <c r="A125" s="2">
        <v>123</v>
      </c>
      <c r="B125" s="2" t="s">
        <v>947</v>
      </c>
      <c r="C125" s="2" t="s">
        <v>802</v>
      </c>
      <c r="D125" s="2" t="s">
        <v>519</v>
      </c>
      <c r="E125" s="2" t="s">
        <v>285</v>
      </c>
      <c r="F125" s="2" t="s">
        <v>301</v>
      </c>
      <c r="G125" s="2">
        <v>123</v>
      </c>
      <c r="H125" s="2" t="s">
        <v>330</v>
      </c>
      <c r="I125" s="2" t="s">
        <v>236</v>
      </c>
      <c r="J125" s="5" t="str">
        <f t="shared" si="1"/>
        <v>insert into CHB_INFOMGR_RESULT_CONFIG (RESULT_ID,MGRTABLE_ID,COLUMN_ID,COLUMN_NAME,DICTCODE,ORDER_NO,SHOWFLAG,REAL_COLUMN_ID) values ('B1C7DF40-B6DC-F1CA-E050-007F010043F1','CHB_ASSET_INFO','DEPT_EQUITY06','是否为债转股','SVR_YES_OR_NO','123','H','DEPT_EQUITY');</v>
      </c>
    </row>
    <row r="126" spans="1:10" x14ac:dyDescent="0.15">
      <c r="A126" s="2">
        <v>124</v>
      </c>
      <c r="B126" s="2" t="s">
        <v>948</v>
      </c>
      <c r="C126" s="2" t="s">
        <v>802</v>
      </c>
      <c r="D126" s="2" t="s">
        <v>520</v>
      </c>
      <c r="E126" s="2" t="s">
        <v>354</v>
      </c>
      <c r="F126" s="2"/>
      <c r="G126" s="2">
        <v>124</v>
      </c>
      <c r="H126" s="2" t="s">
        <v>330</v>
      </c>
      <c r="I126" s="2" t="s">
        <v>104</v>
      </c>
      <c r="J126" s="5" t="str">
        <f t="shared" si="1"/>
        <v>insert into CHB_INFOMGR_RESULT_CONFIG (RESULT_ID,MGRTABLE_ID,COLUMN_ID,COLUMN_NAME,DICTCODE,ORDER_NO,SHOWFLAG,REAL_COLUMN_ID) values ('B1C7DF40-B6DD-F1CA-E050-007F010043F1','CHB_ASSET_INFO','ASSET_NAME07','*名称','','124','H','ASSET_NAME');</v>
      </c>
    </row>
    <row r="127" spans="1:10" x14ac:dyDescent="0.15">
      <c r="A127" s="2">
        <v>125</v>
      </c>
      <c r="B127" s="2" t="s">
        <v>949</v>
      </c>
      <c r="C127" s="2" t="s">
        <v>802</v>
      </c>
      <c r="D127" s="2" t="s">
        <v>521</v>
      </c>
      <c r="E127" s="2" t="s">
        <v>522</v>
      </c>
      <c r="F127" s="2"/>
      <c r="G127" s="2">
        <v>125</v>
      </c>
      <c r="H127" s="2" t="s">
        <v>330</v>
      </c>
      <c r="I127" s="2" t="s">
        <v>189</v>
      </c>
      <c r="J127" s="5" t="str">
        <f t="shared" si="1"/>
        <v>insert into CHB_INFOMGR_RESULT_CONFIG (RESULT_ID,MGRTABLE_ID,COLUMN_ID,COLUMN_NAME,DICTCODE,ORDER_NO,SHOWFLAG,REAL_COLUMN_ID) values ('B1C7DF40-B6DE-F1CA-E050-007F010043F1','CHB_ASSET_INFO','NOM_CAPI07','*名义本金','','125','H','NOM_CAPI');</v>
      </c>
    </row>
    <row r="128" spans="1:10" x14ac:dyDescent="0.15">
      <c r="A128" s="2">
        <v>126</v>
      </c>
      <c r="B128" s="2" t="s">
        <v>950</v>
      </c>
      <c r="C128" s="2" t="s">
        <v>802</v>
      </c>
      <c r="D128" s="2" t="s">
        <v>523</v>
      </c>
      <c r="E128" s="2" t="s">
        <v>524</v>
      </c>
      <c r="F128" s="2" t="s">
        <v>289</v>
      </c>
      <c r="G128" s="2">
        <v>126</v>
      </c>
      <c r="H128" s="2" t="s">
        <v>330</v>
      </c>
      <c r="I128" s="2" t="s">
        <v>190</v>
      </c>
      <c r="J128" s="5" t="str">
        <f t="shared" si="1"/>
        <v>insert into CHB_INFOMGR_RESULT_CONFIG (RESULT_ID,MGRTABLE_ID,COLUMN_ID,COLUMN_NAME,DICTCODE,ORDER_NO,SHOWFLAG,REAL_COLUMN_ID) values ('B1C7DF40-B6DF-F1CA-E050-007F010043F1','CHB_ASSET_INFO','TARGET_TYPE307','*标的类别','SVR_TARGET_TYPE','126','H','TARGET_TYPE3');</v>
      </c>
    </row>
    <row r="129" spans="1:10" x14ac:dyDescent="0.15">
      <c r="A129" s="2">
        <v>127</v>
      </c>
      <c r="B129" s="2" t="s">
        <v>951</v>
      </c>
      <c r="C129" s="2" t="s">
        <v>802</v>
      </c>
      <c r="D129" s="2" t="s">
        <v>525</v>
      </c>
      <c r="E129" s="2" t="s">
        <v>952</v>
      </c>
      <c r="F129" s="2" t="s">
        <v>321</v>
      </c>
      <c r="G129" s="2">
        <v>127</v>
      </c>
      <c r="H129" s="2" t="s">
        <v>330</v>
      </c>
      <c r="I129" s="2" t="s">
        <v>191</v>
      </c>
      <c r="J129" s="5" t="str">
        <f t="shared" si="1"/>
        <v>insert into CHB_INFOMGR_RESULT_CONFIG (RESULT_ID,MGRTABLE_ID,COLUMN_ID,COLUMN_NAME,DICTCODE,ORDER_NO,SHOWFLAG,REAL_COLUMN_ID) values ('B1C7DF40-B6E0-F1CA-E050-007F010043F1','CHB_ASSET_INFO','HOLD_PURPOSE07','*持有目的','SVR_HOLD_PURPOSE','127','H','HOLD_PURPOSE');</v>
      </c>
    </row>
    <row r="130" spans="1:10" x14ac:dyDescent="0.15">
      <c r="A130" s="2">
        <v>128</v>
      </c>
      <c r="B130" s="2" t="s">
        <v>953</v>
      </c>
      <c r="C130" s="2" t="s">
        <v>802</v>
      </c>
      <c r="D130" s="2" t="s">
        <v>526</v>
      </c>
      <c r="E130" s="2" t="s">
        <v>527</v>
      </c>
      <c r="F130" s="2" t="s">
        <v>322</v>
      </c>
      <c r="G130" s="2">
        <v>128</v>
      </c>
      <c r="H130" s="2" t="s">
        <v>330</v>
      </c>
      <c r="I130" s="2" t="s">
        <v>196</v>
      </c>
      <c r="J130" s="5" t="str">
        <f t="shared" si="1"/>
        <v>insert into CHB_INFOMGR_RESULT_CONFIG (RESULT_ID,MGRTABLE_ID,COLUMN_ID,COLUMN_NAME,DICTCODE,ORDER_NO,SHOWFLAG,REAL_COLUMN_ID) values ('B1C7DF40-B6E1-F1CA-E050-007F010043F1','CHB_ASSET_INFO','COUNTRY_AREA08','*所属国家或地区','SVR_COUNTRY_AREA','128','H','COUNTRY_AREA');</v>
      </c>
    </row>
    <row r="131" spans="1:10" x14ac:dyDescent="0.15">
      <c r="A131" s="2">
        <v>129</v>
      </c>
      <c r="B131" s="2" t="s">
        <v>954</v>
      </c>
      <c r="C131" s="2" t="s">
        <v>802</v>
      </c>
      <c r="D131" s="2" t="s">
        <v>528</v>
      </c>
      <c r="E131" s="2" t="s">
        <v>529</v>
      </c>
      <c r="F131" s="2"/>
      <c r="G131" s="2">
        <v>129</v>
      </c>
      <c r="H131" s="2" t="s">
        <v>330</v>
      </c>
      <c r="I131" s="2" t="s">
        <v>104</v>
      </c>
      <c r="J131" s="5" t="str">
        <f t="shared" si="1"/>
        <v>insert into CHB_INFOMGR_RESULT_CONFIG (RESULT_ID,MGRTABLE_ID,COLUMN_ID,COLUMN_NAME,DICTCODE,ORDER_NO,SHOWFLAG,REAL_COLUMN_ID) values ('B1C7DF40-B6E2-F1CA-E050-007F010043F1','CHB_ASSET_INFO','ASSET_NAME08','*债券名称','','129','H','ASSET_NAME');</v>
      </c>
    </row>
    <row r="132" spans="1:10" x14ac:dyDescent="0.15">
      <c r="A132" s="2">
        <v>130</v>
      </c>
      <c r="B132" s="2" t="s">
        <v>955</v>
      </c>
      <c r="C132" s="2" t="s">
        <v>802</v>
      </c>
      <c r="D132" s="2" t="s">
        <v>530</v>
      </c>
      <c r="E132" s="2" t="s">
        <v>531</v>
      </c>
      <c r="F132" s="2"/>
      <c r="G132" s="2">
        <v>130</v>
      </c>
      <c r="H132" s="2" t="s">
        <v>330</v>
      </c>
      <c r="I132" s="2" t="s">
        <v>103</v>
      </c>
      <c r="J132" s="5" t="str">
        <f t="shared" ref="J132:J195" si="2">CONCATENATE("insert into CHB_INFOMGR_RESULT_CONFIG (RESULT_ID,MGRTABLE_ID,COLUMN_ID,COLUMN_NAME,DICTCODE,ORDER_NO,SHOWFLAG,REAL_COLUMN_ID) values ('",B132,"','",C132,"','",D132,"','",E132,"','",F132,"','",G132,"','",H132,"','",I132,"');")</f>
        <v>insert into CHB_INFOMGR_RESULT_CONFIG (RESULT_ID,MGRTABLE_ID,COLUMN_ID,COLUMN_NAME,DICTCODE,ORDER_NO,SHOWFLAG,REAL_COLUMN_ID) values ('B1C7DF40-B6E3-F1CA-E050-007F010043F1','CHB_ASSET_INFO','ASSET_ID08','*债券代码','','130','H','ASSET_ID');</v>
      </c>
    </row>
    <row r="133" spans="1:10" x14ac:dyDescent="0.15">
      <c r="A133" s="2">
        <v>131</v>
      </c>
      <c r="B133" s="2" t="s">
        <v>956</v>
      </c>
      <c r="C133" s="2" t="s">
        <v>802</v>
      </c>
      <c r="D133" s="2" t="s">
        <v>532</v>
      </c>
      <c r="E133" s="2" t="s">
        <v>533</v>
      </c>
      <c r="F133" s="2"/>
      <c r="G133" s="2">
        <v>131</v>
      </c>
      <c r="H133" s="2" t="s">
        <v>330</v>
      </c>
      <c r="I133" s="2" t="s">
        <v>192</v>
      </c>
      <c r="J133" s="5" t="str">
        <f t="shared" si="2"/>
        <v>insert into CHB_INFOMGR_RESULT_CONFIG (RESULT_ID,MGRTABLE_ID,COLUMN_ID,COLUMN_NAME,DICTCODE,ORDER_NO,SHOWFLAG,REAL_COLUMN_ID) values ('B1C7DF40-B6E4-F1CA-E050-007F010043F1','CHB_ASSET_INFO','ISSUE_PARTY_NAME08','*发行机构','','131','H','ISSUE_PARTY_NAME');</v>
      </c>
    </row>
    <row r="134" spans="1:10" x14ac:dyDescent="0.15">
      <c r="A134" s="2">
        <v>132</v>
      </c>
      <c r="B134" s="2" t="s">
        <v>957</v>
      </c>
      <c r="C134" s="2" t="s">
        <v>802</v>
      </c>
      <c r="D134" s="2" t="s">
        <v>534</v>
      </c>
      <c r="E134" s="2" t="s">
        <v>368</v>
      </c>
      <c r="F134" s="2" t="s">
        <v>296</v>
      </c>
      <c r="G134" s="2">
        <v>132</v>
      </c>
      <c r="H134" s="2" t="s">
        <v>330</v>
      </c>
      <c r="I134" s="2" t="s">
        <v>111</v>
      </c>
      <c r="J134" s="5" t="str">
        <f t="shared" si="2"/>
        <v>insert into CHB_INFOMGR_RESULT_CONFIG (RESULT_ID,MGRTABLE_ID,COLUMN_ID,COLUMN_NAME,DICTCODE,ORDER_NO,SHOWFLAG,REAL_COLUMN_ID) values ('B1C7DF40-B6E5-F1CA-E050-007F010043F1','CHB_ASSET_INFO','INDUSTRY_LEVEL208','*发行机构所属行业','INSTITUTION_INDUSTRY_SECOND_LEVEL','132','H','INDUSTRY_LEVEL2');</v>
      </c>
    </row>
    <row r="135" spans="1:10" x14ac:dyDescent="0.15">
      <c r="A135" s="2">
        <v>133</v>
      </c>
      <c r="B135" s="2" t="s">
        <v>958</v>
      </c>
      <c r="C135" s="2" t="s">
        <v>802</v>
      </c>
      <c r="D135" s="2" t="s">
        <v>535</v>
      </c>
      <c r="E135" s="2" t="s">
        <v>341</v>
      </c>
      <c r="F135" s="2"/>
      <c r="G135" s="2">
        <v>133</v>
      </c>
      <c r="H135" s="2" t="s">
        <v>330</v>
      </c>
      <c r="I135" s="2" t="s">
        <v>89</v>
      </c>
      <c r="J135" s="5" t="str">
        <f t="shared" si="2"/>
        <v>insert into CHB_INFOMGR_RESULT_CONFIG (RESULT_ID,MGRTABLE_ID,COLUMN_ID,COLUMN_NAME,DICTCODE,ORDER_NO,SHOWFLAG,REAL_COLUMN_ID) values ('B1C7DF40-B6E6-F1CA-E050-007F010043F1','CHB_ASSET_INFO','VDATE08','*起息日','','133','H','VDATE');</v>
      </c>
    </row>
    <row r="136" spans="1:10" x14ac:dyDescent="0.15">
      <c r="A136" s="2">
        <v>134</v>
      </c>
      <c r="B136" s="2" t="s">
        <v>959</v>
      </c>
      <c r="C136" s="2" t="s">
        <v>802</v>
      </c>
      <c r="D136" s="2" t="s">
        <v>536</v>
      </c>
      <c r="E136" s="2" t="s">
        <v>343</v>
      </c>
      <c r="F136" s="2"/>
      <c r="G136" s="2">
        <v>134</v>
      </c>
      <c r="H136" s="2" t="s">
        <v>330</v>
      </c>
      <c r="I136" s="2" t="s">
        <v>90</v>
      </c>
      <c r="J136" s="5" t="str">
        <f t="shared" si="2"/>
        <v>insert into CHB_INFOMGR_RESULT_CONFIG (RESULT_ID,MGRTABLE_ID,COLUMN_ID,COLUMN_NAME,DICTCODE,ORDER_NO,SHOWFLAG,REAL_COLUMN_ID) values ('B1C7DF40-B6E7-F1CA-E050-007F010043F1','CHB_ASSET_INFO','MDATE08','*到期日','','134','H','MDATE');</v>
      </c>
    </row>
    <row r="137" spans="1:10" x14ac:dyDescent="0.15">
      <c r="A137" s="2">
        <v>135</v>
      </c>
      <c r="B137" s="2" t="s">
        <v>960</v>
      </c>
      <c r="C137" s="2" t="s">
        <v>802</v>
      </c>
      <c r="D137" s="2" t="s">
        <v>537</v>
      </c>
      <c r="E137" s="2" t="s">
        <v>538</v>
      </c>
      <c r="F137" s="2"/>
      <c r="G137" s="2">
        <v>135</v>
      </c>
      <c r="H137" s="2" t="s">
        <v>330</v>
      </c>
      <c r="I137" s="2" t="s">
        <v>193</v>
      </c>
      <c r="J137" s="5" t="str">
        <f t="shared" si="2"/>
        <v>insert into CHB_INFOMGR_RESULT_CONFIG (RESULT_ID,MGRTABLE_ID,COLUMN_ID,COLUMN_NAME,DICTCODE,ORDER_NO,SHOWFLAG,REAL_COLUMN_ID) values ('B1C7DF40-B6E8-F1CA-E050-007F010043F1','CHB_ASSET_INFO','TERM_MONTH08','*期限（月）','','135','H','TERM_MONTH');</v>
      </c>
    </row>
    <row r="138" spans="1:10" x14ac:dyDescent="0.15">
      <c r="A138" s="2">
        <v>136</v>
      </c>
      <c r="B138" s="2" t="s">
        <v>961</v>
      </c>
      <c r="C138" s="2" t="s">
        <v>802</v>
      </c>
      <c r="D138" s="2" t="s">
        <v>539</v>
      </c>
      <c r="E138" s="2" t="s">
        <v>540</v>
      </c>
      <c r="F138" s="2" t="s">
        <v>292</v>
      </c>
      <c r="G138" s="2">
        <v>136</v>
      </c>
      <c r="H138" s="2" t="s">
        <v>330</v>
      </c>
      <c r="I138" s="2" t="s">
        <v>541</v>
      </c>
      <c r="J138" s="5" t="str">
        <f t="shared" si="2"/>
        <v>insert into CHB_INFOMGR_RESULT_CONFIG (RESULT_ID,MGRTABLE_ID,COLUMN_ID,COLUMN_NAME,DICTCODE,ORDER_NO,SHOWFLAG,REAL_COLUMN_ID) values ('B1C7DF40-B6E9-F1CA-E050-007F010043F1','CHB_ASSET_INFO','PARTY_GRADE08','*发行机构主体信用评级','SVR_MAIN_GRADE','136','H','PARTY_GRADE');</v>
      </c>
    </row>
    <row r="139" spans="1:10" x14ac:dyDescent="0.15">
      <c r="A139" s="2">
        <v>137</v>
      </c>
      <c r="B139" s="2" t="s">
        <v>962</v>
      </c>
      <c r="C139" s="2" t="s">
        <v>802</v>
      </c>
      <c r="D139" s="2" t="s">
        <v>542</v>
      </c>
      <c r="E139" s="2" t="s">
        <v>543</v>
      </c>
      <c r="F139" s="2" t="s">
        <v>292</v>
      </c>
      <c r="G139" s="2">
        <v>137</v>
      </c>
      <c r="H139" s="2" t="s">
        <v>330</v>
      </c>
      <c r="I139" s="2" t="s">
        <v>194</v>
      </c>
      <c r="J139" s="5" t="str">
        <f t="shared" si="2"/>
        <v>insert into CHB_INFOMGR_RESULT_CONFIG (RESULT_ID,MGRTABLE_ID,COLUMN_ID,COLUMN_NAME,DICTCODE,ORDER_NO,SHOWFLAG,REAL_COLUMN_ID) values ('B1C7DF40-B6EA-F1CA-E050-007F010043F1','CHB_ASSET_INFO','SEC_CREDIT_GRADE_TYPE08','*债券信用评级','SVR_MAIN_GRADE','137','H','SEC_CREDIT_GRADE_TYPE');</v>
      </c>
    </row>
    <row r="140" spans="1:10" x14ac:dyDescent="0.15">
      <c r="A140" s="2">
        <v>138</v>
      </c>
      <c r="B140" s="2" t="s">
        <v>963</v>
      </c>
      <c r="C140" s="2" t="s">
        <v>802</v>
      </c>
      <c r="D140" s="2" t="s">
        <v>544</v>
      </c>
      <c r="E140" s="2" t="s">
        <v>545</v>
      </c>
      <c r="F140" s="2"/>
      <c r="G140" s="2">
        <v>138</v>
      </c>
      <c r="H140" s="2" t="s">
        <v>330</v>
      </c>
      <c r="I140" s="2" t="s">
        <v>98</v>
      </c>
      <c r="J140" s="5" t="str">
        <f t="shared" si="2"/>
        <v>insert into CHB_INFOMGR_RESULT_CONFIG (RESULT_ID,MGRTABLE_ID,COLUMN_ID,COLUMN_NAME,DICTCODE,ORDER_NO,SHOWFLAG,REAL_COLUMN_ID) values ('B1C7DF40-B6EB-F1CA-E050-007F010043F1','CHB_ASSET_INFO','ASSET_YIELD08','*票面利率%','','138','H','ASSET_YIELD');</v>
      </c>
    </row>
    <row r="141" spans="1:10" x14ac:dyDescent="0.15">
      <c r="A141" s="2">
        <v>139</v>
      </c>
      <c r="B141" s="2" t="s">
        <v>964</v>
      </c>
      <c r="C141" s="2" t="s">
        <v>802</v>
      </c>
      <c r="D141" s="2" t="s">
        <v>546</v>
      </c>
      <c r="E141" s="2" t="s">
        <v>401</v>
      </c>
      <c r="F141" s="2"/>
      <c r="G141" s="2">
        <v>139</v>
      </c>
      <c r="H141" s="2" t="s">
        <v>330</v>
      </c>
      <c r="I141" s="2" t="s">
        <v>124</v>
      </c>
      <c r="J141" s="5" t="str">
        <f t="shared" si="2"/>
        <v>insert into CHB_INFOMGR_RESULT_CONFIG (RESULT_ID,MGRTABLE_ID,COLUMN_ID,COLUMN_NAME,DICTCODE,ORDER_NO,SHOWFLAG,REAL_COLUMN_ID) values ('B1C7DF40-B6EC-F1CA-E050-007F010043F1','CHB_ASSET_INFO','INTPAY_CYCLE08','*付息频率（个月/次）','','139','H','INTPAY_CYCLE');</v>
      </c>
    </row>
    <row r="142" spans="1:10" x14ac:dyDescent="0.15">
      <c r="A142" s="2">
        <v>140</v>
      </c>
      <c r="B142" s="2" t="s">
        <v>965</v>
      </c>
      <c r="C142" s="2" t="s">
        <v>802</v>
      </c>
      <c r="D142" s="2" t="s">
        <v>547</v>
      </c>
      <c r="E142" s="2" t="s">
        <v>548</v>
      </c>
      <c r="F142" s="2"/>
      <c r="G142" s="2">
        <v>140</v>
      </c>
      <c r="H142" s="2" t="s">
        <v>330</v>
      </c>
      <c r="I142" s="2" t="s">
        <v>149</v>
      </c>
      <c r="J142" s="5" t="str">
        <f t="shared" si="2"/>
        <v>insert into CHB_INFOMGR_RESULT_CONFIG (RESULT_ID,MGRTABLE_ID,COLUMN_ID,COLUMN_NAME,DICTCODE,ORDER_NO,SHOWFLAG,REAL_COLUMN_ID) values ('B1C7DF40-B6ED-F1CA-E050-007F010043F1','CHB_ASSET_INFO','GUA_TYPE_REMARK08','*担保情况说明','','140','H','GUA_TYPE_REMARK');</v>
      </c>
    </row>
    <row r="143" spans="1:10" x14ac:dyDescent="0.15">
      <c r="A143" s="2">
        <v>141</v>
      </c>
      <c r="B143" s="2" t="s">
        <v>966</v>
      </c>
      <c r="C143" s="2" t="s">
        <v>802</v>
      </c>
      <c r="D143" s="2" t="s">
        <v>549</v>
      </c>
      <c r="E143" s="2" t="s">
        <v>550</v>
      </c>
      <c r="F143" s="2"/>
      <c r="G143" s="2">
        <v>141</v>
      </c>
      <c r="H143" s="2" t="s">
        <v>330</v>
      </c>
      <c r="I143" s="2" t="s">
        <v>195</v>
      </c>
      <c r="J143" s="5" t="str">
        <f t="shared" si="2"/>
        <v>insert into CHB_INFOMGR_RESULT_CONFIG (RESULT_ID,MGRTABLE_ID,COLUMN_ID,COLUMN_NAME,DICTCODE,ORDER_NO,SHOWFLAG,REAL_COLUMN_ID) values ('B1C7DF40-B6EE-F1CA-E050-007F010043F1','CHB_ASSET_INFO','SPECIAL_CMT08','*是否含权等特殊条款情况说明','','141','H','SPECIAL_CMT');</v>
      </c>
    </row>
    <row r="144" spans="1:10" x14ac:dyDescent="0.15">
      <c r="A144" s="2">
        <v>142</v>
      </c>
      <c r="B144" s="2" t="s">
        <v>967</v>
      </c>
      <c r="C144" s="2" t="s">
        <v>802</v>
      </c>
      <c r="D144" s="2" t="s">
        <v>551</v>
      </c>
      <c r="E144" s="2" t="s">
        <v>527</v>
      </c>
      <c r="F144" s="2" t="s">
        <v>322</v>
      </c>
      <c r="G144" s="2">
        <v>142</v>
      </c>
      <c r="H144" s="2" t="s">
        <v>330</v>
      </c>
      <c r="I144" s="2" t="s">
        <v>196</v>
      </c>
      <c r="J144" s="5" t="str">
        <f t="shared" si="2"/>
        <v>insert into CHB_INFOMGR_RESULT_CONFIG (RESULT_ID,MGRTABLE_ID,COLUMN_ID,COLUMN_NAME,DICTCODE,ORDER_NO,SHOWFLAG,REAL_COLUMN_ID) values ('B1C7DF40-B6EF-F1CA-E050-007F010043F1','CHB_ASSET_INFO','COUNTRY_AREA09','*所属国家或地区','SVR_COUNTRY_AREA','142','H','COUNTRY_AREA');</v>
      </c>
    </row>
    <row r="145" spans="1:10" x14ac:dyDescent="0.15">
      <c r="A145" s="2">
        <v>143</v>
      </c>
      <c r="B145" s="2" t="s">
        <v>968</v>
      </c>
      <c r="C145" s="2" t="s">
        <v>802</v>
      </c>
      <c r="D145" s="2" t="s">
        <v>552</v>
      </c>
      <c r="E145" s="2" t="s">
        <v>341</v>
      </c>
      <c r="F145" s="2"/>
      <c r="G145" s="2">
        <v>143</v>
      </c>
      <c r="H145" s="2" t="s">
        <v>330</v>
      </c>
      <c r="I145" s="2" t="s">
        <v>89</v>
      </c>
      <c r="J145" s="5" t="str">
        <f t="shared" si="2"/>
        <v>insert into CHB_INFOMGR_RESULT_CONFIG (RESULT_ID,MGRTABLE_ID,COLUMN_ID,COLUMN_NAME,DICTCODE,ORDER_NO,SHOWFLAG,REAL_COLUMN_ID) values ('B1C7DF40-B6F0-F1CA-E050-007F010043F1','CHB_ASSET_INFO','VDATE09','*起息日','','143','H','VDATE');</v>
      </c>
    </row>
    <row r="146" spans="1:10" x14ac:dyDescent="0.15">
      <c r="A146" s="2">
        <v>144</v>
      </c>
      <c r="B146" s="2" t="s">
        <v>969</v>
      </c>
      <c r="C146" s="2" t="s">
        <v>802</v>
      </c>
      <c r="D146" s="2" t="s">
        <v>553</v>
      </c>
      <c r="E146" s="2" t="s">
        <v>343</v>
      </c>
      <c r="F146" s="2"/>
      <c r="G146" s="2">
        <v>144</v>
      </c>
      <c r="H146" s="2" t="s">
        <v>330</v>
      </c>
      <c r="I146" s="2" t="s">
        <v>90</v>
      </c>
      <c r="J146" s="5" t="str">
        <f t="shared" si="2"/>
        <v>insert into CHB_INFOMGR_RESULT_CONFIG (RESULT_ID,MGRTABLE_ID,COLUMN_ID,COLUMN_NAME,DICTCODE,ORDER_NO,SHOWFLAG,REAL_COLUMN_ID) values ('B1C7DF40-B6F1-F1CA-E050-007F010043F1','CHB_ASSET_INFO','MDATE09','*到期日','','144','H','MDATE');</v>
      </c>
    </row>
    <row r="147" spans="1:10" x14ac:dyDescent="0.15">
      <c r="A147" s="2">
        <v>145</v>
      </c>
      <c r="B147" s="2" t="s">
        <v>970</v>
      </c>
      <c r="C147" s="2" t="s">
        <v>802</v>
      </c>
      <c r="D147" s="2" t="s">
        <v>554</v>
      </c>
      <c r="E147" s="2" t="s">
        <v>376</v>
      </c>
      <c r="F147" s="2"/>
      <c r="G147" s="2">
        <v>145</v>
      </c>
      <c r="H147" s="2" t="s">
        <v>330</v>
      </c>
      <c r="I147" s="2" t="s">
        <v>114</v>
      </c>
      <c r="J147" s="5" t="str">
        <f t="shared" si="2"/>
        <v>insert into CHB_INFOMGR_RESULT_CONFIG (RESULT_ID,MGRTABLE_ID,COLUMN_ID,COLUMN_NAME,DICTCODE,ORDER_NO,SHOWFLAG,REAL_COLUMN_ID) values ('B1C7DF40-B6F2-F1CA-E050-007F010043F1','CHB_ASSET_INFO','RIVAL_PARTY09','*对手方','','145','H','RIVAL_PARTY');</v>
      </c>
    </row>
    <row r="148" spans="1:10" x14ac:dyDescent="0.15">
      <c r="A148" s="2">
        <v>146</v>
      </c>
      <c r="B148" s="2" t="s">
        <v>971</v>
      </c>
      <c r="C148" s="2" t="s">
        <v>802</v>
      </c>
      <c r="D148" s="2" t="s">
        <v>555</v>
      </c>
      <c r="E148" s="2" t="s">
        <v>345</v>
      </c>
      <c r="F148" s="2"/>
      <c r="G148" s="2">
        <v>146</v>
      </c>
      <c r="H148" s="2" t="s">
        <v>330</v>
      </c>
      <c r="I148" s="2" t="s">
        <v>98</v>
      </c>
      <c r="J148" s="5" t="str">
        <f t="shared" si="2"/>
        <v>insert into CHB_INFOMGR_RESULT_CONFIG (RESULT_ID,MGRTABLE_ID,COLUMN_ID,COLUMN_NAME,DICTCODE,ORDER_NO,SHOWFLAG,REAL_COLUMN_ID) values ('B1C7DF40-B6F3-F1CA-E050-007F010043F1','CHB_ASSET_INFO','ASSET_YIELD09','*年利率%','','146','H','ASSET_YIELD');</v>
      </c>
    </row>
    <row r="149" spans="1:10" x14ac:dyDescent="0.15">
      <c r="A149" s="2">
        <v>147</v>
      </c>
      <c r="B149" s="2" t="s">
        <v>972</v>
      </c>
      <c r="C149" s="2" t="s">
        <v>802</v>
      </c>
      <c r="D149" s="2" t="s">
        <v>556</v>
      </c>
      <c r="E149" s="2" t="s">
        <v>347</v>
      </c>
      <c r="F149" s="2" t="s">
        <v>287</v>
      </c>
      <c r="G149" s="2">
        <v>147</v>
      </c>
      <c r="H149" s="2" t="s">
        <v>330</v>
      </c>
      <c r="I149" s="2" t="s">
        <v>99</v>
      </c>
      <c r="J149" s="5" t="str">
        <f t="shared" si="2"/>
        <v>insert into CHB_INFOMGR_RESULT_CONFIG (RESULT_ID,MGRTABLE_ID,COLUMN_ID,COLUMN_NAME,DICTCODE,ORDER_NO,SHOWFLAG,REAL_COLUMN_ID) values ('B1C7DF40-B6F4-F1CA-E050-007F010043F1','CHB_ASSET_INFO','BASIS09','*计息基础','SVR_BASIS','147','H','BASIS');</v>
      </c>
    </row>
    <row r="150" spans="1:10" x14ac:dyDescent="0.15">
      <c r="A150" s="2">
        <v>148</v>
      </c>
      <c r="B150" s="2" t="s">
        <v>973</v>
      </c>
      <c r="C150" s="2" t="s">
        <v>802</v>
      </c>
      <c r="D150" s="2" t="s">
        <v>557</v>
      </c>
      <c r="E150" s="2" t="s">
        <v>527</v>
      </c>
      <c r="F150" s="2" t="s">
        <v>322</v>
      </c>
      <c r="G150" s="2">
        <v>148</v>
      </c>
      <c r="H150" s="2" t="s">
        <v>330</v>
      </c>
      <c r="I150" s="2" t="s">
        <v>196</v>
      </c>
      <c r="J150" s="5" t="str">
        <f t="shared" si="2"/>
        <v>insert into CHB_INFOMGR_RESULT_CONFIG (RESULT_ID,MGRTABLE_ID,COLUMN_ID,COLUMN_NAME,DICTCODE,ORDER_NO,SHOWFLAG,REAL_COLUMN_ID) values ('B1C7DF40-B6F5-F1CA-E050-007F010043F1','CHB_ASSET_INFO','COUNTRY_AREA10','*所属国家或地区','SVR_COUNTRY_AREA','148','H','COUNTRY_AREA');</v>
      </c>
    </row>
    <row r="151" spans="1:10" x14ac:dyDescent="0.15">
      <c r="A151" s="2">
        <v>149</v>
      </c>
      <c r="B151" s="2" t="s">
        <v>974</v>
      </c>
      <c r="C151" s="2" t="s">
        <v>802</v>
      </c>
      <c r="D151" s="2" t="s">
        <v>558</v>
      </c>
      <c r="E151" s="2" t="s">
        <v>559</v>
      </c>
      <c r="F151" s="2"/>
      <c r="G151" s="2">
        <v>149</v>
      </c>
      <c r="H151" s="2" t="s">
        <v>330</v>
      </c>
      <c r="I151" s="2" t="s">
        <v>103</v>
      </c>
      <c r="J151" s="5" t="str">
        <f t="shared" si="2"/>
        <v>insert into CHB_INFOMGR_RESULT_CONFIG (RESULT_ID,MGRTABLE_ID,COLUMN_ID,COLUMN_NAME,DICTCODE,ORDER_NO,SHOWFLAG,REAL_COLUMN_ID) values ('B1C7DF40-B6F6-F1CA-E050-007F010043F1','CHB_ASSET_INFO','ASSET_ID10','*股票/基金代码','','149','H','ASSET_ID');</v>
      </c>
    </row>
    <row r="152" spans="1:10" x14ac:dyDescent="0.15">
      <c r="A152" s="2">
        <v>150</v>
      </c>
      <c r="B152" s="2" t="s">
        <v>975</v>
      </c>
      <c r="C152" s="2" t="s">
        <v>802</v>
      </c>
      <c r="D152" s="2" t="s">
        <v>560</v>
      </c>
      <c r="E152" s="2" t="s">
        <v>561</v>
      </c>
      <c r="F152" s="2"/>
      <c r="G152" s="2">
        <v>150</v>
      </c>
      <c r="H152" s="2" t="s">
        <v>330</v>
      </c>
      <c r="I152" s="2" t="s">
        <v>104</v>
      </c>
      <c r="J152" s="5" t="str">
        <f t="shared" si="2"/>
        <v>insert into CHB_INFOMGR_RESULT_CONFIG (RESULT_ID,MGRTABLE_ID,COLUMN_ID,COLUMN_NAME,DICTCODE,ORDER_NO,SHOWFLAG,REAL_COLUMN_ID) values ('B1C7DF40-B6F7-F1CA-E050-007F010043F1','CHB_ASSET_INFO','ASSET_NAME10','*股票/基金名称','','150','H','ASSET_NAME');</v>
      </c>
    </row>
    <row r="153" spans="1:10" x14ac:dyDescent="0.15">
      <c r="A153" s="2">
        <v>151</v>
      </c>
      <c r="B153" s="2" t="s">
        <v>976</v>
      </c>
      <c r="C153" s="2" t="s">
        <v>802</v>
      </c>
      <c r="D153" s="2" t="s">
        <v>562</v>
      </c>
      <c r="E153" s="2" t="s">
        <v>533</v>
      </c>
      <c r="F153" s="2"/>
      <c r="G153" s="2">
        <v>151</v>
      </c>
      <c r="H153" s="2" t="s">
        <v>330</v>
      </c>
      <c r="I153" s="2" t="s">
        <v>192</v>
      </c>
      <c r="J153" s="5" t="str">
        <f t="shared" si="2"/>
        <v>insert into CHB_INFOMGR_RESULT_CONFIG (RESULT_ID,MGRTABLE_ID,COLUMN_ID,COLUMN_NAME,DICTCODE,ORDER_NO,SHOWFLAG,REAL_COLUMN_ID) values ('B1C7DF40-B6F8-F1CA-E050-007F010043F1','CHB_ASSET_INFO','ISSUE_PARTY_NAME10','*发行机构','','151','H','ISSUE_PARTY_NAME');</v>
      </c>
    </row>
    <row r="154" spans="1:10" x14ac:dyDescent="0.15">
      <c r="A154" s="2">
        <v>152</v>
      </c>
      <c r="B154" s="2" t="s">
        <v>977</v>
      </c>
      <c r="C154" s="2" t="s">
        <v>802</v>
      </c>
      <c r="D154" s="2" t="s">
        <v>563</v>
      </c>
      <c r="E154" s="2" t="s">
        <v>497</v>
      </c>
      <c r="F154" s="2" t="s">
        <v>296</v>
      </c>
      <c r="G154" s="2">
        <v>152</v>
      </c>
      <c r="H154" s="2" t="s">
        <v>330</v>
      </c>
      <c r="I154" s="2" t="s">
        <v>182</v>
      </c>
      <c r="J154" s="5" t="str">
        <f t="shared" si="2"/>
        <v>insert into CHB_INFOMGR_RESULT_CONFIG (RESULT_ID,MGRTABLE_ID,COLUMN_ID,COLUMN_NAME,DICTCODE,ORDER_NO,SHOWFLAG,REAL_COLUMN_ID) values ('B1C7DF40-B6F9-F1CA-E050-007F010043F1','CHB_ASSET_INFO','INDUSTRY_SHARES210','*行业','INSTITUTION_INDUSTRY_SECOND_LEVEL','152','H','INDUSTRY_SHARES2');</v>
      </c>
    </row>
    <row r="155" spans="1:10" x14ac:dyDescent="0.15">
      <c r="A155" s="2">
        <v>153</v>
      </c>
      <c r="B155" s="2" t="s">
        <v>978</v>
      </c>
      <c r="C155" s="2" t="s">
        <v>802</v>
      </c>
      <c r="D155" s="2" t="s">
        <v>564</v>
      </c>
      <c r="E155" s="2" t="s">
        <v>527</v>
      </c>
      <c r="F155" s="2" t="s">
        <v>322</v>
      </c>
      <c r="G155" s="2">
        <v>153</v>
      </c>
      <c r="H155" s="2" t="s">
        <v>330</v>
      </c>
      <c r="I155" s="2" t="s">
        <v>196</v>
      </c>
      <c r="J155" s="5" t="str">
        <f t="shared" si="2"/>
        <v>insert into CHB_INFOMGR_RESULT_CONFIG (RESULT_ID,MGRTABLE_ID,COLUMN_ID,COLUMN_NAME,DICTCODE,ORDER_NO,SHOWFLAG,REAL_COLUMN_ID) values ('B1C7DF40-B6FA-F1CA-E050-007F010043F1','CHB_ASSET_INFO','COUNTRY_AREA11','*所属国家或地区','SVR_COUNTRY_AREA','153','H','COUNTRY_AREA');</v>
      </c>
    </row>
    <row r="156" spans="1:10" x14ac:dyDescent="0.15">
      <c r="A156" s="2">
        <v>154</v>
      </c>
      <c r="B156" s="2" t="s">
        <v>979</v>
      </c>
      <c r="C156" s="2" t="s">
        <v>802</v>
      </c>
      <c r="D156" s="2" t="s">
        <v>565</v>
      </c>
      <c r="E156" s="2" t="s">
        <v>566</v>
      </c>
      <c r="F156" s="2"/>
      <c r="G156" s="2">
        <v>154</v>
      </c>
      <c r="H156" s="2" t="s">
        <v>330</v>
      </c>
      <c r="I156" s="2" t="s">
        <v>197</v>
      </c>
      <c r="J156" s="5" t="str">
        <f t="shared" si="2"/>
        <v>insert into CHB_INFOMGR_RESULT_CONFIG (RESULT_ID,MGRTABLE_ID,COLUMN_ID,COLUMN_NAME,DICTCODE,ORDER_NO,SHOWFLAG,REAL_COLUMN_ID) values ('B1C7DF40-B6FB-F1CA-E050-007F010043F1','CHB_ASSET_INFO','CONTRACT_NAME11','*合约名称','','154','H','CONTRACT_NAME');</v>
      </c>
    </row>
    <row r="157" spans="1:10" x14ac:dyDescent="0.15">
      <c r="A157" s="2">
        <v>155</v>
      </c>
      <c r="B157" s="2" t="s">
        <v>980</v>
      </c>
      <c r="C157" s="2" t="s">
        <v>802</v>
      </c>
      <c r="D157" s="2" t="s">
        <v>567</v>
      </c>
      <c r="E157" s="2" t="s">
        <v>341</v>
      </c>
      <c r="F157" s="2"/>
      <c r="G157" s="2">
        <v>155</v>
      </c>
      <c r="H157" s="2" t="s">
        <v>330</v>
      </c>
      <c r="I157" s="2" t="s">
        <v>89</v>
      </c>
      <c r="J157" s="5" t="str">
        <f t="shared" si="2"/>
        <v>insert into CHB_INFOMGR_RESULT_CONFIG (RESULT_ID,MGRTABLE_ID,COLUMN_ID,COLUMN_NAME,DICTCODE,ORDER_NO,SHOWFLAG,REAL_COLUMN_ID) values ('B1C7DF40-B6FC-F1CA-E050-007F010043F1','CHB_ASSET_INFO','VDATE11','*起息日','','155','H','VDATE');</v>
      </c>
    </row>
    <row r="158" spans="1:10" x14ac:dyDescent="0.15">
      <c r="A158" s="2">
        <v>156</v>
      </c>
      <c r="B158" s="2" t="s">
        <v>981</v>
      </c>
      <c r="C158" s="2" t="s">
        <v>802</v>
      </c>
      <c r="D158" s="2" t="s">
        <v>568</v>
      </c>
      <c r="E158" s="2" t="s">
        <v>343</v>
      </c>
      <c r="F158" s="2"/>
      <c r="G158" s="2">
        <v>156</v>
      </c>
      <c r="H158" s="2" t="s">
        <v>330</v>
      </c>
      <c r="I158" s="2" t="s">
        <v>90</v>
      </c>
      <c r="J158" s="5" t="str">
        <f t="shared" si="2"/>
        <v>insert into CHB_INFOMGR_RESULT_CONFIG (RESULT_ID,MGRTABLE_ID,COLUMN_ID,COLUMN_NAME,DICTCODE,ORDER_NO,SHOWFLAG,REAL_COLUMN_ID) values ('B1C7DF40-B6FD-F1CA-E050-007F010043F1','CHB_ASSET_INFO','MDATE11','*到期日','','156','H','MDATE');</v>
      </c>
    </row>
    <row r="159" spans="1:10" x14ac:dyDescent="0.15">
      <c r="A159" s="2">
        <v>157</v>
      </c>
      <c r="B159" s="2" t="s">
        <v>982</v>
      </c>
      <c r="C159" s="2" t="s">
        <v>802</v>
      </c>
      <c r="D159" s="2" t="s">
        <v>569</v>
      </c>
      <c r="E159" s="2" t="s">
        <v>570</v>
      </c>
      <c r="F159" s="2"/>
      <c r="G159" s="2">
        <v>157</v>
      </c>
      <c r="H159" s="2" t="s">
        <v>330</v>
      </c>
      <c r="I159" s="2" t="s">
        <v>98</v>
      </c>
      <c r="J159" s="5" t="str">
        <f t="shared" si="2"/>
        <v>insert into CHB_INFOMGR_RESULT_CONFIG (RESULT_ID,MGRTABLE_ID,COLUMN_ID,COLUMN_NAME,DICTCODE,ORDER_NO,SHOWFLAG,REAL_COLUMN_ID) values ('B1C7DF40-B6FE-F1CA-E050-007F010043F1','CHB_ASSET_INFO','ASSET_YIELD11','票面利率%','','157','H','ASSET_YIELD');</v>
      </c>
    </row>
    <row r="160" spans="1:10" x14ac:dyDescent="0.15">
      <c r="A160" s="2">
        <v>158</v>
      </c>
      <c r="B160" s="2" t="s">
        <v>983</v>
      </c>
      <c r="C160" s="2" t="s">
        <v>802</v>
      </c>
      <c r="D160" s="2" t="s">
        <v>571</v>
      </c>
      <c r="E160" s="2" t="s">
        <v>247</v>
      </c>
      <c r="F160" s="2"/>
      <c r="G160" s="2">
        <v>158</v>
      </c>
      <c r="H160" s="2" t="s">
        <v>330</v>
      </c>
      <c r="I160" s="2" t="s">
        <v>124</v>
      </c>
      <c r="J160" s="5" t="str">
        <f t="shared" si="2"/>
        <v>insert into CHB_INFOMGR_RESULT_CONFIG (RESULT_ID,MGRTABLE_ID,COLUMN_ID,COLUMN_NAME,DICTCODE,ORDER_NO,SHOWFLAG,REAL_COLUMN_ID) values ('B1C7DF40-B6FF-F1CA-E050-007F010043F1','CHB_ASSET_INFO','INTPAY_CYCLE11','付息频率（个月/次）','','158','H','INTPAY_CYCLE');</v>
      </c>
    </row>
    <row r="161" spans="1:10" x14ac:dyDescent="0.15">
      <c r="A161" s="2">
        <v>159</v>
      </c>
      <c r="B161" s="2" t="s">
        <v>984</v>
      </c>
      <c r="C161" s="2" t="s">
        <v>802</v>
      </c>
      <c r="D161" s="2" t="s">
        <v>572</v>
      </c>
      <c r="E161" s="2" t="s">
        <v>573</v>
      </c>
      <c r="F161" s="2"/>
      <c r="G161" s="2">
        <v>159</v>
      </c>
      <c r="H161" s="2" t="s">
        <v>330</v>
      </c>
      <c r="I161" s="2" t="s">
        <v>198</v>
      </c>
      <c r="J161" s="5" t="str">
        <f t="shared" si="2"/>
        <v>insert into CHB_INFOMGR_RESULT_CONFIG (RESULT_ID,MGRTABLE_ID,COLUMN_ID,COLUMN_NAME,DICTCODE,ORDER_NO,SHOWFLAG,REAL_COLUMN_ID) values ('B1C7DF40-B700-F1CA-E050-007F010043F1','CHB_ASSET_INFO','INCOME_RATIO11','*固定收益部分所占比例(%)','','159','H','INCOME_RATIO');</v>
      </c>
    </row>
    <row r="162" spans="1:10" x14ac:dyDescent="0.15">
      <c r="A162" s="2">
        <v>160</v>
      </c>
      <c r="B162" s="2" t="s">
        <v>985</v>
      </c>
      <c r="C162" s="2" t="s">
        <v>802</v>
      </c>
      <c r="D162" s="2" t="s">
        <v>574</v>
      </c>
      <c r="E162" s="2" t="s">
        <v>575</v>
      </c>
      <c r="F162" s="2"/>
      <c r="G162" s="2">
        <v>160</v>
      </c>
      <c r="H162" s="2" t="s">
        <v>330</v>
      </c>
      <c r="I162" s="2" t="s">
        <v>199</v>
      </c>
      <c r="J162" s="5" t="str">
        <f t="shared" si="2"/>
        <v>insert into CHB_INFOMGR_RESULT_CONFIG (RESULT_ID,MGRTABLE_ID,COLUMN_ID,COLUMN_NAME,DICTCODE,ORDER_NO,SHOWFLAG,REAL_COLUMN_ID) values ('B1C7DF40-B701-F1CA-E050-007F010043F1','CHB_ASSET_INFO','DER_INSTR_RATIO11','*衍生金融工具所占比例(%)','','160','H','DER_INSTR_RATIO');</v>
      </c>
    </row>
    <row r="163" spans="1:10" x14ac:dyDescent="0.15">
      <c r="A163" s="2">
        <v>161</v>
      </c>
      <c r="B163" s="2" t="s">
        <v>986</v>
      </c>
      <c r="C163" s="2" t="s">
        <v>802</v>
      </c>
      <c r="D163" s="2" t="s">
        <v>576</v>
      </c>
      <c r="E163" s="2" t="s">
        <v>577</v>
      </c>
      <c r="F163" s="2"/>
      <c r="G163" s="2">
        <v>161</v>
      </c>
      <c r="H163" s="2" t="s">
        <v>330</v>
      </c>
      <c r="I163" s="2" t="s">
        <v>200</v>
      </c>
      <c r="J163" s="5" t="str">
        <f t="shared" si="2"/>
        <v>insert into CHB_INFOMGR_RESULT_CONFIG (RESULT_ID,MGRTABLE_ID,COLUMN_ID,COLUMN_NAME,DICTCODE,ORDER_NO,SHOWFLAG,REAL_COLUMN_ID) values ('B1C7DF40-B702-F1CA-E050-007F010043F1','CHB_ASSET_INFO','DER_INSTR_INV_TYPE11','*衍生金融工具具体投资方式','','161','H','DER_INSTR_INV_TYPE');</v>
      </c>
    </row>
    <row r="164" spans="1:10" x14ac:dyDescent="0.15">
      <c r="A164" s="2">
        <v>162</v>
      </c>
      <c r="B164" s="2" t="s">
        <v>987</v>
      </c>
      <c r="C164" s="2" t="s">
        <v>802</v>
      </c>
      <c r="D164" s="2" t="s">
        <v>578</v>
      </c>
      <c r="E164" s="2" t="s">
        <v>579</v>
      </c>
      <c r="F164" s="2"/>
      <c r="G164" s="2">
        <v>162</v>
      </c>
      <c r="H164" s="2" t="s">
        <v>330</v>
      </c>
      <c r="I164" s="2" t="s">
        <v>201</v>
      </c>
      <c r="J164" s="5" t="str">
        <f t="shared" si="2"/>
        <v>insert into CHB_INFOMGR_RESULT_CONFIG (RESULT_ID,MGRTABLE_ID,COLUMN_ID,COLUMN_NAME,DICTCODE,ORDER_NO,SHOWFLAG,REAL_COLUMN_ID) values ('B1C7DF40-B703-F1CA-E050-007F010043F1','CHB_ASSET_INFO','DER_INSTR_TARGET11','*衍生金融工具挂钩的标的资产','','162','H','DER_INSTR_TARGET');</v>
      </c>
    </row>
    <row r="165" spans="1:10" x14ac:dyDescent="0.15">
      <c r="A165" s="2">
        <v>163</v>
      </c>
      <c r="B165" s="2" t="s">
        <v>988</v>
      </c>
      <c r="C165" s="2" t="s">
        <v>802</v>
      </c>
      <c r="D165" s="2" t="s">
        <v>580</v>
      </c>
      <c r="E165" s="2" t="s">
        <v>581</v>
      </c>
      <c r="F165" s="2"/>
      <c r="G165" s="2">
        <v>163</v>
      </c>
      <c r="H165" s="2" t="s">
        <v>330</v>
      </c>
      <c r="I165" s="2" t="s">
        <v>202</v>
      </c>
      <c r="J165" s="5" t="str">
        <f t="shared" si="2"/>
        <v>insert into CHB_INFOMGR_RESULT_CONFIG (RESULT_ID,MGRTABLE_ID,COLUMN_ID,COLUMN_NAME,DICTCODE,ORDER_NO,SHOWFLAG,REAL_COLUMN_ID) values ('B1C7DF40-B704-F1CA-E050-007F010043F1','CHB_ASSET_INFO','ACCT_MODE11','*利息结算方式','','163','H','ACCT_MODE');</v>
      </c>
    </row>
    <row r="166" spans="1:10" x14ac:dyDescent="0.15">
      <c r="A166" s="2">
        <v>164</v>
      </c>
      <c r="B166" s="2" t="s">
        <v>989</v>
      </c>
      <c r="C166" s="2" t="s">
        <v>802</v>
      </c>
      <c r="D166" s="2" t="s">
        <v>582</v>
      </c>
      <c r="E166" s="2" t="s">
        <v>583</v>
      </c>
      <c r="F166" s="2"/>
      <c r="G166" s="2">
        <v>164</v>
      </c>
      <c r="H166" s="2" t="s">
        <v>330</v>
      </c>
      <c r="I166" s="2" t="s">
        <v>203</v>
      </c>
      <c r="J166" s="5" t="str">
        <f t="shared" si="2"/>
        <v>insert into CHB_INFOMGR_RESULT_CONFIG (RESULT_ID,MGRTABLE_ID,COLUMN_ID,COLUMN_NAME,DICTCODE,ORDER_NO,SHOWFLAG,REAL_COLUMN_ID) values ('B1C7DF40-B705-F1CA-E050-007F010043F1','CHB_ASSET_INFO','SPECIAL_CMT111','*含权情况说明','','164','H','SPECIAL_CMT1');</v>
      </c>
    </row>
    <row r="167" spans="1:10" x14ac:dyDescent="0.15">
      <c r="A167" s="2">
        <v>165</v>
      </c>
      <c r="B167" s="2" t="s">
        <v>990</v>
      </c>
      <c r="C167" s="2" t="s">
        <v>802</v>
      </c>
      <c r="D167" s="2" t="s">
        <v>584</v>
      </c>
      <c r="E167" s="2" t="s">
        <v>585</v>
      </c>
      <c r="F167" s="2"/>
      <c r="G167" s="2">
        <v>165</v>
      </c>
      <c r="H167" s="2" t="s">
        <v>330</v>
      </c>
      <c r="I167" s="2" t="s">
        <v>204</v>
      </c>
      <c r="J167" s="5" t="str">
        <f t="shared" si="2"/>
        <v>insert into CHB_INFOMGR_RESULT_CONFIG (RESULT_ID,MGRTABLE_ID,COLUMN_ID,COLUMN_NAME,DICTCODE,ORDER_NO,SHOWFLAG,REAL_COLUMN_ID) values ('B1C7DF40-B706-F1CA-E050-007F010043F1','CHB_ASSET_INFO','MAX_YIELD11','*结构性票据最高收益率%','','165','H','MAX_YIELD');</v>
      </c>
    </row>
    <row r="168" spans="1:10" x14ac:dyDescent="0.15">
      <c r="A168" s="2">
        <v>166</v>
      </c>
      <c r="B168" s="2" t="s">
        <v>991</v>
      </c>
      <c r="C168" s="2" t="s">
        <v>802</v>
      </c>
      <c r="D168" s="2" t="s">
        <v>586</v>
      </c>
      <c r="E168" s="2" t="s">
        <v>587</v>
      </c>
      <c r="F168" s="2"/>
      <c r="G168" s="2">
        <v>166</v>
      </c>
      <c r="H168" s="2" t="s">
        <v>330</v>
      </c>
      <c r="I168" s="2" t="s">
        <v>205</v>
      </c>
      <c r="J168" s="5" t="str">
        <f t="shared" si="2"/>
        <v>insert into CHB_INFOMGR_RESULT_CONFIG (RESULT_ID,MGRTABLE_ID,COLUMN_ID,COLUMN_NAME,DICTCODE,ORDER_NO,SHOWFLAG,REAL_COLUMN_ID) values ('B1C7DF40-B707-F1CA-E050-007F010043F1','CHB_ASSET_INFO','MIN_YIELD11','结构性票据最低收益率%','','166','H','MIN_YIELD');</v>
      </c>
    </row>
    <row r="169" spans="1:10" x14ac:dyDescent="0.15">
      <c r="A169" s="2">
        <v>167</v>
      </c>
      <c r="B169" s="2" t="s">
        <v>992</v>
      </c>
      <c r="C169" s="2" t="s">
        <v>802</v>
      </c>
      <c r="D169" s="2" t="s">
        <v>588</v>
      </c>
      <c r="E169" s="2" t="s">
        <v>276</v>
      </c>
      <c r="F169" s="2"/>
      <c r="G169" s="2">
        <v>167</v>
      </c>
      <c r="H169" s="2" t="s">
        <v>330</v>
      </c>
      <c r="I169" s="2" t="s">
        <v>206</v>
      </c>
      <c r="J169" s="5" t="str">
        <f t="shared" si="2"/>
        <v>insert into CHB_INFOMGR_RESULT_CONFIG (RESULT_ID,MGRTABLE_ID,COLUMN_ID,COLUMN_NAME,DICTCODE,ORDER_NO,SHOWFLAG,REAL_COLUMN_ID) values ('B1C7DF40-B708-F1CA-E050-007F010043F1','CHB_ASSET_INFO','BASIC_PRICE11','挂钩标的资产基准价格','','167','H','BASIC_PRICE');</v>
      </c>
    </row>
    <row r="170" spans="1:10" x14ac:dyDescent="0.15">
      <c r="A170" s="2">
        <v>168</v>
      </c>
      <c r="B170" s="2" t="s">
        <v>993</v>
      </c>
      <c r="C170" s="2" t="s">
        <v>802</v>
      </c>
      <c r="D170" s="2" t="s">
        <v>589</v>
      </c>
      <c r="E170" s="2" t="s">
        <v>590</v>
      </c>
      <c r="F170" s="2"/>
      <c r="G170" s="2">
        <v>168</v>
      </c>
      <c r="H170" s="2" t="s">
        <v>330</v>
      </c>
      <c r="I170" s="2" t="s">
        <v>207</v>
      </c>
      <c r="J170" s="5" t="str">
        <f t="shared" si="2"/>
        <v>insert into CHB_INFOMGR_RESULT_CONFIG (RESULT_ID,MGRTABLE_ID,COLUMN_ID,COLUMN_NAME,DICTCODE,ORDER_NO,SHOWFLAG,REAL_COLUMN_ID) values ('B1C7DF40-B709-F1CA-E050-007F010043F1','CHB_ASSET_INFO','REG_DATE_PRICE11','*挂钩标的资产登记日价格','','168','H','REG_DATE_PRICE');</v>
      </c>
    </row>
    <row r="171" spans="1:10" x14ac:dyDescent="0.15">
      <c r="A171" s="2">
        <v>169</v>
      </c>
      <c r="B171" s="2" t="s">
        <v>994</v>
      </c>
      <c r="C171" s="2" t="s">
        <v>802</v>
      </c>
      <c r="D171" s="2" t="s">
        <v>591</v>
      </c>
      <c r="E171" s="2" t="s">
        <v>592</v>
      </c>
      <c r="F171" s="2"/>
      <c r="G171" s="2">
        <v>169</v>
      </c>
      <c r="H171" s="2" t="s">
        <v>330</v>
      </c>
      <c r="I171" s="2" t="s">
        <v>208</v>
      </c>
      <c r="J171" s="5" t="str">
        <f t="shared" si="2"/>
        <v>insert into CHB_INFOMGR_RESULT_CONFIG (RESULT_ID,MGRTABLE_ID,COLUMN_ID,COLUMN_NAME,DICTCODE,ORDER_NO,SHOWFLAG,REAL_COLUMN_ID) values ('B1C7DF40-B70A-F1CA-E050-007F010043F1','CHB_ASSET_INFO','TRADE_FEE11','*交易费','','169','H','TRADE_FEE');</v>
      </c>
    </row>
    <row r="172" spans="1:10" x14ac:dyDescent="0.15">
      <c r="A172" s="2">
        <v>170</v>
      </c>
      <c r="B172" s="2" t="s">
        <v>995</v>
      </c>
      <c r="C172" s="2" t="s">
        <v>802</v>
      </c>
      <c r="D172" s="2" t="s">
        <v>593</v>
      </c>
      <c r="E172" s="2" t="s">
        <v>594</v>
      </c>
      <c r="F172" s="2"/>
      <c r="G172" s="2">
        <v>170</v>
      </c>
      <c r="H172" s="2" t="s">
        <v>330</v>
      </c>
      <c r="I172" s="2" t="s">
        <v>104</v>
      </c>
      <c r="J172" s="5" t="str">
        <f t="shared" si="2"/>
        <v>insert into CHB_INFOMGR_RESULT_CONFIG (RESULT_ID,MGRTABLE_ID,COLUMN_ID,COLUMN_NAME,DICTCODE,ORDER_NO,SHOWFLAG,REAL_COLUMN_ID) values ('B1C7DF40-B70B-F1CA-E050-007F010043F1','CHB_ASSET_INFO','ASSET_NAME12','*资管计划名称','','170','H','ASSET_NAME');</v>
      </c>
    </row>
    <row r="173" spans="1:10" x14ac:dyDescent="0.15">
      <c r="A173" s="2">
        <v>171</v>
      </c>
      <c r="B173" s="2" t="s">
        <v>996</v>
      </c>
      <c r="C173" s="2" t="s">
        <v>802</v>
      </c>
      <c r="D173" s="2" t="s">
        <v>595</v>
      </c>
      <c r="E173" s="2" t="s">
        <v>277</v>
      </c>
      <c r="F173" s="2" t="s">
        <v>301</v>
      </c>
      <c r="G173" s="2">
        <v>171</v>
      </c>
      <c r="H173" s="2" t="s">
        <v>330</v>
      </c>
      <c r="I173" s="2" t="s">
        <v>209</v>
      </c>
      <c r="J173" s="5" t="str">
        <f t="shared" si="2"/>
        <v>insert into CHB_INFOMGR_RESULT_CONFIG (RESULT_ID,MGRTABLE_ID,COLUMN_ID,COLUMN_NAME,DICTCODE,ORDER_NO,SHOWFLAG,REAL_COLUMN_ID) values ('B1C7DF40-B70C-F1CA-E050-007F010043F1','CHB_ASSET_INFO','FINANCIAL_COMISSUE12','是否由金融资产投资公司发行','SVR_YES_OR_NO','171','H','FINANCIAL_COMISSUE');</v>
      </c>
    </row>
    <row r="174" spans="1:10" x14ac:dyDescent="0.15">
      <c r="A174" s="2">
        <v>172</v>
      </c>
      <c r="B174" s="2" t="s">
        <v>997</v>
      </c>
      <c r="C174" s="2" t="s">
        <v>802</v>
      </c>
      <c r="D174" s="2" t="s">
        <v>596</v>
      </c>
      <c r="E174" s="2" t="s">
        <v>597</v>
      </c>
      <c r="F174" s="2"/>
      <c r="G174" s="2">
        <v>172</v>
      </c>
      <c r="H174" s="2" t="s">
        <v>330</v>
      </c>
      <c r="I174" s="2" t="s">
        <v>210</v>
      </c>
      <c r="J174" s="5" t="str">
        <f t="shared" si="2"/>
        <v>insert into CHB_INFOMGR_RESULT_CONFIG (RESULT_ID,MGRTABLE_ID,COLUMN_ID,COLUMN_NAME,DICTCODE,ORDER_NO,SHOWFLAG,REAL_COLUMN_ID) values ('B1C7DF40-B70D-F1CA-E050-007F010043F1','CHB_ASSET_INFO','PARTY_CODE12','*资管计划发起人机构编码','','172','H','PARTY_CODE');</v>
      </c>
    </row>
    <row r="175" spans="1:10" x14ac:dyDescent="0.15">
      <c r="A175" s="2">
        <v>173</v>
      </c>
      <c r="B175" s="2" t="s">
        <v>998</v>
      </c>
      <c r="C175" s="2" t="s">
        <v>802</v>
      </c>
      <c r="D175" s="2" t="s">
        <v>598</v>
      </c>
      <c r="E175" s="2" t="s">
        <v>278</v>
      </c>
      <c r="F175" s="2"/>
      <c r="G175" s="2">
        <v>173</v>
      </c>
      <c r="H175" s="2" t="s">
        <v>330</v>
      </c>
      <c r="I175" s="2" t="s">
        <v>211</v>
      </c>
      <c r="J175" s="5" t="str">
        <f t="shared" si="2"/>
        <v>insert into CHB_INFOMGR_RESULT_CONFIG (RESULT_ID,MGRTABLE_ID,COLUMN_ID,COLUMN_NAME,DICTCODE,ORDER_NO,SHOWFLAG,REAL_COLUMN_ID) values ('B1C7DF40-B70E-F1CA-E050-007F010043F1','CHB_ASSET_INFO','CHECK_CODE12','资管计划登记编码','','173','H','CHECK_CODE');</v>
      </c>
    </row>
    <row r="176" spans="1:10" x14ac:dyDescent="0.15">
      <c r="A176" s="2">
        <v>174</v>
      </c>
      <c r="B176" s="2" t="s">
        <v>999</v>
      </c>
      <c r="C176" s="2" t="s">
        <v>802</v>
      </c>
      <c r="D176" s="2" t="s">
        <v>599</v>
      </c>
      <c r="E176" s="2" t="s">
        <v>600</v>
      </c>
      <c r="F176" s="2"/>
      <c r="G176" s="2">
        <v>174</v>
      </c>
      <c r="H176" s="2" t="s">
        <v>330</v>
      </c>
      <c r="I176" s="2" t="s">
        <v>22</v>
      </c>
      <c r="J176" s="5" t="str">
        <f t="shared" si="2"/>
        <v>insert into CHB_INFOMGR_RESULT_CONFIG (RESULT_ID,MGRTABLE_ID,COLUMN_ID,COLUMN_NAME,DICTCODE,ORDER_NO,SHOWFLAG,REAL_COLUMN_ID) values ('B1C7DF40-B70F-F1CA-E050-007F010043F1','CHB_ASSET_INFO','MANAGER_ID12','*管理人','','174','H','MANAGER_ID');</v>
      </c>
    </row>
    <row r="177" spans="1:10" x14ac:dyDescent="0.15">
      <c r="A177" s="2">
        <v>175</v>
      </c>
      <c r="B177" s="2" t="s">
        <v>1000</v>
      </c>
      <c r="C177" s="2" t="s">
        <v>802</v>
      </c>
      <c r="D177" s="2" t="s">
        <v>601</v>
      </c>
      <c r="E177" s="2" t="s">
        <v>602</v>
      </c>
      <c r="F177" s="2"/>
      <c r="G177" s="2">
        <v>175</v>
      </c>
      <c r="H177" s="2" t="s">
        <v>330</v>
      </c>
      <c r="I177" s="2" t="s">
        <v>212</v>
      </c>
      <c r="J177" s="5" t="str">
        <f t="shared" si="2"/>
        <v>insert into CHB_INFOMGR_RESULT_CONFIG (RESULT_ID,MGRTABLE_ID,COLUMN_ID,COLUMN_NAME,DICTCODE,ORDER_NO,SHOWFLAG,REAL_COLUMN_ID) values ('B1C7DF40-B710-F1CA-E050-007F010043F1','CHB_ASSET_INFO','TRUSTEE_ID12','*托管人','','175','H','TRUSTEE_ID');</v>
      </c>
    </row>
    <row r="178" spans="1:10" x14ac:dyDescent="0.15">
      <c r="A178" s="2">
        <v>176</v>
      </c>
      <c r="B178" s="2" t="s">
        <v>1001</v>
      </c>
      <c r="C178" s="2" t="s">
        <v>802</v>
      </c>
      <c r="D178" s="2" t="s">
        <v>603</v>
      </c>
      <c r="E178" s="2" t="s">
        <v>389</v>
      </c>
      <c r="F178" s="2"/>
      <c r="G178" s="2">
        <v>176</v>
      </c>
      <c r="H178" s="2" t="s">
        <v>330</v>
      </c>
      <c r="I178" s="2" t="s">
        <v>97</v>
      </c>
      <c r="J178" s="5" t="str">
        <f t="shared" si="2"/>
        <v>insert into CHB_INFOMGR_RESULT_CONFIG (RESULT_ID,MGRTABLE_ID,COLUMN_ID,COLUMN_NAME,DICTCODE,ORDER_NO,SHOWFLAG,REAL_COLUMN_ID) values ('B1C7DF40-B711-F1CA-E050-007F010043F1','CHB_ASSET_INFO','AMT12','*金额','','176','H','AMT');</v>
      </c>
    </row>
    <row r="179" spans="1:10" x14ac:dyDescent="0.15">
      <c r="A179" s="2">
        <v>177</v>
      </c>
      <c r="B179" s="2" t="s">
        <v>1002</v>
      </c>
      <c r="C179" s="2" t="s">
        <v>802</v>
      </c>
      <c r="D179" s="2" t="s">
        <v>604</v>
      </c>
      <c r="E179" s="2" t="s">
        <v>605</v>
      </c>
      <c r="F179" s="2" t="s">
        <v>323</v>
      </c>
      <c r="G179" s="2">
        <v>177</v>
      </c>
      <c r="H179" s="2" t="s">
        <v>330</v>
      </c>
      <c r="I179" s="2" t="s">
        <v>213</v>
      </c>
      <c r="J179" s="5" t="str">
        <f t="shared" si="2"/>
        <v>insert into CHB_INFOMGR_RESULT_CONFIG (RESULT_ID,MGRTABLE_ID,COLUMN_ID,COLUMN_NAME,DICTCODE,ORDER_NO,SHOWFLAG,REAL_COLUMN_ID) values ('B1C7DF40-B712-F1CA-E050-007F010043F1','CHB_ASSET_INFO','TRU_ACT_TYPE12','*资金实际投向','SVR_TRU_ACT_TYPE','177','H','TRU_ACT_TYPE');</v>
      </c>
    </row>
    <row r="180" spans="1:10" x14ac:dyDescent="0.15">
      <c r="A180" s="2">
        <v>178</v>
      </c>
      <c r="B180" s="2" t="s">
        <v>1003</v>
      </c>
      <c r="C180" s="2" t="s">
        <v>802</v>
      </c>
      <c r="D180" s="2" t="s">
        <v>606</v>
      </c>
      <c r="E180" s="2" t="s">
        <v>607</v>
      </c>
      <c r="F180" s="2"/>
      <c r="G180" s="2">
        <v>178</v>
      </c>
      <c r="H180" s="2" t="s">
        <v>330</v>
      </c>
      <c r="I180" s="2" t="s">
        <v>67</v>
      </c>
      <c r="J180" s="5" t="str">
        <f t="shared" si="2"/>
        <v>insert into CHB_INFOMGR_RESULT_CONFIG (RESULT_ID,MGRTABLE_ID,COLUMN_ID,COLUMN_NAME,DICTCODE,ORDER_NO,SHOWFLAG,REAL_COLUMN_ID) values ('B1C7DF40-B713-F1CA-E050-007F010043F1','CHB_ASSET_INFO','INVEST_TYPE12','*资金运用方式','','178','H','INVEST_TYPE');</v>
      </c>
    </row>
    <row r="181" spans="1:10" x14ac:dyDescent="0.15">
      <c r="A181" s="2">
        <v>179</v>
      </c>
      <c r="B181" s="2" t="s">
        <v>1004</v>
      </c>
      <c r="C181" s="2" t="s">
        <v>802</v>
      </c>
      <c r="D181" s="2" t="s">
        <v>608</v>
      </c>
      <c r="E181" s="2" t="s">
        <v>609</v>
      </c>
      <c r="F181" s="2" t="s">
        <v>296</v>
      </c>
      <c r="G181" s="2">
        <v>179</v>
      </c>
      <c r="H181" s="2" t="s">
        <v>330</v>
      </c>
      <c r="I181" s="2" t="s">
        <v>214</v>
      </c>
      <c r="J181" s="5" t="str">
        <f t="shared" si="2"/>
        <v>insert into CHB_INFOMGR_RESULT_CONFIG (RESULT_ID,MGRTABLE_ID,COLUMN_ID,COLUMN_NAME,DICTCODE,ORDER_NO,SHOWFLAG,REAL_COLUMN_ID) values ('B1C7DF40-B714-F1CA-E050-007F010043F1','CHB_ASSET_INFO','CAP_USE_INDU_LEVEL212','*资金运用行业','INSTITUTION_INDUSTRY_SECOND_LEVEL','179','H','CAP_USE_INDU_LEVEL2');</v>
      </c>
    </row>
    <row r="182" spans="1:10" x14ac:dyDescent="0.15">
      <c r="A182" s="2">
        <v>180</v>
      </c>
      <c r="B182" s="2" t="s">
        <v>1005</v>
      </c>
      <c r="C182" s="2" t="s">
        <v>802</v>
      </c>
      <c r="D182" s="2" t="s">
        <v>610</v>
      </c>
      <c r="E182" s="2" t="s">
        <v>611</v>
      </c>
      <c r="F182" s="2"/>
      <c r="G182" s="2">
        <v>180</v>
      </c>
      <c r="H182" s="2" t="s">
        <v>330</v>
      </c>
      <c r="I182" s="2" t="s">
        <v>215</v>
      </c>
      <c r="J182" s="5" t="str">
        <f t="shared" si="2"/>
        <v>insert into CHB_INFOMGR_RESULT_CONFIG (RESULT_ID,MGRTABLE_ID,COLUMN_ID,COLUMN_NAME,DICTCODE,ORDER_NO,SHOWFLAG,REAL_COLUMN_ID) values ('B1C7DF40-B715-F1CA-E050-007F010043F1','CHB_ASSET_INFO','PLAN_SDATE12','*资管计划成立日期','','180','H','PLAN_SDATE');</v>
      </c>
    </row>
    <row r="183" spans="1:10" x14ac:dyDescent="0.15">
      <c r="A183" s="2">
        <v>181</v>
      </c>
      <c r="B183" s="2" t="s">
        <v>1006</v>
      </c>
      <c r="C183" s="2" t="s">
        <v>802</v>
      </c>
      <c r="D183" s="2" t="s">
        <v>612</v>
      </c>
      <c r="E183" s="2" t="s">
        <v>613</v>
      </c>
      <c r="F183" s="2"/>
      <c r="G183" s="2">
        <v>181</v>
      </c>
      <c r="H183" s="2" t="s">
        <v>330</v>
      </c>
      <c r="I183" s="2" t="s">
        <v>216</v>
      </c>
      <c r="J183" s="5" t="str">
        <f t="shared" si="2"/>
        <v>insert into CHB_INFOMGR_RESULT_CONFIG (RESULT_ID,MGRTABLE_ID,COLUMN_ID,COLUMN_NAME,DICTCODE,ORDER_NO,SHOWFLAG,REAL_COLUMN_ID) values ('B1C7DF40-B716-F1CA-E050-007F010043F1','CHB_ASSET_INFO','PLAN_EDATE12','*资管计划终止日期','','181','H','PLAN_EDATE');</v>
      </c>
    </row>
    <row r="184" spans="1:10" x14ac:dyDescent="0.15">
      <c r="A184" s="2">
        <v>182</v>
      </c>
      <c r="B184" s="2" t="s">
        <v>1007</v>
      </c>
      <c r="C184" s="2" t="s">
        <v>802</v>
      </c>
      <c r="D184" s="2" t="s">
        <v>614</v>
      </c>
      <c r="E184" s="2" t="s">
        <v>615</v>
      </c>
      <c r="F184" s="2" t="s">
        <v>324</v>
      </c>
      <c r="G184" s="2">
        <v>182</v>
      </c>
      <c r="H184" s="2" t="s">
        <v>330</v>
      </c>
      <c r="I184" s="2" t="s">
        <v>217</v>
      </c>
      <c r="J184" s="5" t="str">
        <f t="shared" si="2"/>
        <v>insert into CHB_INFOMGR_RESULT_CONFIG (RESULT_ID,MGRTABLE_ID,COLUMN_ID,COLUMN_NAME,DICTCODE,ORDER_NO,SHOWFLAG,REAL_COLUMN_ID) values ('B1C7DF40-B717-F1CA-E050-007F010043F1','CHB_ASSET_INFO','PRO_PROPERTY12','*资管计划属性','SVR_PRO_PROPERTY','182','H','PRO_PROPERTY');</v>
      </c>
    </row>
    <row r="185" spans="1:10" x14ac:dyDescent="0.15">
      <c r="A185" s="2">
        <v>183</v>
      </c>
      <c r="B185" s="2" t="s">
        <v>1008</v>
      </c>
      <c r="C185" s="2" t="s">
        <v>802</v>
      </c>
      <c r="D185" s="2" t="s">
        <v>616</v>
      </c>
      <c r="E185" s="2" t="s">
        <v>395</v>
      </c>
      <c r="F185" s="2" t="s">
        <v>301</v>
      </c>
      <c r="G185" s="2">
        <v>183</v>
      </c>
      <c r="H185" s="2" t="s">
        <v>330</v>
      </c>
      <c r="I185" s="2" t="s">
        <v>121</v>
      </c>
      <c r="J185" s="5" t="str">
        <f t="shared" si="2"/>
        <v>insert into CHB_INFOMGR_RESULT_CONFIG (RESULT_ID,MGRTABLE_ID,COLUMN_ID,COLUMN_NAME,DICTCODE,ORDER_NO,SHOWFLAG,REAL_COLUMN_ID) values ('B1C7DF40-B718-F1CA-E050-007F010043F1','CHB_ASSET_INFO','RATE_FLAG12','*是否有预期收益率','SVR_YES_OR_NO','183','H','RATE_FLAG');</v>
      </c>
    </row>
    <row r="186" spans="1:10" x14ac:dyDescent="0.15">
      <c r="A186" s="2">
        <v>184</v>
      </c>
      <c r="B186" s="2" t="s">
        <v>1009</v>
      </c>
      <c r="C186" s="2" t="s">
        <v>802</v>
      </c>
      <c r="D186" s="2" t="s">
        <v>617</v>
      </c>
      <c r="E186" s="2" t="s">
        <v>618</v>
      </c>
      <c r="F186" s="2"/>
      <c r="G186" s="2">
        <v>184</v>
      </c>
      <c r="H186" s="2" t="s">
        <v>330</v>
      </c>
      <c r="I186" s="2" t="s">
        <v>218</v>
      </c>
      <c r="J186" s="5" t="str">
        <f t="shared" si="2"/>
        <v>insert into CHB_INFOMGR_RESULT_CONFIG (RESULT_ID,MGRTABLE_ID,COLUMN_ID,COLUMN_NAME,DICTCODE,ORDER_NO,SHOWFLAG,REAL_COLUMN_ID) values ('B1C7DF40-B719-F1CA-E050-007F010043F1','CHB_ASSET_INFO','MAX_RATE12','预期最高收益率%','','184','H','MAX_RATE');</v>
      </c>
    </row>
    <row r="187" spans="1:10" x14ac:dyDescent="0.15">
      <c r="A187" s="2">
        <v>185</v>
      </c>
      <c r="B187" s="2" t="s">
        <v>1010</v>
      </c>
      <c r="C187" s="2" t="s">
        <v>802</v>
      </c>
      <c r="D187" s="2" t="s">
        <v>619</v>
      </c>
      <c r="E187" s="2" t="s">
        <v>620</v>
      </c>
      <c r="F187" s="2"/>
      <c r="G187" s="2">
        <v>185</v>
      </c>
      <c r="H187" s="2" t="s">
        <v>330</v>
      </c>
      <c r="I187" s="2" t="s">
        <v>219</v>
      </c>
      <c r="J187" s="5" t="str">
        <f t="shared" si="2"/>
        <v>insert into CHB_INFOMGR_RESULT_CONFIG (RESULT_ID,MGRTABLE_ID,COLUMN_ID,COLUMN_NAME,DICTCODE,ORDER_NO,SHOWFLAG,REAL_COLUMN_ID) values ('B1C7DF40-B71A-F1CA-E050-007F010043F1','CHB_ASSET_INFO','MIN_RATE12','预期最低收益率%','','185','H','MIN_RATE');</v>
      </c>
    </row>
    <row r="188" spans="1:10" x14ac:dyDescent="0.15">
      <c r="A188" s="2">
        <v>186</v>
      </c>
      <c r="B188" s="2" t="s">
        <v>1011</v>
      </c>
      <c r="C188" s="2" t="s">
        <v>802</v>
      </c>
      <c r="D188" s="2" t="s">
        <v>621</v>
      </c>
      <c r="E188" s="2" t="s">
        <v>622</v>
      </c>
      <c r="F188" s="2" t="s">
        <v>325</v>
      </c>
      <c r="G188" s="2">
        <v>186</v>
      </c>
      <c r="H188" s="2" t="s">
        <v>330</v>
      </c>
      <c r="I188" s="2" t="s">
        <v>220</v>
      </c>
      <c r="J188" s="5" t="str">
        <f t="shared" si="2"/>
        <v>insert into CHB_INFOMGR_RESULT_CONFIG (RESULT_ID,MGRTABLE_ID,COLUMN_ID,COLUMN_NAME,DICTCODE,ORDER_NO,SHOWFLAG,REAL_COLUMN_ID) values ('B1C7DF40-B71B-F1CA-E050-007F010043F1','CHB_ASSET_INFO','BUY_STRUCT12','*购买结构','SVR_BUY_STRUCT','186','H','BUY_STRUCT');</v>
      </c>
    </row>
    <row r="189" spans="1:10" x14ac:dyDescent="0.15">
      <c r="A189" s="2">
        <v>187</v>
      </c>
      <c r="B189" s="2" t="s">
        <v>1012</v>
      </c>
      <c r="C189" s="2" t="s">
        <v>802</v>
      </c>
      <c r="D189" s="2" t="s">
        <v>623</v>
      </c>
      <c r="E189" s="2" t="s">
        <v>624</v>
      </c>
      <c r="F189" s="2" t="s">
        <v>326</v>
      </c>
      <c r="G189" s="2">
        <v>187</v>
      </c>
      <c r="H189" s="2" t="s">
        <v>330</v>
      </c>
      <c r="I189" s="2" t="s">
        <v>86</v>
      </c>
      <c r="J189" s="5" t="str">
        <f t="shared" si="2"/>
        <v>insert into CHB_INFOMGR_RESULT_CONFIG (RESULT_ID,MGRTABLE_ID,COLUMN_ID,COLUMN_NAME,DICTCODE,ORDER_NO,SHOWFLAG,REAL_COLUMN_ID) values ('B1C7DF40-B71C-F1CA-E050-007F010043F1','CHB_ASSET_INFO','MANAGE_TYPE12','*管理方式','SVR_MANAGE_STYLE','187','H','MANAGE_TYPE');</v>
      </c>
    </row>
    <row r="190" spans="1:10" x14ac:dyDescent="0.15">
      <c r="A190" s="2">
        <v>188</v>
      </c>
      <c r="B190" s="2" t="s">
        <v>1013</v>
      </c>
      <c r="C190" s="2" t="s">
        <v>802</v>
      </c>
      <c r="D190" s="2" t="s">
        <v>625</v>
      </c>
      <c r="E190" s="2" t="s">
        <v>626</v>
      </c>
      <c r="F190" s="2"/>
      <c r="G190" s="2">
        <v>188</v>
      </c>
      <c r="H190" s="2" t="s">
        <v>330</v>
      </c>
      <c r="I190" s="2" t="s">
        <v>221</v>
      </c>
      <c r="J190" s="5" t="str">
        <f t="shared" si="2"/>
        <v>insert into CHB_INFOMGR_RESULT_CONFIG (RESULT_ID,MGRTABLE_ID,COLUMN_ID,COLUMN_NAME,DICTCODE,ORDER_NO,SHOWFLAG,REAL_COLUMN_ID) values ('B1C7DF40-B71D-F1CA-E050-007F010043F1','CHB_ASSET_INFO','MGR_FEE_RATE12','*管理费率%','','188','H','MGR_FEE_RATE');</v>
      </c>
    </row>
    <row r="191" spans="1:10" x14ac:dyDescent="0.15">
      <c r="A191" s="2">
        <v>189</v>
      </c>
      <c r="B191" s="2" t="s">
        <v>1014</v>
      </c>
      <c r="C191" s="2" t="s">
        <v>802</v>
      </c>
      <c r="D191" s="2" t="s">
        <v>627</v>
      </c>
      <c r="E191" s="2" t="s">
        <v>628</v>
      </c>
      <c r="F191" s="2"/>
      <c r="G191" s="2">
        <v>189</v>
      </c>
      <c r="H191" s="2" t="s">
        <v>330</v>
      </c>
      <c r="I191" s="2" t="s">
        <v>46</v>
      </c>
      <c r="J191" s="5" t="str">
        <f t="shared" si="2"/>
        <v>insert into CHB_INFOMGR_RESULT_CONFIG (RESULT_ID,MGRTABLE_ID,COLUMN_ID,COLUMN_NAME,DICTCODE,ORDER_NO,SHOWFLAG,REAL_COLUMN_ID) values ('B1C7DF40-B71E-F1CA-E050-007F010043F1','CHB_ASSET_INFO','TRU_FEE_RATE12','*托管费率%','','189','H','TRU_FEE_RATE');</v>
      </c>
    </row>
    <row r="192" spans="1:10" x14ac:dyDescent="0.15">
      <c r="A192" s="2">
        <v>190</v>
      </c>
      <c r="B192" s="2" t="s">
        <v>1015</v>
      </c>
      <c r="C192" s="2" t="s">
        <v>802</v>
      </c>
      <c r="D192" s="2" t="s">
        <v>629</v>
      </c>
      <c r="E192" s="2" t="s">
        <v>630</v>
      </c>
      <c r="F192" s="2"/>
      <c r="G192" s="2">
        <v>190</v>
      </c>
      <c r="H192" s="2" t="s">
        <v>330</v>
      </c>
      <c r="I192" s="2" t="s">
        <v>222</v>
      </c>
      <c r="J192" s="5" t="str">
        <f t="shared" si="2"/>
        <v>insert into CHB_INFOMGR_RESULT_CONFIG (RESULT_ID,MGRTABLE_ID,COLUMN_ID,COLUMN_NAME,DICTCODE,ORDER_NO,SHOWFLAG,REAL_COLUMN_ID) values ('B1C7DF40-B71F-F1CA-E050-007F010043F1','CHB_ASSET_INFO','TRADE_FEE_RATE12','*交易相关合计费率%','','190','H','TRADE_FEE_RATE');</v>
      </c>
    </row>
    <row r="193" spans="1:10" x14ac:dyDescent="0.15">
      <c r="A193" s="2">
        <v>191</v>
      </c>
      <c r="B193" s="2" t="s">
        <v>1016</v>
      </c>
      <c r="C193" s="2" t="s">
        <v>802</v>
      </c>
      <c r="D193" s="2" t="s">
        <v>631</v>
      </c>
      <c r="E193" s="2" t="s">
        <v>632</v>
      </c>
      <c r="F193" s="2"/>
      <c r="G193" s="2">
        <v>191</v>
      </c>
      <c r="H193" s="2" t="s">
        <v>330</v>
      </c>
      <c r="I193" s="2" t="s">
        <v>223</v>
      </c>
      <c r="J193" s="5" t="str">
        <f t="shared" si="2"/>
        <v>insert into CHB_INFOMGR_RESULT_CONFIG (RESULT_ID,MGRTABLE_ID,COLUMN_ID,COLUMN_NAME,DICTCODE,ORDER_NO,SHOWFLAG,REAL_COLUMN_ID) values ('B1C7DF40-B720-F1CA-E050-007F010043F1','CHB_ASSET_INFO','AGENCY_FEE_RATE12','*中介服务机构合计费率%','','191','H','AGENCY_FEE_RATE');</v>
      </c>
    </row>
    <row r="194" spans="1:10" x14ac:dyDescent="0.15">
      <c r="A194" s="2">
        <v>192</v>
      </c>
      <c r="B194" s="2" t="s">
        <v>1017</v>
      </c>
      <c r="C194" s="2" t="s">
        <v>802</v>
      </c>
      <c r="D194" s="2" t="s">
        <v>633</v>
      </c>
      <c r="E194" s="2" t="s">
        <v>634</v>
      </c>
      <c r="F194" s="2"/>
      <c r="G194" s="2">
        <v>192</v>
      </c>
      <c r="H194" s="2" t="s">
        <v>330</v>
      </c>
      <c r="I194" s="2" t="s">
        <v>224</v>
      </c>
      <c r="J194" s="5" t="str">
        <f t="shared" si="2"/>
        <v>insert into CHB_INFOMGR_RESULT_CONFIG (RESULT_ID,MGRTABLE_ID,COLUMN_ID,COLUMN_NAME,DICTCODE,ORDER_NO,SHOWFLAG,REAL_COLUMN_ID) values ('B1C7DF40-B721-F1CA-E050-007F010043F1','CHB_ASSET_INFO','OTHER_FEE_RATE12','*其他合计费率%','','192','H','OTHER_FEE_RATE');</v>
      </c>
    </row>
    <row r="195" spans="1:10" x14ac:dyDescent="0.15">
      <c r="A195" s="2">
        <v>193</v>
      </c>
      <c r="B195" s="2" t="s">
        <v>1018</v>
      </c>
      <c r="C195" s="2" t="s">
        <v>802</v>
      </c>
      <c r="D195" s="2" t="s">
        <v>635</v>
      </c>
      <c r="E195" s="2" t="s">
        <v>527</v>
      </c>
      <c r="F195" s="2" t="s">
        <v>322</v>
      </c>
      <c r="G195" s="2">
        <v>193</v>
      </c>
      <c r="H195" s="2" t="s">
        <v>330</v>
      </c>
      <c r="I195" s="2" t="s">
        <v>196</v>
      </c>
      <c r="J195" s="5" t="str">
        <f t="shared" si="2"/>
        <v>insert into CHB_INFOMGR_RESULT_CONFIG (RESULT_ID,MGRTABLE_ID,COLUMN_ID,COLUMN_NAME,DICTCODE,ORDER_NO,SHOWFLAG,REAL_COLUMN_ID) values ('B1C7DF40-B722-F1CA-E050-007F010043F1','CHB_ASSET_INFO','COUNTRY_AREA13','*所属国家或地区','SVR_COUNTRY_AREA','193','H','COUNTRY_AREA');</v>
      </c>
    </row>
    <row r="196" spans="1:10" x14ac:dyDescent="0.15">
      <c r="A196" s="2">
        <v>194</v>
      </c>
      <c r="B196" s="2" t="s">
        <v>1019</v>
      </c>
      <c r="C196" s="2" t="s">
        <v>802</v>
      </c>
      <c r="D196" s="2" t="s">
        <v>636</v>
      </c>
      <c r="E196" s="2" t="s">
        <v>354</v>
      </c>
      <c r="F196" s="2"/>
      <c r="G196" s="2">
        <v>194</v>
      </c>
      <c r="H196" s="2" t="s">
        <v>330</v>
      </c>
      <c r="I196" s="2" t="s">
        <v>104</v>
      </c>
      <c r="J196" s="5" t="str">
        <f t="shared" ref="J196:J259" si="3">CONCATENATE("insert into CHB_INFOMGR_RESULT_CONFIG (RESULT_ID,MGRTABLE_ID,COLUMN_ID,COLUMN_NAME,DICTCODE,ORDER_NO,SHOWFLAG,REAL_COLUMN_ID) values ('",B196,"','",C196,"','",D196,"','",E196,"','",F196,"','",G196,"','",H196,"','",I196,"');")</f>
        <v>insert into CHB_INFOMGR_RESULT_CONFIG (RESULT_ID,MGRTABLE_ID,COLUMN_ID,COLUMN_NAME,DICTCODE,ORDER_NO,SHOWFLAG,REAL_COLUMN_ID) values ('B1C7DF40-B723-F1CA-E050-007F010043F1','CHB_ASSET_INFO','ASSET_NAME13','*名称','','194','H','ASSET_NAME');</v>
      </c>
    </row>
    <row r="197" spans="1:10" x14ac:dyDescent="0.15">
      <c r="A197" s="2">
        <v>195</v>
      </c>
      <c r="B197" s="2" t="s">
        <v>1020</v>
      </c>
      <c r="C197" s="2" t="s">
        <v>802</v>
      </c>
      <c r="D197" s="2" t="s">
        <v>637</v>
      </c>
      <c r="E197" s="2" t="s">
        <v>281</v>
      </c>
      <c r="F197" s="2"/>
      <c r="G197" s="2">
        <v>195</v>
      </c>
      <c r="H197" s="2" t="s">
        <v>330</v>
      </c>
      <c r="I197" s="2" t="s">
        <v>225</v>
      </c>
      <c r="J197" s="5" t="str">
        <f t="shared" si="3"/>
        <v>insert into CHB_INFOMGR_RESULT_CONFIG (RESULT_ID,MGRTABLE_ID,COLUMN_ID,COLUMN_NAME,DICTCODE,ORDER_NO,SHOWFLAG,REAL_COLUMN_ID) values ('B1C7DF40-B724-F1CA-E050-007F010043F1','CHB_ASSET_INFO','TERM_DATE13','期限（天）','','195','H','TERM_DATE');</v>
      </c>
    </row>
    <row r="198" spans="1:10" x14ac:dyDescent="0.15">
      <c r="A198" s="2">
        <v>196</v>
      </c>
      <c r="B198" s="2" t="s">
        <v>1021</v>
      </c>
      <c r="C198" s="2" t="s">
        <v>802</v>
      </c>
      <c r="D198" s="2" t="s">
        <v>638</v>
      </c>
      <c r="E198" s="2" t="s">
        <v>639</v>
      </c>
      <c r="F198" s="2"/>
      <c r="G198" s="2">
        <v>196</v>
      </c>
      <c r="H198" s="2" t="s">
        <v>330</v>
      </c>
      <c r="I198" s="2" t="s">
        <v>226</v>
      </c>
      <c r="J198" s="5" t="str">
        <f t="shared" si="3"/>
        <v>insert into CHB_INFOMGR_RESULT_CONFIG (RESULT_ID,MGRTABLE_ID,COLUMN_ID,COLUMN_NAME,DICTCODE,ORDER_NO,SHOWFLAG,REAL_COLUMN_ID) values ('B1C7DF40-B725-F1CA-E050-007F010043F1','CHB_ASSET_INFO','ASSET_VALUE13','*资产价值','','196','H','ASSET_VALUE');</v>
      </c>
    </row>
    <row r="199" spans="1:10" x14ac:dyDescent="0.15">
      <c r="A199" s="2">
        <v>197</v>
      </c>
      <c r="B199" s="2" t="s">
        <v>1022</v>
      </c>
      <c r="C199" s="2" t="s">
        <v>802</v>
      </c>
      <c r="D199" s="2" t="s">
        <v>640</v>
      </c>
      <c r="E199" s="2" t="s">
        <v>371</v>
      </c>
      <c r="F199" s="2"/>
      <c r="G199" s="2">
        <v>197</v>
      </c>
      <c r="H199" s="2" t="s">
        <v>330</v>
      </c>
      <c r="I199" s="2" t="s">
        <v>98</v>
      </c>
      <c r="J199" s="5" t="str">
        <f t="shared" si="3"/>
        <v>insert into CHB_INFOMGR_RESULT_CONFIG (RESULT_ID,MGRTABLE_ID,COLUMN_ID,COLUMN_NAME,DICTCODE,ORDER_NO,SHOWFLAG,REAL_COLUMN_ID) values ('B1C7DF40-B726-F1CA-E050-007F010043F1','CHB_ASSET_INFO','ASSET_YIELD13','资产收益率%','','197','H','ASSET_YIELD');</v>
      </c>
    </row>
    <row r="200" spans="1:10" x14ac:dyDescent="0.15">
      <c r="A200" s="2">
        <v>198</v>
      </c>
      <c r="B200" s="2" t="s">
        <v>1023</v>
      </c>
      <c r="C200" s="2" t="s">
        <v>802</v>
      </c>
      <c r="D200" s="2" t="s">
        <v>641</v>
      </c>
      <c r="E200" s="2" t="s">
        <v>354</v>
      </c>
      <c r="F200" s="2"/>
      <c r="G200" s="2">
        <v>198</v>
      </c>
      <c r="H200" s="2" t="s">
        <v>330</v>
      </c>
      <c r="I200" s="2" t="s">
        <v>104</v>
      </c>
      <c r="J200" s="5" t="str">
        <f t="shared" si="3"/>
        <v>insert into CHB_INFOMGR_RESULT_CONFIG (RESULT_ID,MGRTABLE_ID,COLUMN_ID,COLUMN_NAME,DICTCODE,ORDER_NO,SHOWFLAG,REAL_COLUMN_ID) values ('B1C7DF40-B727-F1CA-E050-007F010043F1','CHB_ASSET_INFO','ASSET_NAME14','*名称','','198','H','ASSET_NAME');</v>
      </c>
    </row>
    <row r="201" spans="1:10" x14ac:dyDescent="0.15">
      <c r="A201" s="2">
        <v>199</v>
      </c>
      <c r="B201" s="2" t="s">
        <v>1024</v>
      </c>
      <c r="C201" s="2" t="s">
        <v>802</v>
      </c>
      <c r="D201" s="2" t="s">
        <v>642</v>
      </c>
      <c r="E201" s="2" t="s">
        <v>643</v>
      </c>
      <c r="F201" s="2" t="s">
        <v>329</v>
      </c>
      <c r="G201" s="2">
        <v>199</v>
      </c>
      <c r="H201" s="2" t="s">
        <v>330</v>
      </c>
      <c r="I201" s="2" t="s">
        <v>644</v>
      </c>
      <c r="J201" s="5" t="str">
        <f t="shared" si="3"/>
        <v>insert into CHB_INFOMGR_RESULT_CONFIG (RESULT_ID,MGRTABLE_ID,COLUMN_ID,COLUMN_NAME,DICTCODE,ORDER_NO,SHOWFLAG,REAL_COLUMN_ID) values ('B1C7DF40-B728-F1CA-E050-007F010043F1','CHB_ASSET_INFO','IN_ASSET_TYPE14','*行内资产类别','SVR_BANK_IN_ASSET_TYPE','199','H','IN_ASSET_TYPE');</v>
      </c>
    </row>
    <row r="202" spans="1:10" x14ac:dyDescent="0.15">
      <c r="A202" s="2">
        <v>200</v>
      </c>
      <c r="B202" s="2" t="s">
        <v>1025</v>
      </c>
      <c r="C202" s="2" t="s">
        <v>802</v>
      </c>
      <c r="D202" s="2" t="s">
        <v>645</v>
      </c>
      <c r="E202" s="2" t="s">
        <v>284</v>
      </c>
      <c r="F202" s="2"/>
      <c r="G202" s="2">
        <v>200</v>
      </c>
      <c r="H202" s="2" t="s">
        <v>330</v>
      </c>
      <c r="I202" s="2" t="s">
        <v>235</v>
      </c>
      <c r="J202" s="5" t="str">
        <f t="shared" si="3"/>
        <v>insert into CHB_INFOMGR_RESULT_CONFIG (RESULT_ID,MGRTABLE_ID,COLUMN_ID,COLUMN_NAME,DICTCODE,ORDER_NO,SHOWFLAG,REAL_COLUMN_ID) values ('B1C7DF40-B729-F1CA-E050-007F010043F1','CHB_ASSET_INFO','IN_ASSET_TYPE_CMM14','行内资产类别说明','','200','H','IN_ASSET_TYPE_CMM');</v>
      </c>
    </row>
    <row r="203" spans="1:10" x14ac:dyDescent="0.15">
      <c r="A203" s="2">
        <v>201</v>
      </c>
      <c r="B203" s="2" t="s">
        <v>1026</v>
      </c>
      <c r="C203" s="2" t="s">
        <v>802</v>
      </c>
      <c r="D203" s="2" t="s">
        <v>646</v>
      </c>
      <c r="E203" s="2" t="s">
        <v>389</v>
      </c>
      <c r="F203" s="2"/>
      <c r="G203" s="2">
        <v>201</v>
      </c>
      <c r="H203" s="2" t="s">
        <v>330</v>
      </c>
      <c r="I203" s="2" t="s">
        <v>97</v>
      </c>
      <c r="J203" s="5" t="str">
        <f t="shared" si="3"/>
        <v>insert into CHB_INFOMGR_RESULT_CONFIG (RESULT_ID,MGRTABLE_ID,COLUMN_ID,COLUMN_NAME,DICTCODE,ORDER_NO,SHOWFLAG,REAL_COLUMN_ID) values ('B1C7DF40-B72A-F1CA-E050-007F010043F1','CHB_ASSET_INFO','AMT14','*金额','','201','H','AMT');</v>
      </c>
    </row>
    <row r="204" spans="1:10" x14ac:dyDescent="0.15">
      <c r="A204" s="2">
        <v>202</v>
      </c>
      <c r="B204" s="2" t="s">
        <v>1027</v>
      </c>
      <c r="C204" s="2" t="s">
        <v>802</v>
      </c>
      <c r="D204" s="2" t="s">
        <v>647</v>
      </c>
      <c r="E204" s="2" t="s">
        <v>341</v>
      </c>
      <c r="F204" s="2"/>
      <c r="G204" s="2">
        <v>202</v>
      </c>
      <c r="H204" s="2" t="s">
        <v>330</v>
      </c>
      <c r="I204" s="2" t="s">
        <v>89</v>
      </c>
      <c r="J204" s="5" t="str">
        <f t="shared" si="3"/>
        <v>insert into CHB_INFOMGR_RESULT_CONFIG (RESULT_ID,MGRTABLE_ID,COLUMN_ID,COLUMN_NAME,DICTCODE,ORDER_NO,SHOWFLAG,REAL_COLUMN_ID) values ('B1C7DF40-B72B-F1CA-E050-007F010043F1','CHB_ASSET_INFO','VDATE14','*起息日','','202','H','VDATE');</v>
      </c>
    </row>
    <row r="205" spans="1:10" x14ac:dyDescent="0.15">
      <c r="A205" s="2">
        <v>203</v>
      </c>
      <c r="B205" s="2" t="s">
        <v>1028</v>
      </c>
      <c r="C205" s="2" t="s">
        <v>802</v>
      </c>
      <c r="D205" s="2" t="s">
        <v>648</v>
      </c>
      <c r="E205" s="2" t="s">
        <v>343</v>
      </c>
      <c r="F205" s="2"/>
      <c r="G205" s="2">
        <v>203</v>
      </c>
      <c r="H205" s="2" t="s">
        <v>330</v>
      </c>
      <c r="I205" s="2" t="s">
        <v>90</v>
      </c>
      <c r="J205" s="5" t="str">
        <f t="shared" si="3"/>
        <v>insert into CHB_INFOMGR_RESULT_CONFIG (RESULT_ID,MGRTABLE_ID,COLUMN_ID,COLUMN_NAME,DICTCODE,ORDER_NO,SHOWFLAG,REAL_COLUMN_ID) values ('B1C7DF40-B72C-F1CA-E050-007F010043F1','CHB_ASSET_INFO','MDATE14','*到期日','','203','H','MDATE');</v>
      </c>
    </row>
    <row r="206" spans="1:10" x14ac:dyDescent="0.15">
      <c r="A206" s="2">
        <v>204</v>
      </c>
      <c r="B206" s="2" t="s">
        <v>1029</v>
      </c>
      <c r="C206" s="2" t="s">
        <v>802</v>
      </c>
      <c r="D206" s="2" t="s">
        <v>649</v>
      </c>
      <c r="E206" s="2" t="s">
        <v>527</v>
      </c>
      <c r="F206" s="2" t="s">
        <v>322</v>
      </c>
      <c r="G206" s="2">
        <v>204</v>
      </c>
      <c r="H206" s="2" t="s">
        <v>330</v>
      </c>
      <c r="I206" s="2" t="s">
        <v>196</v>
      </c>
      <c r="J206" s="5" t="str">
        <f t="shared" si="3"/>
        <v>insert into CHB_INFOMGR_RESULT_CONFIG (RESULT_ID,MGRTABLE_ID,COLUMN_ID,COLUMN_NAME,DICTCODE,ORDER_NO,SHOWFLAG,REAL_COLUMN_ID) values ('B1C7DF40-B72D-F1CA-E050-007F010043F1','CHB_ASSET_INFO','COUNTRY_AREA14','*所属国家或地区','SVR_COUNTRY_AREA','204','H','COUNTRY_AREA');</v>
      </c>
    </row>
    <row r="207" spans="1:10" x14ac:dyDescent="0.15">
      <c r="A207" s="2">
        <v>205</v>
      </c>
      <c r="B207" s="2" t="s">
        <v>1030</v>
      </c>
      <c r="C207" s="2" t="s">
        <v>802</v>
      </c>
      <c r="D207" s="2" t="s">
        <v>650</v>
      </c>
      <c r="E207" s="2" t="s">
        <v>395</v>
      </c>
      <c r="F207" s="2" t="s">
        <v>301</v>
      </c>
      <c r="G207" s="2">
        <v>205</v>
      </c>
      <c r="H207" s="2" t="s">
        <v>330</v>
      </c>
      <c r="I207" s="2" t="s">
        <v>121</v>
      </c>
      <c r="J207" s="5" t="str">
        <f t="shared" si="3"/>
        <v>insert into CHB_INFOMGR_RESULT_CONFIG (RESULT_ID,MGRTABLE_ID,COLUMN_ID,COLUMN_NAME,DICTCODE,ORDER_NO,SHOWFLAG,REAL_COLUMN_ID) values ('B1C7DF40-B72E-F1CA-E050-007F010043F1','CHB_ASSET_INFO','RATE_FLAG14','*是否有预期收益率','SVR_YES_OR_NO','205','H','RATE_FLAG');</v>
      </c>
    </row>
    <row r="208" spans="1:10" x14ac:dyDescent="0.15">
      <c r="A208" s="2">
        <v>206</v>
      </c>
      <c r="B208" s="2" t="s">
        <v>1031</v>
      </c>
      <c r="C208" s="2" t="s">
        <v>802</v>
      </c>
      <c r="D208" s="2" t="s">
        <v>651</v>
      </c>
      <c r="E208" s="2" t="s">
        <v>652</v>
      </c>
      <c r="F208" s="2"/>
      <c r="G208" s="2">
        <v>206</v>
      </c>
      <c r="H208" s="2" t="s">
        <v>330</v>
      </c>
      <c r="I208" s="2" t="s">
        <v>98</v>
      </c>
      <c r="J208" s="5" t="str">
        <f t="shared" si="3"/>
        <v>insert into CHB_INFOMGR_RESULT_CONFIG (RESULT_ID,MGRTABLE_ID,COLUMN_ID,COLUMN_NAME,DICTCODE,ORDER_NO,SHOWFLAG,REAL_COLUMN_ID) values ('B1C7DF40-B72F-F1CA-E050-007F010043F1','CHB_ASSET_INFO','ASSET_YIELD14','项目收益率（利率）%','','206','H','ASSET_YIELD');</v>
      </c>
    </row>
    <row r="209" spans="1:10" x14ac:dyDescent="0.15">
      <c r="A209" s="2">
        <v>207</v>
      </c>
      <c r="B209" s="2" t="s">
        <v>1032</v>
      </c>
      <c r="C209" s="2" t="s">
        <v>802</v>
      </c>
      <c r="D209" s="2" t="s">
        <v>653</v>
      </c>
      <c r="E209" s="2" t="s">
        <v>401</v>
      </c>
      <c r="F209" s="2"/>
      <c r="G209" s="2">
        <v>207</v>
      </c>
      <c r="H209" s="2" t="s">
        <v>330</v>
      </c>
      <c r="I209" s="2" t="s">
        <v>124</v>
      </c>
      <c r="J209" s="5" t="str">
        <f t="shared" si="3"/>
        <v>insert into CHB_INFOMGR_RESULT_CONFIG (RESULT_ID,MGRTABLE_ID,COLUMN_ID,COLUMN_NAME,DICTCODE,ORDER_NO,SHOWFLAG,REAL_COLUMN_ID) values ('B1C7DF40-B730-F1CA-E050-007F010043F1','CHB_ASSET_INFO','INTPAY_CYCLE14','*付息频率（个月/次）','','207','H','INTPAY_CYCLE');</v>
      </c>
    </row>
    <row r="210" spans="1:10" x14ac:dyDescent="0.15">
      <c r="A210" s="2">
        <v>208</v>
      </c>
      <c r="B210" s="2" t="s">
        <v>1033</v>
      </c>
      <c r="C210" s="2" t="s">
        <v>802</v>
      </c>
      <c r="D210" s="2" t="s">
        <v>654</v>
      </c>
      <c r="E210" s="2" t="s">
        <v>419</v>
      </c>
      <c r="F210" s="2"/>
      <c r="G210" s="2">
        <v>208</v>
      </c>
      <c r="H210" s="2" t="s">
        <v>330</v>
      </c>
      <c r="I210" s="2" t="s">
        <v>136</v>
      </c>
      <c r="J210" s="5" t="str">
        <f t="shared" si="3"/>
        <v>insert into CHB_INFOMGR_RESULT_CONFIG (RESULT_ID,MGRTABLE_ID,COLUMN_ID,COLUMN_NAME,DICTCODE,ORDER_NO,SHOWFLAG,REAL_COLUMN_ID) values ('B1C7DF40-B731-F1CA-E050-007F010043F1','CHB_ASSET_INFO','FINANCIE14','*融资人','','208','H','FINANCIE');</v>
      </c>
    </row>
    <row r="211" spans="1:10" x14ac:dyDescent="0.15">
      <c r="A211" s="2">
        <v>209</v>
      </c>
      <c r="B211" s="2" t="s">
        <v>1034</v>
      </c>
      <c r="C211" s="2" t="s">
        <v>802</v>
      </c>
      <c r="D211" s="2" t="s">
        <v>655</v>
      </c>
      <c r="E211" s="2" t="s">
        <v>471</v>
      </c>
      <c r="F211" s="2"/>
      <c r="G211" s="2">
        <v>209</v>
      </c>
      <c r="H211" s="2" t="s">
        <v>330</v>
      </c>
      <c r="I211" s="2" t="s">
        <v>176</v>
      </c>
      <c r="J211" s="5" t="str">
        <f t="shared" si="3"/>
        <v>insert into CHB_INFOMGR_RESULT_CONFIG (RESULT_ID,MGRTABLE_ID,COLUMN_ID,COLUMN_NAME,DICTCODE,ORDER_NO,SHOWFLAG,REAL_COLUMN_ID) values ('B1C7DF40-B732-F1CA-E050-007F010043F1','CHB_ASSET_INFO','FIN_ORG_CODE14','*融资人组织机构（社会信用）代码','','209','H','FIN_ORG_CODE');</v>
      </c>
    </row>
    <row r="212" spans="1:10" x14ac:dyDescent="0.15">
      <c r="A212" s="2">
        <v>210</v>
      </c>
      <c r="B212" s="2" t="s">
        <v>1035</v>
      </c>
      <c r="C212" s="2" t="s">
        <v>802</v>
      </c>
      <c r="D212" s="2" t="s">
        <v>656</v>
      </c>
      <c r="E212" s="2" t="s">
        <v>657</v>
      </c>
      <c r="F212" s="2"/>
      <c r="G212" s="2">
        <v>210</v>
      </c>
      <c r="H212" s="2" t="s">
        <v>330</v>
      </c>
      <c r="I212" s="2" t="s">
        <v>138</v>
      </c>
      <c r="J212" s="5" t="str">
        <f t="shared" si="3"/>
        <v>insert into CHB_INFOMGR_RESULT_CONFIG (RESULT_ID,MGRTABLE_ID,COLUMN_ID,COLUMN_NAME,DICTCODE,ORDER_NO,SHOWFLAG,REAL_COLUMN_ID) values ('B1C7DF40-B733-F1CA-E050-007F010043F1','CHB_ASSET_INFO','FCR_GRADE_OUT14','外部评级机构名称及对融资人评级结果','','210','H','FCR_GRADE_OUT');</v>
      </c>
    </row>
    <row r="213" spans="1:10" x14ac:dyDescent="0.15">
      <c r="A213" s="2">
        <v>211</v>
      </c>
      <c r="B213" s="2" t="s">
        <v>1036</v>
      </c>
      <c r="C213" s="2" t="s">
        <v>802</v>
      </c>
      <c r="D213" s="2" t="s">
        <v>658</v>
      </c>
      <c r="E213" s="2" t="s">
        <v>425</v>
      </c>
      <c r="F213" s="2" t="s">
        <v>293</v>
      </c>
      <c r="G213" s="2">
        <v>211</v>
      </c>
      <c r="H213" s="2" t="s">
        <v>330</v>
      </c>
      <c r="I213" s="2" t="s">
        <v>139</v>
      </c>
      <c r="J213" s="5" t="str">
        <f t="shared" si="3"/>
        <v>insert into CHB_INFOMGR_RESULT_CONFIG (RESULT_ID,MGRTABLE_ID,COLUMN_ID,COLUMN_NAME,DICTCODE,ORDER_NO,SHOWFLAG,REAL_COLUMN_ID) values ('B1C7DF40-B734-F1CA-E050-007F010043F1','CHB_ASSET_INFO','FINANCIER_TYPE114','*融资人类型（按规模划分）','SVR_PARTY_TYPE1','211','H','FINANCIER_TYPE1');</v>
      </c>
    </row>
    <row r="214" spans="1:10" x14ac:dyDescent="0.15">
      <c r="A214" s="2">
        <v>212</v>
      </c>
      <c r="B214" s="2" t="s">
        <v>1037</v>
      </c>
      <c r="C214" s="2" t="s">
        <v>802</v>
      </c>
      <c r="D214" s="2" t="s">
        <v>659</v>
      </c>
      <c r="E214" s="2" t="s">
        <v>427</v>
      </c>
      <c r="F214" s="2" t="s">
        <v>294</v>
      </c>
      <c r="G214" s="2">
        <v>212</v>
      </c>
      <c r="H214" s="2" t="s">
        <v>330</v>
      </c>
      <c r="I214" s="2" t="s">
        <v>140</v>
      </c>
      <c r="J214" s="5" t="str">
        <f t="shared" si="3"/>
        <v>insert into CHB_INFOMGR_RESULT_CONFIG (RESULT_ID,MGRTABLE_ID,COLUMN_ID,COLUMN_NAME,DICTCODE,ORDER_NO,SHOWFLAG,REAL_COLUMN_ID) values ('B1C7DF40-B735-F1CA-E050-007F010043F1','CHB_ASSET_INFO','FINANCIER_TYPE214','*融资人类型（按技术领域划分）','SVR_PARTY_TYPE3','212','H','FINANCIER_TYPE2');</v>
      </c>
    </row>
    <row r="215" spans="1:10" x14ac:dyDescent="0.15">
      <c r="A215" s="2">
        <v>213</v>
      </c>
      <c r="B215" s="2" t="s">
        <v>1038</v>
      </c>
      <c r="C215" s="2" t="s">
        <v>802</v>
      </c>
      <c r="D215" s="2" t="s">
        <v>660</v>
      </c>
      <c r="E215" s="2" t="s">
        <v>429</v>
      </c>
      <c r="F215" s="2" t="s">
        <v>295</v>
      </c>
      <c r="G215" s="2">
        <v>213</v>
      </c>
      <c r="H215" s="2" t="s">
        <v>330</v>
      </c>
      <c r="I215" s="2" t="s">
        <v>141</v>
      </c>
      <c r="J215" s="5" t="str">
        <f t="shared" si="3"/>
        <v>insert into CHB_INFOMGR_RESULT_CONFIG (RESULT_ID,MGRTABLE_ID,COLUMN_ID,COLUMN_NAME,DICTCODE,ORDER_NO,SHOWFLAG,REAL_COLUMN_ID) values ('B1C7DF40-B736-F1CA-E050-007F010043F1','CHB_ASSET_INFO','FINANCIER_TYPE314','*融资人类型（按经济类型划分）','SVR_PARTY_TYPE2','213','H','FINANCIER_TYPE3');</v>
      </c>
    </row>
    <row r="216" spans="1:10" x14ac:dyDescent="0.15">
      <c r="A216" s="2">
        <v>214</v>
      </c>
      <c r="B216" s="2" t="s">
        <v>1039</v>
      </c>
      <c r="C216" s="2" t="s">
        <v>802</v>
      </c>
      <c r="D216" s="2" t="s">
        <v>661</v>
      </c>
      <c r="E216" s="2" t="s">
        <v>431</v>
      </c>
      <c r="F216" s="2"/>
      <c r="G216" s="2">
        <v>214</v>
      </c>
      <c r="H216" s="2" t="s">
        <v>330</v>
      </c>
      <c r="I216" s="2" t="s">
        <v>142</v>
      </c>
      <c r="J216" s="5" t="str">
        <f t="shared" si="3"/>
        <v>insert into CHB_INFOMGR_RESULT_CONFIG (RESULT_ID,MGRTABLE_ID,COLUMN_ID,COLUMN_NAME,DICTCODE,ORDER_NO,SHOWFLAG,REAL_COLUMN_ID) values ('B1C7DF40-B737-F1CA-E050-007F010043F1','CHB_ASSET_INFO','FINANCE_PROJ14','*融资项目','','214','H','FINANCE_PROJ');</v>
      </c>
    </row>
    <row r="217" spans="1:10" x14ac:dyDescent="0.15">
      <c r="A217" s="2">
        <v>215</v>
      </c>
      <c r="B217" s="2" t="s">
        <v>1040</v>
      </c>
      <c r="C217" s="2" t="s">
        <v>802</v>
      </c>
      <c r="D217" s="2" t="s">
        <v>662</v>
      </c>
      <c r="E217" s="2" t="s">
        <v>433</v>
      </c>
      <c r="F217" s="2" t="s">
        <v>296</v>
      </c>
      <c r="G217" s="2">
        <v>215</v>
      </c>
      <c r="H217" s="2" t="s">
        <v>330</v>
      </c>
      <c r="I217" s="2" t="s">
        <v>143</v>
      </c>
      <c r="J217" s="5" t="str">
        <f t="shared" si="3"/>
        <v>insert into CHB_INFOMGR_RESULT_CONFIG (RESULT_ID,MGRTABLE_ID,COLUMN_ID,COLUMN_NAME,DICTCODE,ORDER_NO,SHOWFLAG,REAL_COLUMN_ID) values ('B1C7DF40-B738-F1CA-E050-007F010043F1','CHB_ASSET_INFO','INDUSTRY_LEVEL2_TYPE14','*融资人所属行业','INSTITUTION_INDUSTRY_SECOND_LEVEL','215','H','INDUSTRY_LEVEL2_TYPE');</v>
      </c>
    </row>
    <row r="218" spans="1:10" x14ac:dyDescent="0.15">
      <c r="A218" s="2">
        <v>216</v>
      </c>
      <c r="B218" s="2" t="s">
        <v>1041</v>
      </c>
      <c r="C218" s="2" t="s">
        <v>802</v>
      </c>
      <c r="D218" s="2" t="s">
        <v>663</v>
      </c>
      <c r="E218" s="2" t="s">
        <v>477</v>
      </c>
      <c r="F218" s="2" t="s">
        <v>296</v>
      </c>
      <c r="G218" s="2">
        <v>216</v>
      </c>
      <c r="H218" s="2" t="s">
        <v>330</v>
      </c>
      <c r="I218" s="2" t="s">
        <v>144</v>
      </c>
      <c r="J218" s="5" t="str">
        <f t="shared" si="3"/>
        <v>insert into CHB_INFOMGR_RESULT_CONFIG (RESULT_ID,MGRTABLE_ID,COLUMN_ID,COLUMN_NAME,DICTCODE,ORDER_NO,SHOWFLAG,REAL_COLUMN_ID) values ('B1C7DF40-B739-F1CA-E050-007F010043F1','CHB_ASSET_INFO','PRO_INDUSTRY_LEVEL214','*融资项目所属行业','INSTITUTION_INDUSTRY_SECOND_LEVEL','216','H','PRO_INDUSTRY_LEVEL2');</v>
      </c>
    </row>
    <row r="219" spans="1:10" x14ac:dyDescent="0.15">
      <c r="A219" s="2">
        <v>217</v>
      </c>
      <c r="B219" s="2" t="s">
        <v>1042</v>
      </c>
      <c r="C219" s="2" t="s">
        <v>802</v>
      </c>
      <c r="D219" s="2" t="s">
        <v>664</v>
      </c>
      <c r="E219" s="2" t="s">
        <v>435</v>
      </c>
      <c r="F219" s="2" t="s">
        <v>301</v>
      </c>
      <c r="G219" s="2">
        <v>217</v>
      </c>
      <c r="H219" s="2" t="s">
        <v>330</v>
      </c>
      <c r="I219" s="2" t="s">
        <v>145</v>
      </c>
      <c r="J219" s="5" t="str">
        <f t="shared" si="3"/>
        <v>insert into CHB_INFOMGR_RESULT_CONFIG (RESULT_ID,MGRTABLE_ID,COLUMN_ID,COLUMN_NAME,DICTCODE,ORDER_NO,SHOWFLAG,REAL_COLUMN_ID) values ('B1C7DF40-B73A-F1CA-E050-007F010043F1','CHB_ASSET_INFO','INDUSTRY_FLAG14','*项目是否属于重点监控行业和领域','SVR_YES_OR_NO','217','H','INDUSTRY_FLAG');</v>
      </c>
    </row>
    <row r="220" spans="1:10" x14ac:dyDescent="0.15">
      <c r="A220" s="2">
        <v>218</v>
      </c>
      <c r="B220" s="2" t="s">
        <v>1043</v>
      </c>
      <c r="C220" s="2" t="s">
        <v>802</v>
      </c>
      <c r="D220" s="2" t="s">
        <v>665</v>
      </c>
      <c r="E220" s="2" t="s">
        <v>437</v>
      </c>
      <c r="F220" s="2" t="s">
        <v>308</v>
      </c>
      <c r="G220" s="2">
        <v>218</v>
      </c>
      <c r="H220" s="2" t="s">
        <v>330</v>
      </c>
      <c r="I220" s="2" t="s">
        <v>146</v>
      </c>
      <c r="J220" s="5" t="str">
        <f t="shared" si="3"/>
        <v>insert into CHB_INFOMGR_RESULT_CONFIG (RESULT_ID,MGRTABLE_ID,COLUMN_ID,COLUMN_NAME,DICTCODE,ORDER_NO,SHOWFLAG,REAL_COLUMN_ID) values ('B1C7DF40-B73B-F1CA-E050-007F010043F1','CHB_ASSET_INFO','MONIT_TYPE14','重点监控行业和领域类别','SVR_MOINT_TYPE','218','H','MONIT_TYPE');</v>
      </c>
    </row>
    <row r="221" spans="1:10" x14ac:dyDescent="0.15">
      <c r="A221" s="2">
        <v>219</v>
      </c>
      <c r="B221" s="2" t="s">
        <v>1044</v>
      </c>
      <c r="C221" s="2" t="s">
        <v>802</v>
      </c>
      <c r="D221" s="2" t="s">
        <v>666</v>
      </c>
      <c r="E221" s="2" t="s">
        <v>255</v>
      </c>
      <c r="F221" s="2"/>
      <c r="G221" s="2">
        <v>219</v>
      </c>
      <c r="H221" s="2" t="s">
        <v>330</v>
      </c>
      <c r="I221" s="2" t="s">
        <v>147</v>
      </c>
      <c r="J221" s="5" t="str">
        <f t="shared" si="3"/>
        <v>insert into CHB_INFOMGR_RESULT_CONFIG (RESULT_ID,MGRTABLE_ID,COLUMN_ID,COLUMN_NAME,DICTCODE,ORDER_NO,SHOWFLAG,REAL_COLUMN_ID) values ('B1C7DF40-B73C-F1CA-E050-007F010043F1','CHB_ASSET_INFO','MON_TYPE_COMM14','重点监控行业和领域类别说明','','219','H','MON_TYPE_COMM');</v>
      </c>
    </row>
    <row r="222" spans="1:10" x14ac:dyDescent="0.15">
      <c r="A222" s="2">
        <v>220</v>
      </c>
      <c r="B222" s="2" t="s">
        <v>1045</v>
      </c>
      <c r="C222" s="2" t="s">
        <v>802</v>
      </c>
      <c r="D222" s="2" t="s">
        <v>667</v>
      </c>
      <c r="E222" s="2" t="s">
        <v>668</v>
      </c>
      <c r="F222" s="2" t="s">
        <v>292</v>
      </c>
      <c r="G222" s="2">
        <v>220</v>
      </c>
      <c r="H222" s="2" t="s">
        <v>330</v>
      </c>
      <c r="I222" s="2" t="s">
        <v>156</v>
      </c>
      <c r="J222" s="5" t="str">
        <f t="shared" si="3"/>
        <v>insert into CHB_INFOMGR_RESULT_CONFIG (RESULT_ID,MGRTABLE_ID,COLUMN_ID,COLUMN_NAME,DICTCODE,ORDER_NO,SHOWFLAG,REAL_COLUMN_ID) values ('B1C7DF40-B73D-F1CA-E050-007F010043F1','CHB_ASSET_INFO','OUT_GRADE14','对应资产外部评级','SVR_MAIN_GRADE','220','H','OUT_GRADE');</v>
      </c>
    </row>
    <row r="223" spans="1:10" x14ac:dyDescent="0.15">
      <c r="A223" s="2">
        <v>221</v>
      </c>
      <c r="B223" s="2" t="s">
        <v>1046</v>
      </c>
      <c r="C223" s="2" t="s">
        <v>802</v>
      </c>
      <c r="D223" s="2" t="s">
        <v>669</v>
      </c>
      <c r="E223" s="2" t="s">
        <v>372</v>
      </c>
      <c r="F223" s="2" t="s">
        <v>309</v>
      </c>
      <c r="G223" s="2">
        <v>221</v>
      </c>
      <c r="H223" s="2" t="s">
        <v>330</v>
      </c>
      <c r="I223" s="2" t="s">
        <v>148</v>
      </c>
      <c r="J223" s="5" t="str">
        <f t="shared" si="3"/>
        <v>insert into CHB_INFOMGR_RESULT_CONFIG (RESULT_ID,MGRTABLE_ID,COLUMN_ID,COLUMN_NAME,DICTCODE,ORDER_NO,SHOWFLAG,REAL_COLUMN_ID) values ('B1C7DF40-B73E-F1CA-E050-007F010043F1','CHB_ASSET_INFO','GUA_TYPE14','担保方式','SVR_GUA_TYPE','221','H','GUA_TYPE');</v>
      </c>
    </row>
    <row r="224" spans="1:10" x14ac:dyDescent="0.15">
      <c r="A224" s="2">
        <v>222</v>
      </c>
      <c r="B224" s="2" t="s">
        <v>1047</v>
      </c>
      <c r="C224" s="2" t="s">
        <v>802</v>
      </c>
      <c r="D224" s="2" t="s">
        <v>671</v>
      </c>
      <c r="E224" s="2" t="s">
        <v>256</v>
      </c>
      <c r="F224" s="2" t="s">
        <v>310</v>
      </c>
      <c r="G224" s="2">
        <v>222</v>
      </c>
      <c r="H224" s="2" t="s">
        <v>330</v>
      </c>
      <c r="I224" s="2" t="s">
        <v>150</v>
      </c>
      <c r="J224" s="5" t="str">
        <f t="shared" si="3"/>
        <v>insert into CHB_INFOMGR_RESULT_CONFIG (RESULT_ID,MGRTABLE_ID,COLUMN_ID,COLUMN_NAME,DICTCODE,ORDER_NO,SHOWFLAG,REAL_COLUMN_ID) values ('B1C7DF40-B73F-F1CA-E050-007F010043F1','CHB_ASSET_INFO','PLEDGE_TYPE14','抵质押物类型','SVR_PLEDGE_TYPE','222','H','PLEDGE_TYPE');</v>
      </c>
    </row>
    <row r="225" spans="1:10" x14ac:dyDescent="0.15">
      <c r="A225" s="2">
        <v>223</v>
      </c>
      <c r="B225" s="2" t="s">
        <v>1048</v>
      </c>
      <c r="C225" s="2" t="s">
        <v>802</v>
      </c>
      <c r="D225" s="2" t="s">
        <v>672</v>
      </c>
      <c r="E225" s="2" t="s">
        <v>257</v>
      </c>
      <c r="F225" s="2"/>
      <c r="G225" s="2">
        <v>223</v>
      </c>
      <c r="H225" s="2" t="s">
        <v>330</v>
      </c>
      <c r="I225" s="2" t="s">
        <v>151</v>
      </c>
      <c r="J225" s="5" t="str">
        <f t="shared" si="3"/>
        <v>insert into CHB_INFOMGR_RESULT_CONFIG (RESULT_ID,MGRTABLE_ID,COLUMN_ID,COLUMN_NAME,DICTCODE,ORDER_NO,SHOWFLAG,REAL_COLUMN_ID) values ('B1C7DF40-B740-F1CA-E050-007F010043F1','CHB_ASSET_INFO','PLEDGE_VALUE14','抵质押物价值（元）','','223','H','PLEDGE_VALUE');</v>
      </c>
    </row>
    <row r="226" spans="1:10" x14ac:dyDescent="0.15">
      <c r="A226" s="2">
        <v>224</v>
      </c>
      <c r="B226" s="2" t="s">
        <v>1049</v>
      </c>
      <c r="C226" s="2" t="s">
        <v>802</v>
      </c>
      <c r="D226" s="2" t="s">
        <v>673</v>
      </c>
      <c r="E226" s="2" t="s">
        <v>258</v>
      </c>
      <c r="F226" s="2" t="s">
        <v>311</v>
      </c>
      <c r="G226" s="2">
        <v>224</v>
      </c>
      <c r="H226" s="2" t="s">
        <v>330</v>
      </c>
      <c r="I226" s="2" t="s">
        <v>152</v>
      </c>
      <c r="J226" s="5" t="str">
        <f t="shared" si="3"/>
        <v>insert into CHB_INFOMGR_RESULT_CONFIG (RESULT_ID,MGRTABLE_ID,COLUMN_ID,COLUMN_NAME,DICTCODE,ORDER_NO,SHOWFLAG,REAL_COLUMN_ID) values ('B1C7DF40-B741-F1CA-E050-007F010043F1','CHB_ASSET_INFO','NATURE_GUARANTEE14','担保性质','SVR_NATURE_GUARANTEE','224','H','NATURE_GUARANTEE');</v>
      </c>
    </row>
    <row r="227" spans="1:10" x14ac:dyDescent="0.15">
      <c r="A227" s="2">
        <v>225</v>
      </c>
      <c r="B227" s="2" t="s">
        <v>1050</v>
      </c>
      <c r="C227" s="2" t="s">
        <v>802</v>
      </c>
      <c r="D227" s="2" t="s">
        <v>674</v>
      </c>
      <c r="E227" s="2" t="s">
        <v>259</v>
      </c>
      <c r="F227" s="2" t="s">
        <v>312</v>
      </c>
      <c r="G227" s="2">
        <v>225</v>
      </c>
      <c r="H227" s="2" t="s">
        <v>330</v>
      </c>
      <c r="I227" s="2" t="s">
        <v>153</v>
      </c>
      <c r="J227" s="5" t="str">
        <f t="shared" si="3"/>
        <v>insert into CHB_INFOMGR_RESULT_CONFIG (RESULT_ID,MGRTABLE_ID,COLUMN_ID,COLUMN_NAME,DICTCODE,ORDER_NO,SHOWFLAG,REAL_COLUMN_ID) values ('B1C7DF40-B742-F1CA-E050-007F010043F1','CHB_ASSET_INFO','RELATION_FINAN14','担保人与融资人关系','SVR_RELATION_FINAN','225','H','RELATION_FINAN');</v>
      </c>
    </row>
    <row r="228" spans="1:10" x14ac:dyDescent="0.15">
      <c r="A228" s="2">
        <v>226</v>
      </c>
      <c r="B228" s="2" t="s">
        <v>1051</v>
      </c>
      <c r="C228" s="2" t="s">
        <v>802</v>
      </c>
      <c r="D228" s="2" t="s">
        <v>670</v>
      </c>
      <c r="E228" s="2" t="s">
        <v>275</v>
      </c>
      <c r="F228" s="2"/>
      <c r="G228" s="2">
        <v>226</v>
      </c>
      <c r="H228" s="2" t="s">
        <v>330</v>
      </c>
      <c r="I228" s="2" t="s">
        <v>149</v>
      </c>
      <c r="J228" s="5" t="str">
        <f t="shared" si="3"/>
        <v>insert into CHB_INFOMGR_RESULT_CONFIG (RESULT_ID,MGRTABLE_ID,COLUMN_ID,COLUMN_NAME,DICTCODE,ORDER_NO,SHOWFLAG,REAL_COLUMN_ID) values ('B1C7DF40-B743-F1CA-E050-007F010043F1','CHB_ASSET_INFO','GUA_TYPE_REMARK14','担保情况说明','','226','H','GUA_TYPE_REMARK');</v>
      </c>
    </row>
    <row r="229" spans="1:10" x14ac:dyDescent="0.15">
      <c r="A229" s="2">
        <v>227</v>
      </c>
      <c r="B229" s="2" t="s">
        <v>1052</v>
      </c>
      <c r="C229" s="2" t="s">
        <v>802</v>
      </c>
      <c r="D229" s="2" t="s">
        <v>675</v>
      </c>
      <c r="E229" s="2" t="s">
        <v>285</v>
      </c>
      <c r="F229" s="2" t="s">
        <v>301</v>
      </c>
      <c r="G229" s="2">
        <v>227</v>
      </c>
      <c r="H229" s="2" t="s">
        <v>330</v>
      </c>
      <c r="I229" s="2" t="s">
        <v>236</v>
      </c>
      <c r="J229" s="5" t="str">
        <f t="shared" si="3"/>
        <v>insert into CHB_INFOMGR_RESULT_CONFIG (RESULT_ID,MGRTABLE_ID,COLUMN_ID,COLUMN_NAME,DICTCODE,ORDER_NO,SHOWFLAG,REAL_COLUMN_ID) values ('B1C7DF40-B744-F1CA-E050-007F010043F1','CHB_ASSET_INFO','DEPT_EQUITY14','是否为债转股','SVR_YES_OR_NO','227','H','DEPT_EQUITY');</v>
      </c>
    </row>
    <row r="230" spans="1:10" x14ac:dyDescent="0.15">
      <c r="A230" s="2">
        <v>228</v>
      </c>
      <c r="B230" s="2" t="s">
        <v>1053</v>
      </c>
      <c r="C230" s="2" t="s">
        <v>802</v>
      </c>
      <c r="D230" s="2" t="s">
        <v>676</v>
      </c>
      <c r="E230" s="2" t="s">
        <v>527</v>
      </c>
      <c r="F230" s="2" t="s">
        <v>322</v>
      </c>
      <c r="G230" s="2">
        <v>228</v>
      </c>
      <c r="H230" s="2" t="s">
        <v>330</v>
      </c>
      <c r="I230" s="2" t="s">
        <v>196</v>
      </c>
      <c r="J230" s="5" t="str">
        <f t="shared" si="3"/>
        <v>insert into CHB_INFOMGR_RESULT_CONFIG (RESULT_ID,MGRTABLE_ID,COLUMN_ID,COLUMN_NAME,DICTCODE,ORDER_NO,SHOWFLAG,REAL_COLUMN_ID) values ('B1C7DF40-B745-F1CA-E050-007F010043F1','CHB_ASSET_INFO','COUNTRY_AREA18','*所属国家或地区','SVR_COUNTRY_AREA','228','H','COUNTRY_AREA');</v>
      </c>
    </row>
    <row r="231" spans="1:10" x14ac:dyDescent="0.15">
      <c r="A231" s="2">
        <v>229</v>
      </c>
      <c r="B231" s="2" t="s">
        <v>1054</v>
      </c>
      <c r="C231" s="2" t="s">
        <v>802</v>
      </c>
      <c r="D231" s="2" t="s">
        <v>677</v>
      </c>
      <c r="E231" s="2" t="s">
        <v>354</v>
      </c>
      <c r="F231" s="2"/>
      <c r="G231" s="2">
        <v>229</v>
      </c>
      <c r="H231" s="2" t="s">
        <v>330</v>
      </c>
      <c r="I231" s="2" t="s">
        <v>104</v>
      </c>
      <c r="J231" s="5" t="str">
        <f t="shared" si="3"/>
        <v>insert into CHB_INFOMGR_RESULT_CONFIG (RESULT_ID,MGRTABLE_ID,COLUMN_ID,COLUMN_NAME,DICTCODE,ORDER_NO,SHOWFLAG,REAL_COLUMN_ID) values ('B1C7DF40-B746-F1CA-E050-007F010043F1','CHB_ASSET_INFO','ASSET_NAME18','*名称','','229','H','ASSET_NAME');</v>
      </c>
    </row>
    <row r="232" spans="1:10" x14ac:dyDescent="0.15">
      <c r="A232" s="2">
        <v>230</v>
      </c>
      <c r="B232" s="2" t="s">
        <v>1055</v>
      </c>
      <c r="C232" s="2" t="s">
        <v>802</v>
      </c>
      <c r="D232" s="2" t="s">
        <v>678</v>
      </c>
      <c r="E232" s="2" t="s">
        <v>341</v>
      </c>
      <c r="F232" s="2"/>
      <c r="G232" s="2">
        <v>230</v>
      </c>
      <c r="H232" s="2" t="s">
        <v>330</v>
      </c>
      <c r="I232" s="2" t="s">
        <v>89</v>
      </c>
      <c r="J232" s="5" t="str">
        <f t="shared" si="3"/>
        <v>insert into CHB_INFOMGR_RESULT_CONFIG (RESULT_ID,MGRTABLE_ID,COLUMN_ID,COLUMN_NAME,DICTCODE,ORDER_NO,SHOWFLAG,REAL_COLUMN_ID) values ('B1C7DF40-B747-F1CA-E050-007F010043F1','CHB_ASSET_INFO','VDATE18','*起息日','','230','H','VDATE');</v>
      </c>
    </row>
    <row r="233" spans="1:10" x14ac:dyDescent="0.15">
      <c r="A233" s="2">
        <v>231</v>
      </c>
      <c r="B233" s="2" t="s">
        <v>1056</v>
      </c>
      <c r="C233" s="2" t="s">
        <v>802</v>
      </c>
      <c r="D233" s="2" t="s">
        <v>679</v>
      </c>
      <c r="E233" s="2" t="s">
        <v>343</v>
      </c>
      <c r="F233" s="2"/>
      <c r="G233" s="2">
        <v>231</v>
      </c>
      <c r="H233" s="2" t="s">
        <v>330</v>
      </c>
      <c r="I233" s="2" t="s">
        <v>90</v>
      </c>
      <c r="J233" s="5" t="str">
        <f t="shared" si="3"/>
        <v>insert into CHB_INFOMGR_RESULT_CONFIG (RESULT_ID,MGRTABLE_ID,COLUMN_ID,COLUMN_NAME,DICTCODE,ORDER_NO,SHOWFLAG,REAL_COLUMN_ID) values ('B1C7DF40-B748-F1CA-E050-007F010043F1','CHB_ASSET_INFO','MDATE18','*到期日','','231','H','MDATE');</v>
      </c>
    </row>
    <row r="234" spans="1:10" x14ac:dyDescent="0.15">
      <c r="A234" s="2">
        <v>232</v>
      </c>
      <c r="B234" s="2" t="s">
        <v>1057</v>
      </c>
      <c r="C234" s="2" t="s">
        <v>802</v>
      </c>
      <c r="D234" s="2" t="s">
        <v>680</v>
      </c>
      <c r="E234" s="2" t="s">
        <v>639</v>
      </c>
      <c r="F234" s="2"/>
      <c r="G234" s="2">
        <v>232</v>
      </c>
      <c r="H234" s="2" t="s">
        <v>330</v>
      </c>
      <c r="I234" s="2" t="s">
        <v>226</v>
      </c>
      <c r="J234" s="5" t="str">
        <f t="shared" si="3"/>
        <v>insert into CHB_INFOMGR_RESULT_CONFIG (RESULT_ID,MGRTABLE_ID,COLUMN_ID,COLUMN_NAME,DICTCODE,ORDER_NO,SHOWFLAG,REAL_COLUMN_ID) values ('B1C7DF40-B749-F1CA-E050-007F010043F1','CHB_ASSET_INFO','ASSET_VALUE18','*资产价值','','232','H','ASSET_VALUE');</v>
      </c>
    </row>
    <row r="235" spans="1:10" x14ac:dyDescent="0.15">
      <c r="A235" s="2">
        <v>233</v>
      </c>
      <c r="B235" s="2" t="s">
        <v>1058</v>
      </c>
      <c r="C235" s="2" t="s">
        <v>802</v>
      </c>
      <c r="D235" s="2" t="s">
        <v>681</v>
      </c>
      <c r="E235" s="2" t="s">
        <v>371</v>
      </c>
      <c r="F235" s="2"/>
      <c r="G235" s="2">
        <v>233</v>
      </c>
      <c r="H235" s="2" t="s">
        <v>330</v>
      </c>
      <c r="I235" s="2" t="s">
        <v>98</v>
      </c>
      <c r="J235" s="5" t="str">
        <f t="shared" si="3"/>
        <v>insert into CHB_INFOMGR_RESULT_CONFIG (RESULT_ID,MGRTABLE_ID,COLUMN_ID,COLUMN_NAME,DICTCODE,ORDER_NO,SHOWFLAG,REAL_COLUMN_ID) values ('B1C7DF40-B74A-F1CA-E050-007F010043F1','CHB_ASSET_INFO','ASSET_YIELD18','资产收益率%','','233','H','ASSET_YIELD');</v>
      </c>
    </row>
    <row r="236" spans="1:10" x14ac:dyDescent="0.15">
      <c r="A236" s="2">
        <v>234</v>
      </c>
      <c r="B236" s="2" t="s">
        <v>1059</v>
      </c>
      <c r="C236" s="2" t="s">
        <v>802</v>
      </c>
      <c r="D236" s="2" t="s">
        <v>682</v>
      </c>
      <c r="E236" s="2" t="s">
        <v>683</v>
      </c>
      <c r="F236" s="2"/>
      <c r="G236" s="2">
        <v>234</v>
      </c>
      <c r="H236" s="2" t="s">
        <v>330</v>
      </c>
      <c r="I236" s="2" t="s">
        <v>103</v>
      </c>
      <c r="J236" s="5" t="str">
        <f t="shared" si="3"/>
        <v>insert into CHB_INFOMGR_RESULT_CONFIG (RESULT_ID,MGRTABLE_ID,COLUMN_ID,COLUMN_NAME,DICTCODE,ORDER_NO,SHOWFLAG,REAL_COLUMN_ID) values ('B1C7DF40-B74B-F1CA-E050-007F010043F1','CHB_ASSET_INFO','ASSET_ID15','*基金代码','','234','H','ASSET_ID');</v>
      </c>
    </row>
    <row r="237" spans="1:10" x14ac:dyDescent="0.15">
      <c r="A237" s="2">
        <v>235</v>
      </c>
      <c r="B237" s="2" t="s">
        <v>1060</v>
      </c>
      <c r="C237" s="2" t="s">
        <v>802</v>
      </c>
      <c r="D237" s="2" t="s">
        <v>684</v>
      </c>
      <c r="E237" s="2" t="s">
        <v>685</v>
      </c>
      <c r="F237" s="2"/>
      <c r="G237" s="2">
        <v>235</v>
      </c>
      <c r="H237" s="2" t="s">
        <v>330</v>
      </c>
      <c r="I237" s="2" t="s">
        <v>104</v>
      </c>
      <c r="J237" s="5" t="str">
        <f t="shared" si="3"/>
        <v>insert into CHB_INFOMGR_RESULT_CONFIG (RESULT_ID,MGRTABLE_ID,COLUMN_ID,COLUMN_NAME,DICTCODE,ORDER_NO,SHOWFLAG,REAL_COLUMN_ID) values ('B1C7DF40-B74C-F1CA-E050-007F010043F1','CHB_ASSET_INFO','ASSET_NAME15','*基金名称','','235','H','ASSET_NAME');</v>
      </c>
    </row>
    <row r="238" spans="1:10" x14ac:dyDescent="0.15">
      <c r="A238" s="2">
        <v>236</v>
      </c>
      <c r="B238" s="2" t="s">
        <v>1061</v>
      </c>
      <c r="C238" s="2" t="s">
        <v>802</v>
      </c>
      <c r="D238" s="2" t="s">
        <v>686</v>
      </c>
      <c r="E238" s="2" t="s">
        <v>497</v>
      </c>
      <c r="F238" s="2" t="s">
        <v>296</v>
      </c>
      <c r="G238" s="2">
        <v>236</v>
      </c>
      <c r="H238" s="2" t="s">
        <v>330</v>
      </c>
      <c r="I238" s="2" t="s">
        <v>182</v>
      </c>
      <c r="J238" s="5" t="str">
        <f t="shared" si="3"/>
        <v>insert into CHB_INFOMGR_RESULT_CONFIG (RESULT_ID,MGRTABLE_ID,COLUMN_ID,COLUMN_NAME,DICTCODE,ORDER_NO,SHOWFLAG,REAL_COLUMN_ID) values ('B1C7DF40-B74D-F1CA-E050-007F010043F1','CHB_ASSET_INFO','INDUSTRY_SHARES215','*行业','INSTITUTION_INDUSTRY_SECOND_LEVEL','236','H','INDUSTRY_SHARES2');</v>
      </c>
    </row>
    <row r="239" spans="1:10" x14ac:dyDescent="0.15">
      <c r="A239" s="2">
        <v>237</v>
      </c>
      <c r="B239" s="2" t="s">
        <v>1062</v>
      </c>
      <c r="C239" s="2" t="s">
        <v>802</v>
      </c>
      <c r="D239" s="2" t="s">
        <v>687</v>
      </c>
      <c r="E239" s="2" t="s">
        <v>688</v>
      </c>
      <c r="F239" s="2" t="s">
        <v>327</v>
      </c>
      <c r="G239" s="2">
        <v>237</v>
      </c>
      <c r="H239" s="2" t="s">
        <v>330</v>
      </c>
      <c r="I239" s="2" t="s">
        <v>227</v>
      </c>
      <c r="J239" s="5" t="str">
        <f t="shared" si="3"/>
        <v>insert into CHB_INFOMGR_RESULT_CONFIG (RESULT_ID,MGRTABLE_ID,COLUMN_ID,COLUMN_NAME,DICTCODE,ORDER_NO,SHOWFLAG,REAL_COLUMN_ID) values ('B1C7DF40-B74E-F1CA-E050-007F010043F1','CHB_ASSET_INFO','REGIST_ORG115','*登记备案机构','SVR_REGIST_ORG2','237','H','REGIST_ORG1');</v>
      </c>
    </row>
    <row r="240" spans="1:10" x14ac:dyDescent="0.15">
      <c r="A240" s="2">
        <v>238</v>
      </c>
      <c r="B240" s="2" t="s">
        <v>1063</v>
      </c>
      <c r="C240" s="2" t="s">
        <v>802</v>
      </c>
      <c r="D240" s="2" t="s">
        <v>689</v>
      </c>
      <c r="E240" s="2" t="s">
        <v>690</v>
      </c>
      <c r="F240" s="2" t="s">
        <v>301</v>
      </c>
      <c r="G240" s="2">
        <v>238</v>
      </c>
      <c r="H240" s="2" t="s">
        <v>330</v>
      </c>
      <c r="I240" s="2" t="s">
        <v>228</v>
      </c>
      <c r="J240" s="5" t="str">
        <f t="shared" si="3"/>
        <v>insert into CHB_INFOMGR_RESULT_CONFIG (RESULT_ID,MGRTABLE_ID,COLUMN_ID,COLUMN_NAME,DICTCODE,ORDER_NO,SHOWFLAG,REAL_COLUMN_ID) values ('B1C7DF40-B74F-F1CA-E050-007F010043F1','CHB_ASSET_INFO','IS_GOVERN_FUND15','是否属于政府投资基金','SVR_YES_OR_NO','238','H','IS_GOVERN_FUND');</v>
      </c>
    </row>
    <row r="241" spans="1:10" x14ac:dyDescent="0.15">
      <c r="A241" s="2">
        <v>239</v>
      </c>
      <c r="B241" s="2" t="s">
        <v>1064</v>
      </c>
      <c r="C241" s="2" t="s">
        <v>802</v>
      </c>
      <c r="D241" s="2" t="s">
        <v>691</v>
      </c>
      <c r="E241" s="2" t="s">
        <v>692</v>
      </c>
      <c r="F241" s="2" t="s">
        <v>328</v>
      </c>
      <c r="G241" s="2">
        <v>239</v>
      </c>
      <c r="H241" s="2" t="s">
        <v>330</v>
      </c>
      <c r="I241" s="2" t="s">
        <v>229</v>
      </c>
      <c r="J241" s="5" t="str">
        <f t="shared" si="3"/>
        <v>insert into CHB_INFOMGR_RESULT_CONFIG (RESULT_ID,MGRTABLE_ID,COLUMN_ID,COLUMN_NAME,DICTCODE,ORDER_NO,SHOWFLAG,REAL_COLUMN_ID) values ('B1C7DF40-B750-F1CA-E050-007F010043F1','CHB_ASSET_INFO','GOVERN_INVEST_FUND15','政府投资基金投向','SVR_GOV_INVEST_DIRECT','239','H','GOVERN_INVEST_FUND');</v>
      </c>
    </row>
    <row r="242" spans="1:10" x14ac:dyDescent="0.15">
      <c r="A242" s="2">
        <v>240</v>
      </c>
      <c r="B242" s="2" t="s">
        <v>1065</v>
      </c>
      <c r="C242" s="2" t="s">
        <v>802</v>
      </c>
      <c r="D242" s="2" t="s">
        <v>693</v>
      </c>
      <c r="E242" s="2" t="s">
        <v>277</v>
      </c>
      <c r="F242" s="2" t="s">
        <v>301</v>
      </c>
      <c r="G242" s="2">
        <v>240</v>
      </c>
      <c r="H242" s="2" t="s">
        <v>330</v>
      </c>
      <c r="I242" s="2" t="s">
        <v>209</v>
      </c>
      <c r="J242" s="5" t="str">
        <f t="shared" si="3"/>
        <v>insert into CHB_INFOMGR_RESULT_CONFIG (RESULT_ID,MGRTABLE_ID,COLUMN_ID,COLUMN_NAME,DICTCODE,ORDER_NO,SHOWFLAG,REAL_COLUMN_ID) values ('B1C7DF40-B751-F1CA-E050-007F010043F1','CHB_ASSET_INFO','FINANCIAL_COMISSUE15','是否由金融资产投资公司发行','SVR_YES_OR_NO','240','H','FINANCIAL_COMISSUE');</v>
      </c>
    </row>
    <row r="243" spans="1:10" x14ac:dyDescent="0.15">
      <c r="A243" s="2">
        <v>241</v>
      </c>
      <c r="B243" s="2" t="s">
        <v>1066</v>
      </c>
      <c r="C243" s="2" t="s">
        <v>802</v>
      </c>
      <c r="D243" s="2" t="s">
        <v>694</v>
      </c>
      <c r="E243" s="2" t="s">
        <v>282</v>
      </c>
      <c r="F243" s="2"/>
      <c r="G243" s="2">
        <v>241</v>
      </c>
      <c r="H243" s="2" t="s">
        <v>330</v>
      </c>
      <c r="I243" s="2" t="s">
        <v>230</v>
      </c>
      <c r="J243" s="5" t="str">
        <f t="shared" si="3"/>
        <v>insert into CHB_INFOMGR_RESULT_CONFIG (RESULT_ID,MGRTABLE_ID,COLUMN_ID,COLUMN_NAME,DICTCODE,ORDER_NO,SHOWFLAG,REAL_COLUMN_ID) values ('B1C7DF40-B752-F1CA-E050-007F010043F1','CHB_ASSET_INFO','FUND_ENPE_NAME15','基金公司名称','','241','H','FUND_ENPE_NAME');</v>
      </c>
    </row>
    <row r="244" spans="1:10" x14ac:dyDescent="0.15">
      <c r="A244" s="2">
        <v>242</v>
      </c>
      <c r="B244" s="2" t="s">
        <v>1067</v>
      </c>
      <c r="C244" s="2" t="s">
        <v>802</v>
      </c>
      <c r="D244" s="2" t="s">
        <v>695</v>
      </c>
      <c r="E244" s="2" t="s">
        <v>696</v>
      </c>
      <c r="F244" s="2"/>
      <c r="G244" s="2">
        <v>242</v>
      </c>
      <c r="H244" s="2" t="s">
        <v>330</v>
      </c>
      <c r="I244" s="2" t="s">
        <v>231</v>
      </c>
      <c r="J244" s="5" t="str">
        <f t="shared" si="3"/>
        <v>insert into CHB_INFOMGR_RESULT_CONFIG (RESULT_ID,MGRTABLE_ID,COLUMN_ID,COLUMN_NAME,DICTCODE,ORDER_NO,SHOWFLAG,REAL_COLUMN_ID) values ('B1C7DF40-B753-F1CA-E050-007F010043F1','CHB_ASSET_INFO','MNG_ORG_NAME15','*基金管理机构名称','','242','H','MNG_ORG_NAME');</v>
      </c>
    </row>
    <row r="245" spans="1:10" x14ac:dyDescent="0.15">
      <c r="A245" s="2">
        <v>243</v>
      </c>
      <c r="B245" s="2" t="s">
        <v>1068</v>
      </c>
      <c r="C245" s="2" t="s">
        <v>802</v>
      </c>
      <c r="D245" s="2" t="s">
        <v>697</v>
      </c>
      <c r="E245" s="2" t="s">
        <v>698</v>
      </c>
      <c r="F245" s="2"/>
      <c r="G245" s="2">
        <v>243</v>
      </c>
      <c r="H245" s="2" t="s">
        <v>330</v>
      </c>
      <c r="I245" s="2" t="s">
        <v>232</v>
      </c>
      <c r="J245" s="5" t="str">
        <f t="shared" si="3"/>
        <v>insert into CHB_INFOMGR_RESULT_CONFIG (RESULT_ID,MGRTABLE_ID,COLUMN_ID,COLUMN_NAME,DICTCODE,ORDER_NO,SHOWFLAG,REAL_COLUMN_ID) values ('B1C7DF40-B754-F1CA-E050-007F010043F1','CHB_ASSET_INFO','TRU_ORG_NAME15','*基金托管机构名称','','243','H','TRU_ORG_NAME');</v>
      </c>
    </row>
    <row r="246" spans="1:10" x14ac:dyDescent="0.15">
      <c r="A246" s="2">
        <v>244</v>
      </c>
      <c r="B246" s="2" t="s">
        <v>1069</v>
      </c>
      <c r="C246" s="2" t="s">
        <v>802</v>
      </c>
      <c r="D246" s="2" t="s">
        <v>699</v>
      </c>
      <c r="E246" s="2" t="s">
        <v>509</v>
      </c>
      <c r="F246" s="2" t="s">
        <v>320</v>
      </c>
      <c r="G246" s="2">
        <v>244</v>
      </c>
      <c r="H246" s="2" t="s">
        <v>330</v>
      </c>
      <c r="I246" s="2" t="s">
        <v>183</v>
      </c>
      <c r="J246" s="5" t="str">
        <f t="shared" si="3"/>
        <v>insert into CHB_INFOMGR_RESULT_CONFIG (RESULT_ID,MGRTABLE_ID,COLUMN_ID,COLUMN_NAME,DICTCODE,ORDER_NO,SHOWFLAG,REAL_COLUMN_ID) values ('B1C7DF40-B755-F1CA-E050-007F010043F1','CHB_ASSET_INFO','INVEST_STAGE15','投资阶段','SVR_INVEST_STAGE','244','H','INVEST_STAGE');</v>
      </c>
    </row>
    <row r="247" spans="1:10" x14ac:dyDescent="0.15">
      <c r="A247" s="2">
        <v>245</v>
      </c>
      <c r="B247" s="2" t="s">
        <v>1070</v>
      </c>
      <c r="C247" s="2" t="s">
        <v>802</v>
      </c>
      <c r="D247" s="2" t="s">
        <v>700</v>
      </c>
      <c r="E247" s="2" t="s">
        <v>701</v>
      </c>
      <c r="F247" s="2" t="s">
        <v>293</v>
      </c>
      <c r="G247" s="2">
        <v>245</v>
      </c>
      <c r="H247" s="2" t="s">
        <v>330</v>
      </c>
      <c r="I247" s="2" t="s">
        <v>185</v>
      </c>
      <c r="J247" s="5" t="str">
        <f t="shared" si="3"/>
        <v>insert into CHB_INFOMGR_RESULT_CONFIG (RESULT_ID,MGRTABLE_ID,COLUMN_ID,COLUMN_NAME,DICTCODE,ORDER_NO,SHOWFLAG,REAL_COLUMN_ID) values ('B1C7DF40-B756-F1CA-E050-007F010043F1','CHB_ASSET_INFO','SHARES_TYPE115','投资企业类型（按规模划分）','SVR_PARTY_TYPE1','245','H','SHARES_TYPE1');</v>
      </c>
    </row>
    <row r="248" spans="1:10" x14ac:dyDescent="0.15">
      <c r="A248" s="2">
        <v>246</v>
      </c>
      <c r="B248" s="2" t="s">
        <v>1071</v>
      </c>
      <c r="C248" s="2" t="s">
        <v>802</v>
      </c>
      <c r="D248" s="2" t="s">
        <v>702</v>
      </c>
      <c r="E248" s="2" t="s">
        <v>703</v>
      </c>
      <c r="F248" s="2" t="s">
        <v>294</v>
      </c>
      <c r="G248" s="2">
        <v>246</v>
      </c>
      <c r="H248" s="2" t="s">
        <v>330</v>
      </c>
      <c r="I248" s="2" t="s">
        <v>187</v>
      </c>
      <c r="J248" s="5" t="str">
        <f t="shared" si="3"/>
        <v>insert into CHB_INFOMGR_RESULT_CONFIG (RESULT_ID,MGRTABLE_ID,COLUMN_ID,COLUMN_NAME,DICTCODE,ORDER_NO,SHOWFLAG,REAL_COLUMN_ID) values ('B1C7DF40-B757-F1CA-E050-007F010043F1','CHB_ASSET_INFO','SHARES_TYPE315','投资企业类型（按技术领域划分）','SVR_PARTY_TYPE3','246','H','SHARES_TYPE3');</v>
      </c>
    </row>
    <row r="249" spans="1:10" x14ac:dyDescent="0.15">
      <c r="A249" s="2">
        <v>247</v>
      </c>
      <c r="B249" s="2" t="s">
        <v>1072</v>
      </c>
      <c r="C249" s="2" t="s">
        <v>802</v>
      </c>
      <c r="D249" s="2" t="s">
        <v>704</v>
      </c>
      <c r="E249" s="2" t="s">
        <v>705</v>
      </c>
      <c r="F249" s="2" t="s">
        <v>295</v>
      </c>
      <c r="G249" s="2">
        <v>247</v>
      </c>
      <c r="H249" s="2" t="s">
        <v>330</v>
      </c>
      <c r="I249" s="2" t="s">
        <v>186</v>
      </c>
      <c r="J249" s="5" t="str">
        <f t="shared" si="3"/>
        <v>insert into CHB_INFOMGR_RESULT_CONFIG (RESULT_ID,MGRTABLE_ID,COLUMN_ID,COLUMN_NAME,DICTCODE,ORDER_NO,SHOWFLAG,REAL_COLUMN_ID) values ('B1C7DF40-B758-F1CA-E050-007F010043F1','CHB_ASSET_INFO','SHARES_TYPE215','投资企业类型（按经济类型划分）','SVR_PARTY_TYPE2','247','H','SHARES_TYPE2');</v>
      </c>
    </row>
    <row r="250" spans="1:10" x14ac:dyDescent="0.15">
      <c r="A250" s="2">
        <v>248</v>
      </c>
      <c r="B250" s="2" t="s">
        <v>1073</v>
      </c>
      <c r="C250" s="2" t="s">
        <v>802</v>
      </c>
      <c r="D250" s="2" t="s">
        <v>706</v>
      </c>
      <c r="E250" s="2" t="s">
        <v>707</v>
      </c>
      <c r="F250" s="2"/>
      <c r="G250" s="2">
        <v>248</v>
      </c>
      <c r="H250" s="2" t="s">
        <v>330</v>
      </c>
      <c r="I250" s="2" t="s">
        <v>233</v>
      </c>
      <c r="J250" s="5" t="str">
        <f t="shared" si="3"/>
        <v>insert into CHB_INFOMGR_RESULT_CONFIG (RESULT_ID,MGRTABLE_ID,COLUMN_ID,COLUMN_NAME,DICTCODE,ORDER_NO,SHOWFLAG,REAL_COLUMN_ID) values ('B1C7DF40-B759-F1CA-E050-007F010043F1','CHB_ASSET_INFO','FUND_INVEST_ASSET15','*基金投资资产','','248','H','FUND_INVEST_ASSET');</v>
      </c>
    </row>
    <row r="251" spans="1:10" x14ac:dyDescent="0.15">
      <c r="A251" s="2">
        <v>249</v>
      </c>
      <c r="B251" s="2" t="s">
        <v>1074</v>
      </c>
      <c r="C251" s="2" t="s">
        <v>802</v>
      </c>
      <c r="D251" s="2" t="s">
        <v>708</v>
      </c>
      <c r="E251" s="2" t="s">
        <v>741</v>
      </c>
      <c r="F251" s="2"/>
      <c r="G251" s="2">
        <v>249</v>
      </c>
      <c r="H251" s="2" t="s">
        <v>330</v>
      </c>
      <c r="I251" s="2" t="s">
        <v>104</v>
      </c>
      <c r="J251" s="5" t="str">
        <f t="shared" si="3"/>
        <v>insert into CHB_INFOMGR_RESULT_CONFIG (RESULT_ID,MGRTABLE_ID,COLUMN_ID,COLUMN_NAME,DICTCODE,ORDER_NO,SHOWFLAG,REAL_COLUMN_ID) values ('B1C7DF40-B75A-F1CA-E050-007F010043F1','CHB_ASSET_INFO','ASSET_NAME16','委外投资协议名称','','249','H','ASSET_NAME');</v>
      </c>
    </row>
    <row r="252" spans="1:10" x14ac:dyDescent="0.15">
      <c r="A252" s="2">
        <v>250</v>
      </c>
      <c r="B252" s="2" t="s">
        <v>1075</v>
      </c>
      <c r="C252" s="2" t="s">
        <v>802</v>
      </c>
      <c r="D252" s="2" t="s">
        <v>709</v>
      </c>
      <c r="E252" s="2" t="s">
        <v>742</v>
      </c>
      <c r="F252" s="2"/>
      <c r="G252" s="2">
        <v>250</v>
      </c>
      <c r="H252" s="2" t="s">
        <v>330</v>
      </c>
      <c r="I252" s="2" t="s">
        <v>103</v>
      </c>
      <c r="J252" s="5" t="str">
        <f t="shared" si="3"/>
        <v>insert into CHB_INFOMGR_RESULT_CONFIG (RESULT_ID,MGRTABLE_ID,COLUMN_ID,COLUMN_NAME,DICTCODE,ORDER_NO,SHOWFLAG,REAL_COLUMN_ID) values ('B1C7DF40-B75B-F1CA-E050-007F010043F1','CHB_ASSET_INFO','ASSET_ID16','委外投资协议编号','','250','H','ASSET_ID');</v>
      </c>
    </row>
    <row r="253" spans="1:10" x14ac:dyDescent="0.15">
      <c r="A253" s="2">
        <v>251</v>
      </c>
      <c r="B253" s="2" t="s">
        <v>1076</v>
      </c>
      <c r="C253" s="2" t="s">
        <v>802</v>
      </c>
      <c r="D253" s="2" t="s">
        <v>710</v>
      </c>
      <c r="E253" s="2" t="s">
        <v>283</v>
      </c>
      <c r="F253" s="2"/>
      <c r="G253" s="2">
        <v>251</v>
      </c>
      <c r="H253" s="2" t="s">
        <v>330</v>
      </c>
      <c r="I253" s="2" t="s">
        <v>234</v>
      </c>
      <c r="J253" s="5" t="str">
        <f t="shared" si="3"/>
        <v>insert into CHB_INFOMGR_RESULT_CONFIG (RESULT_ID,MGRTABLE_ID,COLUMN_ID,COLUMN_NAME,DICTCODE,ORDER_NO,SHOWFLAG,REAL_COLUMN_ID) values ('B1C7DF40-B75C-F1CA-E050-007F010043F1','CHB_ASSET_INFO','TRUSTEE16','受托人','','251','H','TRUSTEE');</v>
      </c>
    </row>
    <row r="254" spans="1:10" x14ac:dyDescent="0.15">
      <c r="A254" s="2">
        <v>252</v>
      </c>
      <c r="B254" s="2" t="s">
        <v>1077</v>
      </c>
      <c r="C254" s="2" t="s">
        <v>802</v>
      </c>
      <c r="D254" s="2" t="s">
        <v>711</v>
      </c>
      <c r="E254" s="2" t="s">
        <v>743</v>
      </c>
      <c r="F254" s="2"/>
      <c r="G254" s="2">
        <v>252</v>
      </c>
      <c r="H254" s="2" t="s">
        <v>330</v>
      </c>
      <c r="I254" s="2" t="s">
        <v>22</v>
      </c>
      <c r="J254" s="5" t="str">
        <f t="shared" si="3"/>
        <v>insert into CHB_INFOMGR_RESULT_CONFIG (RESULT_ID,MGRTABLE_ID,COLUMN_ID,COLUMN_NAME,DICTCODE,ORDER_NO,SHOWFLAG,REAL_COLUMN_ID) values ('B1C7DF40-B75D-F1CA-E050-007F010043F1','CHB_ASSET_INFO','MANAGER_ID16','实际管理人','','252','H','MANAGER_ID');</v>
      </c>
    </row>
    <row r="255" spans="1:10" x14ac:dyDescent="0.15">
      <c r="A255" s="2">
        <v>253</v>
      </c>
      <c r="B255" s="2" t="s">
        <v>1078</v>
      </c>
      <c r="C255" s="2" t="s">
        <v>802</v>
      </c>
      <c r="D255" s="2" t="s">
        <v>712</v>
      </c>
      <c r="E255" s="2" t="s">
        <v>279</v>
      </c>
      <c r="F255" s="2"/>
      <c r="G255" s="2">
        <v>253</v>
      </c>
      <c r="H255" s="2" t="s">
        <v>330</v>
      </c>
      <c r="I255" s="2" t="s">
        <v>212</v>
      </c>
      <c r="J255" s="5" t="str">
        <f t="shared" si="3"/>
        <v>insert into CHB_INFOMGR_RESULT_CONFIG (RESULT_ID,MGRTABLE_ID,COLUMN_ID,COLUMN_NAME,DICTCODE,ORDER_NO,SHOWFLAG,REAL_COLUMN_ID) values ('B1C7DF40-B75E-F1CA-E050-007F010043F1','CHB_ASSET_INFO','TRUSTEE_ID16','托管人','','253','H','TRUSTEE_ID');</v>
      </c>
    </row>
    <row r="256" spans="1:10" x14ac:dyDescent="0.15">
      <c r="A256" s="2">
        <v>254</v>
      </c>
      <c r="B256" s="2" t="s">
        <v>1079</v>
      </c>
      <c r="C256" s="2" t="s">
        <v>802</v>
      </c>
      <c r="D256" s="2" t="s">
        <v>713</v>
      </c>
      <c r="E256" s="2" t="s">
        <v>744</v>
      </c>
      <c r="F256" s="2"/>
      <c r="G256" s="2">
        <v>254</v>
      </c>
      <c r="H256" s="2" t="s">
        <v>330</v>
      </c>
      <c r="I256" s="2" t="s">
        <v>97</v>
      </c>
      <c r="J256" s="5" t="str">
        <f t="shared" si="3"/>
        <v>insert into CHB_INFOMGR_RESULT_CONFIG (RESULT_ID,MGRTABLE_ID,COLUMN_ID,COLUMN_NAME,DICTCODE,ORDER_NO,SHOWFLAG,REAL_COLUMN_ID) values ('B1C7DF40-B75F-F1CA-E050-007F010043F1','CHB_ASSET_INFO','AMT16','委托投资金额','','254','H','AMT');</v>
      </c>
    </row>
    <row r="257" spans="1:10" x14ac:dyDescent="0.15">
      <c r="A257" s="2">
        <v>255</v>
      </c>
      <c r="B257" s="2" t="s">
        <v>1080</v>
      </c>
      <c r="C257" s="2" t="s">
        <v>802</v>
      </c>
      <c r="D257" s="2" t="s">
        <v>714</v>
      </c>
      <c r="E257" s="2" t="s">
        <v>745</v>
      </c>
      <c r="F257" s="2" t="s">
        <v>323</v>
      </c>
      <c r="G257" s="2">
        <v>255</v>
      </c>
      <c r="H257" s="2" t="s">
        <v>330</v>
      </c>
      <c r="I257" s="2" t="s">
        <v>213</v>
      </c>
      <c r="J257" s="5" t="str">
        <f t="shared" si="3"/>
        <v>insert into CHB_INFOMGR_RESULT_CONFIG (RESULT_ID,MGRTABLE_ID,COLUMN_ID,COLUMN_NAME,DICTCODE,ORDER_NO,SHOWFLAG,REAL_COLUMN_ID) values ('B1C7DF40-B760-F1CA-E050-007F010043F1','CHB_ASSET_INFO','TRU_ACT_TYPE16','资金实际投向','SVR_TRU_ACT_TYPE','255','H','TRU_ACT_TYPE');</v>
      </c>
    </row>
    <row r="258" spans="1:10" x14ac:dyDescent="0.15">
      <c r="A258" s="2">
        <v>256</v>
      </c>
      <c r="B258" s="2" t="s">
        <v>1081</v>
      </c>
      <c r="C258" s="2" t="s">
        <v>802</v>
      </c>
      <c r="D258" s="2" t="s">
        <v>715</v>
      </c>
      <c r="E258" s="2" t="s">
        <v>280</v>
      </c>
      <c r="F258" s="2"/>
      <c r="G258" s="2">
        <v>256</v>
      </c>
      <c r="H258" s="2" t="s">
        <v>330</v>
      </c>
      <c r="I258" s="2" t="s">
        <v>67</v>
      </c>
      <c r="J258" s="5" t="str">
        <f t="shared" si="3"/>
        <v>insert into CHB_INFOMGR_RESULT_CONFIG (RESULT_ID,MGRTABLE_ID,COLUMN_ID,COLUMN_NAME,DICTCODE,ORDER_NO,SHOWFLAG,REAL_COLUMN_ID) values ('B1C7DF40-B761-F1CA-E050-007F010043F1','CHB_ASSET_INFO','INVEST_TYPE16','资金运用方式','','256','H','INVEST_TYPE');</v>
      </c>
    </row>
    <row r="259" spans="1:10" x14ac:dyDescent="0.15">
      <c r="A259" s="2">
        <v>257</v>
      </c>
      <c r="B259" s="2" t="s">
        <v>1082</v>
      </c>
      <c r="C259" s="2" t="s">
        <v>802</v>
      </c>
      <c r="D259" s="2" t="s">
        <v>716</v>
      </c>
      <c r="E259" s="2" t="s">
        <v>746</v>
      </c>
      <c r="F259" s="2" t="s">
        <v>296</v>
      </c>
      <c r="G259" s="2">
        <v>257</v>
      </c>
      <c r="H259" s="2" t="s">
        <v>330</v>
      </c>
      <c r="I259" s="2" t="s">
        <v>214</v>
      </c>
      <c r="J259" s="5" t="str">
        <f t="shared" si="3"/>
        <v>insert into CHB_INFOMGR_RESULT_CONFIG (RESULT_ID,MGRTABLE_ID,COLUMN_ID,COLUMN_NAME,DICTCODE,ORDER_NO,SHOWFLAG,REAL_COLUMN_ID) values ('B1C7DF40-B762-F1CA-E050-007F010043F1','CHB_ASSET_INFO','CAP_USE_INDU_LEVEL216','资金运用行业','INSTITUTION_INDUSTRY_SECOND_LEVEL','257','H','CAP_USE_INDU_LEVEL2');</v>
      </c>
    </row>
    <row r="260" spans="1:10" x14ac:dyDescent="0.15">
      <c r="A260" s="2">
        <v>258</v>
      </c>
      <c r="B260" s="2" t="s">
        <v>1083</v>
      </c>
      <c r="C260" s="2" t="s">
        <v>802</v>
      </c>
      <c r="D260" s="2" t="s">
        <v>717</v>
      </c>
      <c r="E260" s="2" t="s">
        <v>747</v>
      </c>
      <c r="F260" s="2"/>
      <c r="G260" s="2">
        <v>258</v>
      </c>
      <c r="H260" s="2" t="s">
        <v>330</v>
      </c>
      <c r="I260" s="2" t="s">
        <v>215</v>
      </c>
      <c r="J260" s="5" t="str">
        <f t="shared" ref="J260:J306" si="4">CONCATENATE("insert into CHB_INFOMGR_RESULT_CONFIG (RESULT_ID,MGRTABLE_ID,COLUMN_ID,COLUMN_NAME,DICTCODE,ORDER_NO,SHOWFLAG,REAL_COLUMN_ID) values ('",B260,"','",C260,"','",D260,"','",E260,"','",F260,"','",G260,"','",H260,"','",I260,"');")</f>
        <v>insert into CHB_INFOMGR_RESULT_CONFIG (RESULT_ID,MGRTABLE_ID,COLUMN_ID,COLUMN_NAME,DICTCODE,ORDER_NO,SHOWFLAG,REAL_COLUMN_ID) values ('B1C7DF40-B763-F1CA-E050-007F010043F1','CHB_ASSET_INFO','PLAN_SDATE16','投资运作起始日期','','258','H','PLAN_SDATE');</v>
      </c>
    </row>
    <row r="261" spans="1:10" x14ac:dyDescent="0.15">
      <c r="A261" s="2">
        <v>259</v>
      </c>
      <c r="B261" s="2" t="s">
        <v>1084</v>
      </c>
      <c r="C261" s="2" t="s">
        <v>802</v>
      </c>
      <c r="D261" s="2" t="s">
        <v>718</v>
      </c>
      <c r="E261" s="2" t="s">
        <v>748</v>
      </c>
      <c r="F261" s="2"/>
      <c r="G261" s="2">
        <v>259</v>
      </c>
      <c r="H261" s="2" t="s">
        <v>330</v>
      </c>
      <c r="I261" s="2" t="s">
        <v>216</v>
      </c>
      <c r="J261" s="5" t="str">
        <f t="shared" si="4"/>
        <v>insert into CHB_INFOMGR_RESULT_CONFIG (RESULT_ID,MGRTABLE_ID,COLUMN_ID,COLUMN_NAME,DICTCODE,ORDER_NO,SHOWFLAG,REAL_COLUMN_ID) values ('B1C7DF40-B764-F1CA-E050-007F010043F1','CHB_ASSET_INFO','PLAN_EDATE16','投资运作终止日期','','259','H','PLAN_EDATE');</v>
      </c>
    </row>
    <row r="262" spans="1:10" x14ac:dyDescent="0.15">
      <c r="A262" s="2">
        <v>260</v>
      </c>
      <c r="B262" s="2" t="s">
        <v>1085</v>
      </c>
      <c r="C262" s="2" t="s">
        <v>802</v>
      </c>
      <c r="D262" s="2" t="s">
        <v>719</v>
      </c>
      <c r="E262" s="2" t="s">
        <v>749</v>
      </c>
      <c r="F262" s="2" t="s">
        <v>720</v>
      </c>
      <c r="G262" s="2">
        <v>260</v>
      </c>
      <c r="H262" s="2" t="s">
        <v>330</v>
      </c>
      <c r="I262" s="2" t="s">
        <v>217</v>
      </c>
      <c r="J262" s="5" t="str">
        <f t="shared" si="4"/>
        <v>insert into CHB_INFOMGR_RESULT_CONFIG (RESULT_ID,MGRTABLE_ID,COLUMN_ID,COLUMN_NAME,DICTCODE,ORDER_NO,SHOWFLAG,REAL_COLUMN_ID) values ('B1C7DF40-B765-F1CA-E050-007F010043F1','CHB_ASSET_INFO','PRO_PROPERTY16','委外投资属性','CHB_OUTSOURCE_INVEST_PROPERTY','260','H','PRO_PROPERTY');</v>
      </c>
    </row>
    <row r="263" spans="1:10" x14ac:dyDescent="0.15">
      <c r="A263" s="2">
        <v>261</v>
      </c>
      <c r="B263" s="2" t="s">
        <v>1086</v>
      </c>
      <c r="C263" s="2" t="s">
        <v>802</v>
      </c>
      <c r="D263" s="2" t="s">
        <v>721</v>
      </c>
      <c r="E263" s="2" t="s">
        <v>750</v>
      </c>
      <c r="F263" s="2" t="s">
        <v>301</v>
      </c>
      <c r="G263" s="2">
        <v>261</v>
      </c>
      <c r="H263" s="2" t="s">
        <v>330</v>
      </c>
      <c r="I263" s="2" t="s">
        <v>121</v>
      </c>
      <c r="J263" s="5" t="str">
        <f t="shared" si="4"/>
        <v>insert into CHB_INFOMGR_RESULT_CONFIG (RESULT_ID,MGRTABLE_ID,COLUMN_ID,COLUMN_NAME,DICTCODE,ORDER_NO,SHOWFLAG,REAL_COLUMN_ID) values ('B1C7DF40-B766-F1CA-E050-007F010043F1','CHB_ASSET_INFO','RATE_FLAG16','是否有预期收益率','SVR_YES_OR_NO','261','H','RATE_FLAG');</v>
      </c>
    </row>
    <row r="264" spans="1:10" x14ac:dyDescent="0.15">
      <c r="A264" s="2">
        <v>262</v>
      </c>
      <c r="B264" s="2" t="s">
        <v>1087</v>
      </c>
      <c r="C264" s="2" t="s">
        <v>802</v>
      </c>
      <c r="D264" s="2" t="s">
        <v>722</v>
      </c>
      <c r="E264" s="2" t="s">
        <v>723</v>
      </c>
      <c r="F264" s="2"/>
      <c r="G264" s="2">
        <v>262</v>
      </c>
      <c r="H264" s="2" t="s">
        <v>330</v>
      </c>
      <c r="I264" s="2" t="s">
        <v>218</v>
      </c>
      <c r="J264" s="5" t="str">
        <f t="shared" si="4"/>
        <v>insert into CHB_INFOMGR_RESULT_CONFIG (RESULT_ID,MGRTABLE_ID,COLUMN_ID,COLUMN_NAME,DICTCODE,ORDER_NO,SHOWFLAG,REAL_COLUMN_ID) values ('B1C7DF40-B767-F1CA-E050-007F010043F1','CHB_ASSET_INFO','MAX_RATE16','预期最高收益率','','262','H','MAX_RATE');</v>
      </c>
    </row>
    <row r="265" spans="1:10" x14ac:dyDescent="0.15">
      <c r="A265" s="2">
        <v>263</v>
      </c>
      <c r="B265" s="2" t="s">
        <v>1088</v>
      </c>
      <c r="C265" s="2" t="s">
        <v>802</v>
      </c>
      <c r="D265" s="2" t="s">
        <v>724</v>
      </c>
      <c r="E265" s="2" t="s">
        <v>725</v>
      </c>
      <c r="F265" s="2"/>
      <c r="G265" s="2">
        <v>263</v>
      </c>
      <c r="H265" s="2" t="s">
        <v>330</v>
      </c>
      <c r="I265" s="2" t="s">
        <v>219</v>
      </c>
      <c r="J265" s="5" t="str">
        <f t="shared" si="4"/>
        <v>insert into CHB_INFOMGR_RESULT_CONFIG (RESULT_ID,MGRTABLE_ID,COLUMN_ID,COLUMN_NAME,DICTCODE,ORDER_NO,SHOWFLAG,REAL_COLUMN_ID) values ('B1C7DF40-B768-F1CA-E050-007F010043F1','CHB_ASSET_INFO','MIN_RATE16','预期最低收益率','','263','H','MIN_RATE');</v>
      </c>
    </row>
    <row r="266" spans="1:10" x14ac:dyDescent="0.15">
      <c r="A266" s="2">
        <v>264</v>
      </c>
      <c r="B266" s="2" t="s">
        <v>1089</v>
      </c>
      <c r="C266" s="2" t="s">
        <v>802</v>
      </c>
      <c r="D266" s="2" t="s">
        <v>726</v>
      </c>
      <c r="E266" s="2" t="s">
        <v>751</v>
      </c>
      <c r="F266" s="2"/>
      <c r="G266" s="2">
        <v>264</v>
      </c>
      <c r="H266" s="2" t="s">
        <v>330</v>
      </c>
      <c r="I266" s="2" t="s">
        <v>221</v>
      </c>
      <c r="J266" s="5" t="str">
        <f t="shared" si="4"/>
        <v>insert into CHB_INFOMGR_RESULT_CONFIG (RESULT_ID,MGRTABLE_ID,COLUMN_ID,COLUMN_NAME,DICTCODE,ORDER_NO,SHOWFLAG,REAL_COLUMN_ID) values ('B1C7DF40-B769-F1CA-E050-007F010043F1','CHB_ASSET_INFO','MGR_FEE_RATE16','管理费率%','','264','H','MGR_FEE_RATE');</v>
      </c>
    </row>
    <row r="267" spans="1:10" x14ac:dyDescent="0.15">
      <c r="A267" s="2">
        <v>265</v>
      </c>
      <c r="B267" s="2" t="s">
        <v>1090</v>
      </c>
      <c r="C267" s="2" t="s">
        <v>802</v>
      </c>
      <c r="D267" s="2" t="s">
        <v>727</v>
      </c>
      <c r="E267" s="2" t="s">
        <v>752</v>
      </c>
      <c r="F267" s="2"/>
      <c r="G267" s="2">
        <v>265</v>
      </c>
      <c r="H267" s="2" t="s">
        <v>330</v>
      </c>
      <c r="I267" s="2" t="s">
        <v>46</v>
      </c>
      <c r="J267" s="5" t="str">
        <f t="shared" si="4"/>
        <v>insert into CHB_INFOMGR_RESULT_CONFIG (RESULT_ID,MGRTABLE_ID,COLUMN_ID,COLUMN_NAME,DICTCODE,ORDER_NO,SHOWFLAG,REAL_COLUMN_ID) values ('B1C7DF40-B76A-F1CA-E050-007F010043F1','CHB_ASSET_INFO','TRU_FEE_RATE16','托管费率%','','265','H','TRU_FEE_RATE');</v>
      </c>
    </row>
    <row r="268" spans="1:10" x14ac:dyDescent="0.15">
      <c r="A268" s="2">
        <v>266</v>
      </c>
      <c r="B268" s="2" t="s">
        <v>1091</v>
      </c>
      <c r="C268" s="2" t="s">
        <v>802</v>
      </c>
      <c r="D268" s="2" t="s">
        <v>728</v>
      </c>
      <c r="E268" s="2" t="s">
        <v>753</v>
      </c>
      <c r="F268" s="2"/>
      <c r="G268" s="2">
        <v>266</v>
      </c>
      <c r="H268" s="2" t="s">
        <v>330</v>
      </c>
      <c r="I268" s="2" t="s">
        <v>222</v>
      </c>
      <c r="J268" s="5" t="str">
        <f t="shared" si="4"/>
        <v>insert into CHB_INFOMGR_RESULT_CONFIG (RESULT_ID,MGRTABLE_ID,COLUMN_ID,COLUMN_NAME,DICTCODE,ORDER_NO,SHOWFLAG,REAL_COLUMN_ID) values ('B1C7DF40-B76B-F1CA-E050-007F010043F1','CHB_ASSET_INFO','TRADE_FEE_RATE16','交易相关合计费率%','','266','H','TRADE_FEE_RATE');</v>
      </c>
    </row>
    <row r="269" spans="1:10" x14ac:dyDescent="0.15">
      <c r="A269" s="2">
        <v>267</v>
      </c>
      <c r="B269" s="2" t="s">
        <v>1092</v>
      </c>
      <c r="C269" s="2" t="s">
        <v>802</v>
      </c>
      <c r="D269" s="2" t="s">
        <v>729</v>
      </c>
      <c r="E269" s="2" t="s">
        <v>754</v>
      </c>
      <c r="F269" s="2"/>
      <c r="G269" s="2">
        <v>267</v>
      </c>
      <c r="H269" s="2" t="s">
        <v>330</v>
      </c>
      <c r="I269" s="2" t="s">
        <v>223</v>
      </c>
      <c r="J269" s="5" t="str">
        <f t="shared" si="4"/>
        <v>insert into CHB_INFOMGR_RESULT_CONFIG (RESULT_ID,MGRTABLE_ID,COLUMN_ID,COLUMN_NAME,DICTCODE,ORDER_NO,SHOWFLAG,REAL_COLUMN_ID) values ('B1C7DF40-B76C-F1CA-E050-007F010043F1','CHB_ASSET_INFO','AGENCY_FEE_RATE16','中介服务机构合计费率%','','267','H','AGENCY_FEE_RATE');</v>
      </c>
    </row>
    <row r="270" spans="1:10" x14ac:dyDescent="0.15">
      <c r="A270" s="2">
        <v>268</v>
      </c>
      <c r="B270" s="2" t="s">
        <v>1093</v>
      </c>
      <c r="C270" s="2" t="s">
        <v>802</v>
      </c>
      <c r="D270" s="2" t="s">
        <v>730</v>
      </c>
      <c r="E270" s="2" t="s">
        <v>755</v>
      </c>
      <c r="F270" s="2"/>
      <c r="G270" s="2">
        <v>268</v>
      </c>
      <c r="H270" s="2" t="s">
        <v>330</v>
      </c>
      <c r="I270" s="2" t="s">
        <v>224</v>
      </c>
      <c r="J270" s="5" t="str">
        <f t="shared" si="4"/>
        <v>insert into CHB_INFOMGR_RESULT_CONFIG (RESULT_ID,MGRTABLE_ID,COLUMN_ID,COLUMN_NAME,DICTCODE,ORDER_NO,SHOWFLAG,REAL_COLUMN_ID) values ('B1C7DF40-B76D-F1CA-E050-007F010043F1','CHB_ASSET_INFO','OTHER_FEE_RATE16','其他合计费率%','','268','H','OTHER_FEE_RATE');</v>
      </c>
    </row>
    <row r="271" spans="1:10" x14ac:dyDescent="0.15">
      <c r="A271" s="2">
        <v>269</v>
      </c>
      <c r="B271" s="2" t="s">
        <v>1094</v>
      </c>
      <c r="C271" s="2" t="s">
        <v>802</v>
      </c>
      <c r="D271" s="2" t="s">
        <v>731</v>
      </c>
      <c r="E271" s="2" t="s">
        <v>527</v>
      </c>
      <c r="F271" s="2" t="s">
        <v>322</v>
      </c>
      <c r="G271" s="2">
        <v>269</v>
      </c>
      <c r="H271" s="2" t="s">
        <v>330</v>
      </c>
      <c r="I271" s="2" t="s">
        <v>196</v>
      </c>
      <c r="J271" s="5" t="str">
        <f t="shared" si="4"/>
        <v>insert into CHB_INFOMGR_RESULT_CONFIG (RESULT_ID,MGRTABLE_ID,COLUMN_ID,COLUMN_NAME,DICTCODE,ORDER_NO,SHOWFLAG,REAL_COLUMN_ID) values ('B1C7DF40-B76E-F1CA-E050-007F010043F1','CHB_ASSET_INFO','COUNTRY_AREA17','*所属国家或地区','SVR_COUNTRY_AREA','269','H','COUNTRY_AREA');</v>
      </c>
    </row>
    <row r="272" spans="1:10" x14ac:dyDescent="0.15">
      <c r="A272" s="2">
        <v>270</v>
      </c>
      <c r="B272" s="2" t="s">
        <v>1095</v>
      </c>
      <c r="C272" s="2" t="s">
        <v>802</v>
      </c>
      <c r="D272" s="2" t="s">
        <v>732</v>
      </c>
      <c r="E272" s="2" t="s">
        <v>354</v>
      </c>
      <c r="F272" s="2"/>
      <c r="G272" s="2">
        <v>270</v>
      </c>
      <c r="H272" s="2" t="s">
        <v>330</v>
      </c>
      <c r="I272" s="2" t="s">
        <v>104</v>
      </c>
      <c r="J272" s="5" t="str">
        <f t="shared" si="4"/>
        <v>insert into CHB_INFOMGR_RESULT_CONFIG (RESULT_ID,MGRTABLE_ID,COLUMN_ID,COLUMN_NAME,DICTCODE,ORDER_NO,SHOWFLAG,REAL_COLUMN_ID) values ('B1C7DF40-B76F-F1CA-E050-007F010043F1','CHB_ASSET_INFO','ASSET_NAME17','*名称','','270','H','ASSET_NAME');</v>
      </c>
    </row>
    <row r="273" spans="1:10" x14ac:dyDescent="0.15">
      <c r="A273" s="2">
        <v>271</v>
      </c>
      <c r="B273" s="2" t="s">
        <v>1096</v>
      </c>
      <c r="C273" s="2" t="s">
        <v>802</v>
      </c>
      <c r="D273" s="2" t="s">
        <v>733</v>
      </c>
      <c r="E273" s="2" t="s">
        <v>281</v>
      </c>
      <c r="F273" s="2"/>
      <c r="G273" s="2">
        <v>271</v>
      </c>
      <c r="H273" s="2" t="s">
        <v>330</v>
      </c>
      <c r="I273" s="2" t="s">
        <v>225</v>
      </c>
      <c r="J273" s="5" t="str">
        <f t="shared" si="4"/>
        <v>insert into CHB_INFOMGR_RESULT_CONFIG (RESULT_ID,MGRTABLE_ID,COLUMN_ID,COLUMN_NAME,DICTCODE,ORDER_NO,SHOWFLAG,REAL_COLUMN_ID) values ('B1C7DF40-B770-F1CA-E050-007F010043F1','CHB_ASSET_INFO','TERM_DATE17','期限（天）','','271','H','TERM_DATE');</v>
      </c>
    </row>
    <row r="274" spans="1:10" x14ac:dyDescent="0.15">
      <c r="A274" s="2">
        <v>272</v>
      </c>
      <c r="B274" s="2" t="s">
        <v>1097</v>
      </c>
      <c r="C274" s="2" t="s">
        <v>802</v>
      </c>
      <c r="D274" s="2" t="s">
        <v>734</v>
      </c>
      <c r="E274" s="2" t="s">
        <v>735</v>
      </c>
      <c r="F274" s="2"/>
      <c r="G274" s="2">
        <v>272</v>
      </c>
      <c r="H274" s="2" t="s">
        <v>330</v>
      </c>
      <c r="I274" s="2" t="s">
        <v>736</v>
      </c>
      <c r="J274" s="5" t="str">
        <f t="shared" si="4"/>
        <v>insert into CHB_INFOMGR_RESULT_CONFIG (RESULT_ID,MGRTABLE_ID,COLUMN_ID,COLUMN_NAME,DICTCODE,ORDER_NO,SHOWFLAG,REAL_COLUMN_ID) values ('B1C7DF40-B771-F1CA-E050-007F010043F1','CHB_ASSET_INFO','DEBT_SCALE17','*负债规模','','272','H','DEBT_SCALE');</v>
      </c>
    </row>
    <row r="275" spans="1:10" x14ac:dyDescent="0.15">
      <c r="A275" s="2">
        <v>273</v>
      </c>
      <c r="B275" s="2" t="s">
        <v>1098</v>
      </c>
      <c r="C275" s="2" t="s">
        <v>802</v>
      </c>
      <c r="D275" s="2" t="s">
        <v>737</v>
      </c>
      <c r="E275" s="2" t="s">
        <v>738</v>
      </c>
      <c r="F275" s="2"/>
      <c r="G275" s="2">
        <v>273</v>
      </c>
      <c r="H275" s="2" t="s">
        <v>330</v>
      </c>
      <c r="I275" s="2" t="s">
        <v>98</v>
      </c>
      <c r="J275" s="5" t="str">
        <f t="shared" si="4"/>
        <v>insert into CHB_INFOMGR_RESULT_CONFIG (RESULT_ID,MGRTABLE_ID,COLUMN_ID,COLUMN_NAME,DICTCODE,ORDER_NO,SHOWFLAG,REAL_COLUMN_ID) values ('B1C7DF40-B772-F1CA-E050-007F010043F1','CHB_ASSET_INFO','ASSET_YIELD17','利率%','','273','H','ASSET_YIELD');</v>
      </c>
    </row>
    <row r="276" spans="1:10" x14ac:dyDescent="0.15">
      <c r="A276" s="2">
        <v>274</v>
      </c>
      <c r="B276" s="2" t="s">
        <v>1099</v>
      </c>
      <c r="C276" s="2" t="s">
        <v>802</v>
      </c>
      <c r="D276" s="2" t="s">
        <v>40</v>
      </c>
      <c r="E276" s="2" t="s">
        <v>56</v>
      </c>
      <c r="F276" s="2"/>
      <c r="G276" s="2">
        <v>274</v>
      </c>
      <c r="H276" s="2" t="s">
        <v>330</v>
      </c>
      <c r="I276" s="2" t="s">
        <v>40</v>
      </c>
      <c r="J276" s="5" t="str">
        <f t="shared" si="4"/>
        <v>insert into CHB_INFOMGR_RESULT_CONFIG (RESULT_ID,MGRTABLE_ID,COLUMN_ID,COLUMN_NAME,DICTCODE,ORDER_NO,SHOWFLAG,REAL_COLUMN_ID) values ('A224B090-3056-2DB8-E053-52AA3F265907','CHB_ASSET_INFO','REMARK','备注','','274','H','REMARK');</v>
      </c>
    </row>
    <row r="277" spans="1:10" x14ac:dyDescent="0.15">
      <c r="A277" s="2">
        <v>275</v>
      </c>
      <c r="B277" s="2" t="s">
        <v>1100</v>
      </c>
      <c r="C277" s="2" t="s">
        <v>802</v>
      </c>
      <c r="D277" s="2" t="s">
        <v>803</v>
      </c>
      <c r="E277" s="2" t="s">
        <v>821</v>
      </c>
      <c r="F277" s="2" t="s">
        <v>803</v>
      </c>
      <c r="G277" s="2">
        <v>275</v>
      </c>
      <c r="H277" s="2" t="s">
        <v>72</v>
      </c>
      <c r="I277" s="2" t="s">
        <v>803</v>
      </c>
      <c r="J277" s="5" t="str">
        <f t="shared" si="4"/>
        <v>insert into CHB_INFOMGR_RESULT_CONFIG (RESULT_ID,MGRTABLE_ID,COLUMN_ID,COLUMN_NAME,DICTCODE,ORDER_NO,SHOWFLAG,REAL_COLUMN_ID) values ('A224B090-3057-2DB8-E053-52AA3F265907','CHB_ASSET_INFO','BLN_AREA','境内外','BLN_AREA','275','Y','BLN_AREA');</v>
      </c>
    </row>
    <row r="278" spans="1:10" x14ac:dyDescent="0.15">
      <c r="A278" s="2">
        <v>276</v>
      </c>
      <c r="B278" s="2" t="s">
        <v>1101</v>
      </c>
      <c r="C278" s="2" t="s">
        <v>802</v>
      </c>
      <c r="D278" s="2" t="s">
        <v>800</v>
      </c>
      <c r="E278" s="2" t="s">
        <v>801</v>
      </c>
      <c r="F278" s="2" t="s">
        <v>301</v>
      </c>
      <c r="G278" s="2">
        <v>276</v>
      </c>
      <c r="H278" s="2" t="s">
        <v>72</v>
      </c>
      <c r="I278" s="2" t="s">
        <v>800</v>
      </c>
      <c r="J278" s="5" t="str">
        <f t="shared" si="4"/>
        <v>insert into CHB_INFOMGR_RESULT_CONFIG (RESULT_ID,MGRTABLE_ID,COLUMN_ID,COLUMN_NAME,DICTCODE,ORDER_NO,SHOWFLAG,REAL_COLUMN_ID) values ('A224B090-3058-2DB8-E053-52AA3F265907','CHB_ASSET_INFO','BONDTOSTOCK_FLAG','是否投向市场化债转股相关产品的部分','SVR_YES_OR_NO','276','Y','BONDTOSTOCK_FLAG');</v>
      </c>
    </row>
    <row r="279" spans="1:10" x14ac:dyDescent="0.15">
      <c r="A279" s="2">
        <v>277</v>
      </c>
      <c r="B279" s="2" t="s">
        <v>1102</v>
      </c>
      <c r="C279" s="2" t="s">
        <v>802</v>
      </c>
      <c r="D279" s="2" t="s">
        <v>804</v>
      </c>
      <c r="E279" s="2" t="s">
        <v>1103</v>
      </c>
      <c r="F279" s="2" t="s">
        <v>1124</v>
      </c>
      <c r="G279" s="2">
        <v>277</v>
      </c>
      <c r="H279" s="2" t="s">
        <v>72</v>
      </c>
      <c r="I279" s="2" t="s">
        <v>804</v>
      </c>
      <c r="J279" s="5" t="str">
        <f t="shared" si="4"/>
        <v>insert into CHB_INFOMGR_RESULT_CONFIG (RESULT_ID,MGRTABLE_ID,COLUMN_ID,COLUMN_NAME,DICTCODE,ORDER_NO,SHOWFLAG,REAL_COLUMN_ID) values ('A224B090-305B-2DB8-E053-52AA3F265907','CHB_ASSET_INFO','INSTIT_SIZE','人行机构规模','SVR_INSTIT_SIZE','277','Y','INSTIT_SIZE');</v>
      </c>
    </row>
    <row r="280" spans="1:10" x14ac:dyDescent="0.15">
      <c r="A280" s="2">
        <v>278</v>
      </c>
      <c r="B280" s="2" t="s">
        <v>1104</v>
      </c>
      <c r="C280" s="2" t="s">
        <v>802</v>
      </c>
      <c r="D280" s="2" t="s">
        <v>795</v>
      </c>
      <c r="E280" s="2" t="s">
        <v>796</v>
      </c>
      <c r="F280" s="2" t="s">
        <v>301</v>
      </c>
      <c r="G280" s="2">
        <v>278</v>
      </c>
      <c r="H280" s="2" t="s">
        <v>72</v>
      </c>
      <c r="I280" s="2" t="s">
        <v>795</v>
      </c>
      <c r="J280" s="5" t="str">
        <f t="shared" si="4"/>
        <v>insert into CHB_INFOMGR_RESULT_CONFIG (RESULT_ID,MGRTABLE_ID,COLUMN_ID,COLUMN_NAME,DICTCODE,ORDER_NO,SHOWFLAG,REAL_COLUMN_ID) values ('A224B090-305C-2DB8-E053-52AA3F265907','CHB_ASSET_INFO','PPPFLAG','公共PPP','SVR_YES_OR_NO','278','Y','PPPFLAG');</v>
      </c>
    </row>
    <row r="281" spans="1:10" x14ac:dyDescent="0.15">
      <c r="A281" s="2">
        <v>279</v>
      </c>
      <c r="B281" s="2" t="s">
        <v>1105</v>
      </c>
      <c r="C281" s="2" t="s">
        <v>802</v>
      </c>
      <c r="D281" s="2" t="s">
        <v>805</v>
      </c>
      <c r="E281" s="2" t="s">
        <v>1106</v>
      </c>
      <c r="F281" s="2" t="s">
        <v>301</v>
      </c>
      <c r="G281" s="2">
        <v>279</v>
      </c>
      <c r="H281" s="2" t="s">
        <v>72</v>
      </c>
      <c r="I281" s="2" t="s">
        <v>805</v>
      </c>
      <c r="J281" s="5" t="str">
        <f t="shared" si="4"/>
        <v>insert into CHB_INFOMGR_RESULT_CONFIG (RESULT_ID,MGRTABLE_ID,COLUMN_ID,COLUMN_NAME,DICTCODE,ORDER_NO,SHOWFLAG,REAL_COLUMN_ID) values ('A224B090-305E-2DB8-E053-52AA3F265907','CHB_ASSET_INFO','PRIVATE_FLAG','投向地方政府融资平台','SVR_YES_OR_NO','279','Y','PRIVATE_FLAG');</v>
      </c>
    </row>
    <row r="282" spans="1:10" x14ac:dyDescent="0.15">
      <c r="A282" s="2">
        <v>280</v>
      </c>
      <c r="B282" s="2" t="s">
        <v>1107</v>
      </c>
      <c r="C282" s="2" t="s">
        <v>802</v>
      </c>
      <c r="D282" s="2" t="s">
        <v>1113</v>
      </c>
      <c r="E282" s="2" t="s">
        <v>799</v>
      </c>
      <c r="F282" s="2" t="s">
        <v>301</v>
      </c>
      <c r="G282" s="2">
        <v>280</v>
      </c>
      <c r="H282" s="2" t="s">
        <v>72</v>
      </c>
      <c r="I282" s="2" t="s">
        <v>798</v>
      </c>
      <c r="J282" s="5" t="str">
        <f t="shared" si="4"/>
        <v>insert into CHB_INFOMGR_RESULT_CONFIG (RESULT_ID,MGRTABLE_ID,COLUMN_ID,COLUMN_NAME,DICTCODE,ORDER_NO,SHOWFLAG,REAL_COLUMN_ID) values ('A224B090-305F-2DB8-E053-52AA3F265907','CHB_ASSET_INFO','PRIVATEPRD_FLAG','是否投向金融资产投资公司发行的私募资产管理产品','SVR_YES_OR_NO','280','Y','PRIVATEPRD_FLAG');</v>
      </c>
    </row>
    <row r="283" spans="1:10" x14ac:dyDescent="0.15">
      <c r="A283" s="2">
        <v>281</v>
      </c>
      <c r="B283" s="2" t="s">
        <v>1108</v>
      </c>
      <c r="C283" s="2" t="s">
        <v>802</v>
      </c>
      <c r="D283" s="2" t="s">
        <v>797</v>
      </c>
      <c r="E283" s="2" t="s">
        <v>1109</v>
      </c>
      <c r="F283" s="2" t="s">
        <v>301</v>
      </c>
      <c r="G283" s="2">
        <v>281</v>
      </c>
      <c r="H283" s="2" t="s">
        <v>72</v>
      </c>
      <c r="I283" s="2" t="s">
        <v>797</v>
      </c>
      <c r="J283" s="5" t="str">
        <f t="shared" si="4"/>
        <v>insert into CHB_INFOMGR_RESULT_CONFIG (RESULT_ID,MGRTABLE_ID,COLUMN_ID,COLUMN_NAME,DICTCODE,ORDER_NO,SHOWFLAG,REAL_COLUMN_ID) values ('A224B090-3060-2DB8-E053-52AA3F265907','CHB_ASSET_INFO','PRIVATEFUND_FLAG','是否投向金融资产投资公司或其附属机构发行的私募股权投资基金','SVR_YES_OR_NO','281','Y','PRIVATEFUND_FLAG');</v>
      </c>
    </row>
    <row r="284" spans="1:10" s="12" customFormat="1" x14ac:dyDescent="0.15">
      <c r="A284" s="11">
        <v>288</v>
      </c>
      <c r="B284" s="11" t="s">
        <v>1120</v>
      </c>
      <c r="C284" s="11" t="s">
        <v>802</v>
      </c>
      <c r="D284" s="11" t="s">
        <v>1119</v>
      </c>
      <c r="E284" s="11" t="s">
        <v>1114</v>
      </c>
      <c r="F284" s="11" t="s">
        <v>301</v>
      </c>
      <c r="G284" s="11">
        <v>282</v>
      </c>
      <c r="H284" s="11" t="s">
        <v>73</v>
      </c>
      <c r="I284" s="11" t="s">
        <v>1119</v>
      </c>
      <c r="J284" s="5" t="str">
        <f t="shared" ref="J284:J298" si="5">CONCATENATE("insert into CHB_INFOMGR_RESULT_CONFIG (RESULT_ID,MGRTABLE_ID,COLUMN_ID,COLUMN_NAME,DICTCODE,ORDER_NO,SHOWFLAG,REAL_COLUMN_ID) values ('",B284,"','",C284,"','",D284,"','",E284,"','",F284,"','",G284,"','",H284,"','",I284,"');")</f>
        <v>insert into CHB_INFOMGR_RESULT_CONFIG (RESULT_ID,MGRTABLE_ID,COLUMN_ID,COLUMN_NAME,DICTCODE,ORDER_NO,SHOWFLAG,REAL_COLUMN_ID) values ('A224B090-3067-2DB8-E053-52AA3F265907','CHB_ASSET_INFO','BANK_SEC_CAPITAL','商业银行二级资本债','SVR_YES_OR_NO','282','Y','BANK_SEC_CAPITAL');</v>
      </c>
    </row>
    <row r="285" spans="1:10" s="12" customFormat="1" x14ac:dyDescent="0.15">
      <c r="A285" s="11">
        <v>289</v>
      </c>
      <c r="B285" s="11" t="s">
        <v>1121</v>
      </c>
      <c r="C285" s="11" t="s">
        <v>802</v>
      </c>
      <c r="D285" s="11" t="s">
        <v>1117</v>
      </c>
      <c r="E285" s="11" t="s">
        <v>1116</v>
      </c>
      <c r="F285" s="11" t="s">
        <v>301</v>
      </c>
      <c r="G285" s="11">
        <v>283</v>
      </c>
      <c r="H285" s="11" t="s">
        <v>73</v>
      </c>
      <c r="I285" s="11" t="s">
        <v>1117</v>
      </c>
      <c r="J285" s="5" t="str">
        <f t="shared" si="5"/>
        <v>insert into CHB_INFOMGR_RESULT_CONFIG (RESULT_ID,MGRTABLE_ID,COLUMN_ID,COLUMN_NAME,DICTCODE,ORDER_NO,SHOWFLAG,REAL_COLUMN_ID) values ('A224B090-3068-2DB8-E053-52AA3F265907','CHB_ASSET_INFO','BANK_SEC_PREFER','商业银行永续债','SVR_YES_OR_NO','283','Y','BANK_SEC_PREFER');</v>
      </c>
    </row>
    <row r="286" spans="1:10" s="12" customFormat="1" x14ac:dyDescent="0.15">
      <c r="A286" s="11">
        <v>290</v>
      </c>
      <c r="B286" s="11" t="s">
        <v>1122</v>
      </c>
      <c r="C286" s="11" t="s">
        <v>802</v>
      </c>
      <c r="D286" s="11" t="s">
        <v>1118</v>
      </c>
      <c r="E286" s="11" t="s">
        <v>1115</v>
      </c>
      <c r="F286" s="11" t="s">
        <v>301</v>
      </c>
      <c r="G286" s="11">
        <v>284</v>
      </c>
      <c r="H286" s="11" t="s">
        <v>73</v>
      </c>
      <c r="I286" s="11" t="s">
        <v>1118</v>
      </c>
      <c r="J286" s="5" t="str">
        <f t="shared" si="5"/>
        <v>insert into CHB_INFOMGR_RESULT_CONFIG (RESULT_ID,MGRTABLE_ID,COLUMN_ID,COLUMN_NAME,DICTCODE,ORDER_NO,SHOWFLAG,REAL_COLUMN_ID) values ('A224B090-3069-2DB8-E053-52AA3F265907','CHB_ASSET_INFO','BANK_SEC_PERPETUAL','商业银行优先股','SVR_YES_OR_NO','284','Y','BANK_SEC_PERPETUAL');</v>
      </c>
    </row>
    <row r="287" spans="1:10" s="9" customFormat="1" x14ac:dyDescent="0.15">
      <c r="A287" s="3"/>
      <c r="B287" s="3" t="s">
        <v>1196</v>
      </c>
      <c r="C287" s="3" t="s">
        <v>802</v>
      </c>
      <c r="D287" s="3" t="s">
        <v>1191</v>
      </c>
      <c r="E287" s="3" t="s">
        <v>1190</v>
      </c>
      <c r="F287" s="3" t="s">
        <v>301</v>
      </c>
      <c r="G287" s="3">
        <v>285</v>
      </c>
      <c r="H287" s="3" t="s">
        <v>73</v>
      </c>
      <c r="I287" s="3" t="s">
        <v>1191</v>
      </c>
      <c r="J287" s="5" t="str">
        <f t="shared" si="5"/>
        <v>insert into CHB_INFOMGR_RESULT_CONFIG (RESULT_ID,MGRTABLE_ID,COLUMN_ID,COLUMN_NAME,DICTCODE,ORDER_NO,SHOWFLAG,REAL_COLUMN_ID) values ('A224B090-3069-2DB8-E053-52AA3F265908','CHB_ASSET_INFO','BANK_SEC_KZZQ','商业银行可转债','SVR_YES_OR_NO','285','Y','BANK_SEC_KZZQ');</v>
      </c>
    </row>
    <row r="288" spans="1:10" s="9" customFormat="1" x14ac:dyDescent="0.15">
      <c r="A288" s="3"/>
      <c r="B288" s="3" t="s">
        <v>1197</v>
      </c>
      <c r="C288" s="3" t="s">
        <v>802</v>
      </c>
      <c r="D288" s="3" t="s">
        <v>1193</v>
      </c>
      <c r="E288" s="3" t="s">
        <v>1192</v>
      </c>
      <c r="F288" s="3" t="s">
        <v>301</v>
      </c>
      <c r="G288" s="3">
        <v>286</v>
      </c>
      <c r="H288" s="3" t="s">
        <v>73</v>
      </c>
      <c r="I288" s="3" t="s">
        <v>1193</v>
      </c>
      <c r="J288" s="5" t="str">
        <f t="shared" si="5"/>
        <v>insert into CHB_INFOMGR_RESULT_CONFIG (RESULT_ID,MGRTABLE_ID,COLUMN_ID,COLUMN_NAME,DICTCODE,ORDER_NO,SHOWFLAG,REAL_COLUMN_ID) values ('A224B090-3069-2DB8-E053-52AA3F265909','CHB_ASSET_INFO','BANK_SEC_ZXZQ','专项债券','SVR_YES_OR_NO','286','Y','BANK_SEC_ZXZQ');</v>
      </c>
    </row>
    <row r="289" spans="1:10" s="10" customFormat="1" x14ac:dyDescent="0.15">
      <c r="B289" s="3" t="s">
        <v>1198</v>
      </c>
      <c r="C289" s="3" t="s">
        <v>802</v>
      </c>
      <c r="D289" s="3" t="s">
        <v>1189</v>
      </c>
      <c r="E289" s="3" t="s">
        <v>1188</v>
      </c>
      <c r="F289" s="3" t="s">
        <v>301</v>
      </c>
      <c r="G289" s="3">
        <v>287</v>
      </c>
      <c r="H289" s="3" t="s">
        <v>73</v>
      </c>
      <c r="I289" s="3" t="s">
        <v>1189</v>
      </c>
      <c r="J289" s="5" t="str">
        <f t="shared" si="5"/>
        <v>insert into CHB_INFOMGR_RESULT_CONFIG (RESULT_ID,MGRTABLE_ID,COLUMN_ID,COLUMN_NAME,DICTCODE,ORDER_NO,SHOWFLAG,REAL_COLUMN_ID) values ('A224B090-3069-2DB8-E053-52AA3F265910','CHB_ASSET_INFO','ISUNLISTED','政府出资产业投资基金','SVR_YES_OR_NO','287','Y','ISUNLISTED');</v>
      </c>
    </row>
    <row r="290" spans="1:10" s="10" customFormat="1" x14ac:dyDescent="0.15">
      <c r="B290" s="3" t="s">
        <v>1199</v>
      </c>
      <c r="C290" s="3" t="s">
        <v>802</v>
      </c>
      <c r="D290" s="3" t="s">
        <v>1195</v>
      </c>
      <c r="E290" s="3" t="s">
        <v>1194</v>
      </c>
      <c r="F290" s="3" t="s">
        <v>301</v>
      </c>
      <c r="G290" s="3">
        <v>288</v>
      </c>
      <c r="H290" s="3" t="s">
        <v>73</v>
      </c>
      <c r="I290" s="3" t="s">
        <v>1195</v>
      </c>
      <c r="J290" s="5" t="str">
        <f t="shared" si="5"/>
        <v>insert into CHB_INFOMGR_RESULT_CONFIG (RESULT_ID,MGRTABLE_ID,COLUMN_ID,COLUMN_NAME,DICTCODE,ORDER_NO,SHOWFLAG,REAL_COLUMN_ID) values ('A224B090-3069-2DB8-E053-52AA3F265911','CHB_ASSET_INFO','IS_BZHPJ','标准化票据','SVR_YES_OR_NO','288','Y','IS_BZHPJ');</v>
      </c>
    </row>
    <row r="291" spans="1:10" s="10" customFormat="1" x14ac:dyDescent="0.15">
      <c r="B291" s="3" t="s">
        <v>1206</v>
      </c>
      <c r="C291" s="3" t="s">
        <v>802</v>
      </c>
      <c r="D291" s="3" t="s">
        <v>1207</v>
      </c>
      <c r="E291" s="3" t="s">
        <v>1208</v>
      </c>
      <c r="F291" s="3" t="s">
        <v>301</v>
      </c>
      <c r="G291" s="3">
        <v>289</v>
      </c>
      <c r="H291" s="3" t="s">
        <v>73</v>
      </c>
      <c r="I291" s="3" t="s">
        <v>1207</v>
      </c>
      <c r="J291" s="5" t="str">
        <f t="shared" si="5"/>
        <v>insert into CHB_INFOMGR_RESULT_CONFIG (RESULT_ID,MGRTABLE_ID,COLUMN_ID,COLUMN_NAME,DICTCODE,ORDER_NO,SHOWFLAG,REAL_COLUMN_ID) values ('A224B090-3069-2DB8-E053-52AA3F265918','CHB_ASSET_INFO','IS_FBZB','是否非标转标资产','SVR_YES_OR_NO','289','Y','IS_FBZB');</v>
      </c>
    </row>
    <row r="292" spans="1:10" s="13" customFormat="1" x14ac:dyDescent="0.15">
      <c r="B292" s="14" t="s">
        <v>1222</v>
      </c>
      <c r="C292" s="14" t="s">
        <v>1230</v>
      </c>
      <c r="D292" s="14" t="s">
        <v>1209</v>
      </c>
      <c r="E292" s="14" t="s">
        <v>1210</v>
      </c>
      <c r="F292" s="14"/>
      <c r="G292" s="14">
        <v>290</v>
      </c>
      <c r="H292" s="14" t="s">
        <v>72</v>
      </c>
      <c r="I292" s="14" t="s">
        <v>1209</v>
      </c>
      <c r="J292" s="5" t="str">
        <f>CONCATENATE("insert into CHB_INFOMGR_RESULT_CONFIG (RESULT_ID,MGRTABLE_ID,COLUMN_ID,COLUMN_NAME,DICTCODE,ORDER_NO,SHOWFLAG,REAL_COLUMN_ID) values ('",B292,"','",C292,"','",D292,"','",E292,"','",F292,"','",G292,"','",H292,"','",I292,"');")</f>
        <v>insert into CHB_INFOMGR_RESULT_CONFIG (RESULT_ID,MGRTABLE_ID,COLUMN_ID,COLUMN_NAME,DICTCODE,ORDER_NO,SHOWFLAG,REAL_COLUMN_ID) values ('A224B090-3069-2DB8-E053-52AA3F265919','CHB_ASSET_INFO','CHB_ISSUER_ID','发行人代码','','290','Y','CHB_ISSUER_ID');</v>
      </c>
    </row>
    <row r="293" spans="1:10" s="13" customFormat="1" x14ac:dyDescent="0.15">
      <c r="B293" s="14" t="s">
        <v>1223</v>
      </c>
      <c r="C293" s="14" t="s">
        <v>802</v>
      </c>
      <c r="D293" s="14" t="s">
        <v>1211</v>
      </c>
      <c r="E293" s="14" t="s">
        <v>1212</v>
      </c>
      <c r="F293" s="14"/>
      <c r="G293" s="14">
        <v>291</v>
      </c>
      <c r="H293" s="14" t="s">
        <v>72</v>
      </c>
      <c r="I293" s="14" t="s">
        <v>1211</v>
      </c>
      <c r="J293" s="5" t="str">
        <f>CONCATENATE("insert into CHB_INFOMGR_RESULT_CONFIG (RESULT_ID,MGRTABLE_ID,COLUMN_ID,COLUMN_NAME,DICTCODE,ORDER_NO,SHOWFLAG,REAL_COLUMN_ID) values ('",B293,"','",C293,"','",D293,"','",E293,"','",F293,"','",G293,"','",H293,"','",I293,"');")</f>
        <v>insert into CHB_INFOMGR_RESULT_CONFIG (RESULT_ID,MGRTABLE_ID,COLUMN_ID,COLUMN_NAME,DICTCODE,ORDER_NO,SHOWFLAG,REAL_COLUMN_ID) values ('A224B090-3069-2DB8-E053-52AA3F265920','CHB_ASSET_INFO','CHB_MANAGER_ID','管理人代码','','291','Y','CHB_MANAGER_ID');</v>
      </c>
    </row>
    <row r="294" spans="1:10" s="13" customFormat="1" x14ac:dyDescent="0.15">
      <c r="B294" s="14" t="s">
        <v>1224</v>
      </c>
      <c r="C294" s="14" t="s">
        <v>802</v>
      </c>
      <c r="D294" s="14" t="s">
        <v>1213</v>
      </c>
      <c r="E294" s="14" t="s">
        <v>1214</v>
      </c>
      <c r="F294" s="14"/>
      <c r="G294" s="14">
        <v>292</v>
      </c>
      <c r="H294" s="14" t="s">
        <v>72</v>
      </c>
      <c r="I294" s="14" t="s">
        <v>1213</v>
      </c>
      <c r="J294" s="5" t="str">
        <f>CONCATENATE("insert into CHB_INFOMGR_RESULT_CONFIG (RESULT_ID,MGRTABLE_ID,COLUMN_ID,COLUMN_NAME,DICTCODE,ORDER_NO,SHOWFLAG,REAL_COLUMN_ID) values ('",B294,"','",C294,"','",D294,"','",E294,"','",F294,"','",G294,"','",H294,"','",I294,"');")</f>
        <v>insert into CHB_INFOMGR_RESULT_CONFIG (RESULT_ID,MGRTABLE_ID,COLUMN_ID,COLUMN_NAME,DICTCODE,ORDER_NO,SHOWFLAG,REAL_COLUMN_ID) values ('A224B090-3069-2DB8-E053-52AA3F265921','CHB_ASSET_INFO','CHB_FINANCIER_ID','融资人代码','','292','Y','CHB_FINANCIER_ID');</v>
      </c>
    </row>
    <row r="295" spans="1:10" s="13" customFormat="1" x14ac:dyDescent="0.15">
      <c r="B295" s="14" t="s">
        <v>1225</v>
      </c>
      <c r="C295" s="14" t="s">
        <v>802</v>
      </c>
      <c r="D295" s="14" t="s">
        <v>1215</v>
      </c>
      <c r="E295" s="14" t="s">
        <v>1216</v>
      </c>
      <c r="F295" s="14" t="s">
        <v>301</v>
      </c>
      <c r="G295" s="14">
        <v>293</v>
      </c>
      <c r="H295" s="14" t="s">
        <v>72</v>
      </c>
      <c r="I295" s="14" t="s">
        <v>1215</v>
      </c>
      <c r="J295" s="5" t="str">
        <f>CONCATENATE("insert into CHB_INFOMGR_RESULT_CONFIG (RESULT_ID,MGRTABLE_ID,COLUMN_ID,COLUMN_NAME,DICTCODE,ORDER_NO,SHOWFLAG,REAL_COLUMN_ID) values ('",B295,"','",C295,"','",D295,"','",E295,"','",F295,"','",G295,"','",H295,"','",I295,"');")</f>
        <v>insert into CHB_INFOMGR_RESULT_CONFIG (RESULT_ID,MGRTABLE_ID,COLUMN_ID,COLUMN_NAME,DICTCODE,ORDER_NO,SHOWFLAG,REAL_COLUMN_ID) values ('A224B090-3069-2DB8-E053-52AA3F265922','CHB_ASSET_INFO','PERPETUAL_FLAG','是否永续债','SVR_YES_OR_NO','293','Y','PERPETUAL_FLAG');</v>
      </c>
    </row>
    <row r="296" spans="1:10" s="13" customFormat="1" x14ac:dyDescent="0.15">
      <c r="B296" s="14" t="s">
        <v>1226</v>
      </c>
      <c r="C296" s="14" t="s">
        <v>802</v>
      </c>
      <c r="D296" s="14" t="s">
        <v>1217</v>
      </c>
      <c r="E296" s="14" t="s">
        <v>1218</v>
      </c>
      <c r="F296" s="14" t="s">
        <v>301</v>
      </c>
      <c r="G296" s="14">
        <v>294</v>
      </c>
      <c r="H296" s="14" t="s">
        <v>72</v>
      </c>
      <c r="I296" s="14" t="s">
        <v>1217</v>
      </c>
      <c r="J296" s="5" t="str">
        <f>CONCATENATE("insert into CHB_INFOMGR_RESULT_CONFIG (RESULT_ID,MGRTABLE_ID,COLUMN_ID,COLUMN_NAME,DICTCODE,ORDER_NO,SHOWFLAG,REAL_COLUMN_ID) values ('",B296,"','",C296,"','",D296,"','",E296,"','",F296,"','",G296,"','",H296,"','",I296,"');")</f>
        <v>insert into CHB_INFOMGR_RESULT_CONFIG (RESULT_ID,MGRTABLE_ID,COLUMN_ID,COLUMN_NAME,DICTCODE,ORDER_NO,SHOWFLAG,REAL_COLUMN_ID) values ('A224B090-3069-2DB8-E053-52AA3F265923','CHB_ASSET_INFO','OPTION_FLAG','是否含权债','SVR_YES_OR_NO','294','Y','OPTION_FLAG');</v>
      </c>
    </row>
    <row r="297" spans="1:10" s="13" customFormat="1" x14ac:dyDescent="0.15">
      <c r="B297" s="14" t="s">
        <v>1227</v>
      </c>
      <c r="C297" s="14" t="s">
        <v>802</v>
      </c>
      <c r="D297" s="14" t="s">
        <v>1219</v>
      </c>
      <c r="E297" s="14" t="s">
        <v>1220</v>
      </c>
      <c r="F297" s="14" t="s">
        <v>1231</v>
      </c>
      <c r="G297" s="14">
        <v>295</v>
      </c>
      <c r="H297" s="14" t="s">
        <v>72</v>
      </c>
      <c r="I297" s="14" t="s">
        <v>1219</v>
      </c>
      <c r="J297" s="5" t="str">
        <f>CONCATENATE("insert into CHB_INFOMGR_RESULT_CONFIG (RESULT_ID,MGRTABLE_ID,COLUMN_ID,COLUMN_NAME,DICTCODE,ORDER_NO,SHOWFLAG,REAL_COLUMN_ID) values ('",B297,"','",C297,"','",D297,"','",E297,"','",F297,"','",G297,"','",H297,"','",I297,"');")</f>
        <v>insert into CHB_INFOMGR_RESULT_CONFIG (RESULT_ID,MGRTABLE_ID,COLUMN_ID,COLUMN_NAME,DICTCODE,ORDER_NO,SHOWFLAG,REAL_COLUMN_ID) values ('A224B090-3069-2DB8-E053-52AA3F265924','CHB_ASSET_INFO','IS_BJSZQ','是否资产四级分类为“北金所债权”','SVR_YES_OR_NO','295','Y','IS_BJSZQ');</v>
      </c>
    </row>
    <row r="298" spans="1:10" s="13" customFormat="1" x14ac:dyDescent="0.15">
      <c r="B298" s="14" t="s">
        <v>1228</v>
      </c>
      <c r="C298" s="14" t="s">
        <v>802</v>
      </c>
      <c r="D298" s="14" t="s">
        <v>1221</v>
      </c>
      <c r="E298" s="14" t="s">
        <v>1229</v>
      </c>
      <c r="F298" s="14" t="s">
        <v>1232</v>
      </c>
      <c r="G298" s="14">
        <v>296</v>
      </c>
      <c r="H298" s="14" t="s">
        <v>72</v>
      </c>
      <c r="I298" s="14" t="s">
        <v>1221</v>
      </c>
      <c r="J298" s="5" t="str">
        <f t="shared" si="5"/>
        <v>insert into CHB_INFOMGR_RESULT_CONFIG (RESULT_ID,MGRTABLE_ID,COLUMN_ID,COLUMN_NAME,DICTCODE,ORDER_NO,SHOWFLAG,REAL_COLUMN_ID) values ('A224B090-3069-2DB8-E053-52AA3F265925','CHB_ASSET_INFO','IS_PERPETUAL','永续债属性（债性/股性）','SVR_ISPERPETUAL','296','Y','IS_PERPETUAL');</v>
      </c>
    </row>
    <row r="299" spans="1:10" x14ac:dyDescent="0.15">
      <c r="A299" s="2">
        <v>282</v>
      </c>
      <c r="B299" s="11" t="s">
        <v>1200</v>
      </c>
      <c r="C299" s="2" t="s">
        <v>802</v>
      </c>
      <c r="D299" s="2" t="s">
        <v>806</v>
      </c>
      <c r="E299" s="2" t="s">
        <v>807</v>
      </c>
      <c r="F299" s="2" t="s">
        <v>1241</v>
      </c>
      <c r="G299" s="11">
        <v>297</v>
      </c>
      <c r="H299" s="2" t="s">
        <v>72</v>
      </c>
      <c r="I299" s="2" t="s">
        <v>806</v>
      </c>
      <c r="J299" s="5" t="str">
        <f>CONCATENATE("insert into CHB_INFOMGR_RESULT_CONFIG (RESULT_ID,MGRTABLE_ID,COLUMN_ID,COLUMN_NAME,DICTCODE,ORDER_NO,SHOWFLAG,REAL_COLUMN_ID) values ('",B299,"','",C299,"','",D299,"','",E299,"','",F299,"','",G299,"','",H299,"','",I299,"');")</f>
        <v>insert into CHB_INFOMGR_RESULT_CONFIG (RESULT_ID,MGRTABLE_ID,COLUMN_ID,COLUMN_NAME,DICTCODE,ORDER_NO,SHOWFLAG,REAL_COLUMN_ID) values ('A224B090-3069-2DB8-E053-52AA3F265912','CHB_ASSET_INFO','ORG_ASSET_TYPE1','上游资产一级分类','SVR_ORG_ASSET_TYPE1','297','Y','ORG_ASSET_TYPE1');</v>
      </c>
    </row>
    <row r="300" spans="1:10" x14ac:dyDescent="0.15">
      <c r="A300" s="2">
        <v>283</v>
      </c>
      <c r="B300" s="11" t="s">
        <v>1201</v>
      </c>
      <c r="C300" s="2" t="s">
        <v>802</v>
      </c>
      <c r="D300" s="2" t="s">
        <v>808</v>
      </c>
      <c r="E300" s="2" t="s">
        <v>809</v>
      </c>
      <c r="F300" s="2" t="s">
        <v>1242</v>
      </c>
      <c r="G300" s="11">
        <v>298</v>
      </c>
      <c r="H300" s="2" t="s">
        <v>72</v>
      </c>
      <c r="I300" s="2" t="s">
        <v>808</v>
      </c>
      <c r="J300" s="5" t="str">
        <f t="shared" si="4"/>
        <v>insert into CHB_INFOMGR_RESULT_CONFIG (RESULT_ID,MGRTABLE_ID,COLUMN_ID,COLUMN_NAME,DICTCODE,ORDER_NO,SHOWFLAG,REAL_COLUMN_ID) values ('A224B090-3069-2DB8-E053-52AA3F265913','CHB_ASSET_INFO','ORG_ASSET_TYPE2','上游资产二级分类','SVR_ORG_ASSET_TYPE2','298','Y','ORG_ASSET_TYPE2');</v>
      </c>
    </row>
    <row r="301" spans="1:10" x14ac:dyDescent="0.15">
      <c r="A301" s="2">
        <v>284</v>
      </c>
      <c r="B301" s="11" t="s">
        <v>1202</v>
      </c>
      <c r="C301" s="2" t="s">
        <v>802</v>
      </c>
      <c r="D301" s="2" t="s">
        <v>810</v>
      </c>
      <c r="E301" s="2" t="s">
        <v>811</v>
      </c>
      <c r="F301" s="2" t="s">
        <v>1243</v>
      </c>
      <c r="G301" s="11">
        <v>299</v>
      </c>
      <c r="H301" s="2" t="s">
        <v>72</v>
      </c>
      <c r="I301" s="2" t="s">
        <v>810</v>
      </c>
      <c r="J301" s="5" t="str">
        <f t="shared" si="4"/>
        <v>insert into CHB_INFOMGR_RESULT_CONFIG (RESULT_ID,MGRTABLE_ID,COLUMN_ID,COLUMN_NAME,DICTCODE,ORDER_NO,SHOWFLAG,REAL_COLUMN_ID) values ('A224B090-3069-2DB8-E053-52AA3F265914','CHB_ASSET_INFO','ORG_ASSET_TYPE3','上游资产三级分类','SVR_ORG_ASSET_TYPE3','299','Y','ORG_ASSET_TYPE3');</v>
      </c>
    </row>
    <row r="302" spans="1:10" x14ac:dyDescent="0.15">
      <c r="A302" s="2">
        <v>283</v>
      </c>
      <c r="B302" s="2" t="s">
        <v>1233</v>
      </c>
      <c r="C302" s="2" t="s">
        <v>802</v>
      </c>
      <c r="D302" s="2" t="s">
        <v>1234</v>
      </c>
      <c r="E302" s="2" t="s">
        <v>1235</v>
      </c>
      <c r="F302" s="2" t="s">
        <v>1236</v>
      </c>
      <c r="G302" s="11">
        <v>300</v>
      </c>
      <c r="H302" s="2" t="s">
        <v>72</v>
      </c>
      <c r="I302" s="2" t="s">
        <v>1234</v>
      </c>
      <c r="J302" s="5" t="str">
        <f>CONCATENATE("insert into CHB_INFOMGR_RESULT_CONFIG (RESULT_ID,MGRTABLE_ID,COLUMN_ID,COLUMN_NAME,DICTCODE,ORDER_NO,SHOWFLAG,REAL_COLUMN_ID) values ('",B302,"','",C302,"','",D302,"','",E302,"','",F302,"','",G302,"','",H302,"','",I302,"');")</f>
        <v>insert into CHB_INFOMGR_RESULT_CONFIG (RESULT_ID,MGRTABLE_ID,COLUMN_ID,COLUMN_NAME,DICTCODE,ORDER_NO,SHOWFLAG,REAL_COLUMN_ID) values ('A224B090-3060-2DB8-E053-52AA3F265914','CHB_ASSET_INFO','ORG_ASSET_TYPE4','上游资产四级分类','SVR_ORG_ASSET_TYPE4','300','Y','ORG_ASSET_TYPE4');</v>
      </c>
    </row>
    <row r="303" spans="1:10" x14ac:dyDescent="0.15">
      <c r="A303" s="2">
        <v>284</v>
      </c>
      <c r="B303" s="2" t="s">
        <v>1237</v>
      </c>
      <c r="C303" s="2" t="s">
        <v>802</v>
      </c>
      <c r="D303" s="2" t="s">
        <v>1238</v>
      </c>
      <c r="E303" s="2" t="s">
        <v>1239</v>
      </c>
      <c r="F303" s="2" t="s">
        <v>1240</v>
      </c>
      <c r="G303" s="11">
        <v>301</v>
      </c>
      <c r="H303" s="2" t="s">
        <v>72</v>
      </c>
      <c r="I303" s="2" t="s">
        <v>1238</v>
      </c>
      <c r="J303" s="5" t="str">
        <f>CONCATENATE("insert into CHB_INFOMGR_RESULT_CONFIG (RESULT_ID,MGRTABLE_ID,COLUMN_ID,COLUMN_NAME,DICTCODE,ORDER_NO,SHOWFLAG,REAL_COLUMN_ID) values ('",B303,"','",C303,"','",D303,"','",E303,"','",F303,"','",G303,"','",H303,"','",I303,"');")</f>
        <v>insert into CHB_INFOMGR_RESULT_CONFIG (RESULT_ID,MGRTABLE_ID,COLUMN_ID,COLUMN_NAME,DICTCODE,ORDER_NO,SHOWFLAG,REAL_COLUMN_ID) values ('A224B090-3060-2DB8-E053-52AA3F265915','CHB_ASSET_INFO','ORG_ASSET_TYPE5','上游资产五级分类','SVR_ORG_ASSET_TYPE5','301','Y','ORG_ASSET_TYPE5');</v>
      </c>
    </row>
    <row r="304" spans="1:10" x14ac:dyDescent="0.15">
      <c r="A304" s="2">
        <v>285</v>
      </c>
      <c r="B304" s="11" t="s">
        <v>1203</v>
      </c>
      <c r="C304" s="2" t="s">
        <v>802</v>
      </c>
      <c r="D304" s="2" t="s">
        <v>812</v>
      </c>
      <c r="E304" s="2" t="s">
        <v>813</v>
      </c>
      <c r="F304" s="2" t="s">
        <v>814</v>
      </c>
      <c r="G304" s="11">
        <v>302</v>
      </c>
      <c r="H304" s="2" t="s">
        <v>72</v>
      </c>
      <c r="I304" s="2" t="s">
        <v>812</v>
      </c>
      <c r="J304" s="5" t="str">
        <f>CONCATENATE("insert into CHB_INFOMGR_RESULT_CONFIG (RESULT_ID,MGRTABLE_ID,COLUMN_ID,COLUMN_NAME,DICTCODE,ORDER_NO,SHOWFLAG,REAL_COLUMN_ID) values ('",B304,"','",C304,"','",D304,"','",E304,"','",F304,"','",G304,"','",H304,"','",I304,"');")</f>
        <v>insert into CHB_INFOMGR_RESULT_CONFIG (RESULT_ID,MGRTABLE_ID,COLUMN_ID,COLUMN_NAME,DICTCODE,ORDER_NO,SHOWFLAG,REAL_COLUMN_ID) values ('A224B090-3069-2DB8-E053-52AA3F265915','CHB_ASSET_INFO','PBC_ASSET_TYPE1','人行资产一级分类','SVR_PBC_ASSET_TYPE_1','302','Y','PBC_ASSET_TYPE1');</v>
      </c>
    </row>
    <row r="305" spans="1:10" x14ac:dyDescent="0.15">
      <c r="A305" s="2">
        <v>286</v>
      </c>
      <c r="B305" s="11" t="s">
        <v>1204</v>
      </c>
      <c r="C305" s="2" t="s">
        <v>802</v>
      </c>
      <c r="D305" s="2" t="s">
        <v>815</v>
      </c>
      <c r="E305" s="2" t="s">
        <v>816</v>
      </c>
      <c r="F305" s="2" t="s">
        <v>817</v>
      </c>
      <c r="G305" s="11">
        <v>303</v>
      </c>
      <c r="H305" s="2" t="s">
        <v>72</v>
      </c>
      <c r="I305" s="2" t="s">
        <v>815</v>
      </c>
      <c r="J305" s="5" t="str">
        <f t="shared" si="4"/>
        <v>insert into CHB_INFOMGR_RESULT_CONFIG (RESULT_ID,MGRTABLE_ID,COLUMN_ID,COLUMN_NAME,DICTCODE,ORDER_NO,SHOWFLAG,REAL_COLUMN_ID) values ('A224B090-3069-2DB8-E053-52AA3F265916','CHB_ASSET_INFO','PBC_ASSET_TYPE2','人行资产二级分类','SVR_PBC_ASSET_TYPE_2','303','Y','PBC_ASSET_TYPE2');</v>
      </c>
    </row>
    <row r="306" spans="1:10" x14ac:dyDescent="0.15">
      <c r="A306" s="2">
        <v>287</v>
      </c>
      <c r="B306" s="11" t="s">
        <v>1205</v>
      </c>
      <c r="C306" s="2" t="s">
        <v>802</v>
      </c>
      <c r="D306" s="2" t="s">
        <v>818</v>
      </c>
      <c r="E306" s="2" t="s">
        <v>819</v>
      </c>
      <c r="F306" s="2" t="s">
        <v>820</v>
      </c>
      <c r="G306" s="11">
        <v>304</v>
      </c>
      <c r="H306" s="2" t="s">
        <v>72</v>
      </c>
      <c r="I306" s="2" t="s">
        <v>818</v>
      </c>
      <c r="J306" s="5" t="str">
        <f t="shared" si="4"/>
        <v>insert into CHB_INFOMGR_RESULT_CONFIG (RESULT_ID,MGRTABLE_ID,COLUMN_ID,COLUMN_NAME,DICTCODE,ORDER_NO,SHOWFLAG,REAL_COLUMN_ID) values ('A224B090-3069-2DB8-E053-52AA3F265917','CHB_ASSET_INFO','PBC_ASSET_TYPE3','人行资产三级分类','SVR_PBC_ASSET_TYPE_3','304','Y','PBC_ASSET_TYPE3');</v>
      </c>
    </row>
    <row r="307" spans="1:10" x14ac:dyDescent="0.15">
      <c r="B307" s="11"/>
    </row>
  </sheetData>
  <autoFilter ref="A2:J306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资产要素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2021-02-07T08:08:23Z</dcterms:modified>
</cp:coreProperties>
</file>