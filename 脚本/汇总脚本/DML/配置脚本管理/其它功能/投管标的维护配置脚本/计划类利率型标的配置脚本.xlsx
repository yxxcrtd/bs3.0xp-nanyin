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规则配置表" sheetId="1" r:id="rId1"/>
    <sheet name="规则条件表" sheetId="2" r:id="rId2"/>
    <sheet name="资产负债分类表" sheetId="6" r:id="rId3"/>
    <sheet name="Sheet2" sheetId="5" r:id="rId4"/>
    <sheet name="前置条件备份" sheetId="7" r:id="rId5"/>
  </sheets>
  <definedNames>
    <definedName name="_xlnm._FilterDatabase" localSheetId="0" hidden="1">规则配置表!$A$1:$L$120</definedName>
    <definedName name="_xlnm._FilterDatabase" localSheetId="1" hidden="1">规则条件表!$A$1:$J$76</definedName>
  </definedNames>
  <calcPr calcId="152511"/>
</workbook>
</file>

<file path=xl/calcChain.xml><?xml version="1.0" encoding="utf-8"?>
<calcChain xmlns="http://schemas.openxmlformats.org/spreadsheetml/2006/main">
  <c r="J76" i="2" l="1"/>
  <c r="L120" i="1"/>
  <c r="L119" i="1"/>
  <c r="L118" i="1"/>
  <c r="L110" i="1"/>
  <c r="L3" i="1" l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1" i="1"/>
  <c r="L112" i="1"/>
  <c r="L113" i="1"/>
  <c r="L114" i="1"/>
  <c r="L115" i="1"/>
  <c r="L116" i="1"/>
  <c r="L117" i="1"/>
  <c r="L2" i="1"/>
  <c r="D14" i="6" l="1"/>
  <c r="D13" i="6"/>
  <c r="D12" i="6"/>
  <c r="D11" i="6"/>
  <c r="D10" i="6"/>
  <c r="D9" i="6"/>
  <c r="D8" i="6"/>
  <c r="D7" i="6"/>
  <c r="D6" i="6"/>
  <c r="D5" i="6"/>
  <c r="D4" i="6"/>
  <c r="D3" i="6"/>
  <c r="D2" i="6"/>
  <c r="J75" i="2" l="1"/>
  <c r="J2" i="2" l="1"/>
  <c r="J3" i="2"/>
  <c r="J4" i="2"/>
  <c r="J5" i="2"/>
  <c r="J6" i="2"/>
  <c r="J7" i="2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J32" i="2"/>
  <c r="J33" i="2"/>
  <c r="J34" i="2"/>
  <c r="J35" i="2"/>
  <c r="J36" i="2"/>
  <c r="J37" i="2"/>
  <c r="J38" i="2"/>
  <c r="J39" i="2"/>
  <c r="J40" i="2"/>
  <c r="J41" i="2"/>
  <c r="J42" i="2"/>
  <c r="J43" i="2"/>
  <c r="J44" i="2"/>
  <c r="J45" i="2"/>
  <c r="J46" i="2"/>
  <c r="J47" i="2"/>
  <c r="J48" i="2"/>
  <c r="J49" i="2"/>
  <c r="J50" i="2"/>
  <c r="J51" i="2"/>
  <c r="J52" i="2"/>
  <c r="J53" i="2"/>
  <c r="J54" i="2"/>
  <c r="J55" i="2"/>
  <c r="J56" i="2"/>
  <c r="J57" i="2"/>
  <c r="J58" i="2"/>
  <c r="J59" i="2"/>
  <c r="J60" i="2"/>
  <c r="J61" i="2"/>
  <c r="J62" i="2"/>
  <c r="J63" i="2"/>
  <c r="J64" i="2"/>
  <c r="J65" i="2"/>
  <c r="J66" i="2"/>
  <c r="J67" i="2"/>
  <c r="J68" i="2"/>
  <c r="J69" i="2"/>
  <c r="J70" i="2"/>
  <c r="J71" i="2"/>
  <c r="J72" i="2"/>
  <c r="J73" i="2"/>
  <c r="J74" i="2"/>
</calcChain>
</file>

<file path=xl/sharedStrings.xml><?xml version="1.0" encoding="utf-8"?>
<sst xmlns="http://schemas.openxmlformats.org/spreadsheetml/2006/main" count="2157" uniqueCount="570">
  <si>
    <t>CHECKRULEID</t>
  </si>
  <si>
    <t>CHECKMETHOD</t>
  </si>
  <si>
    <t>SRCPROPERTY</t>
  </si>
  <si>
    <t>COMPARETO</t>
  </si>
  <si>
    <t>OBJVALUE</t>
  </si>
  <si>
    <t>NULLABLE</t>
  </si>
  <si>
    <t>REMARK</t>
  </si>
  <si>
    <t>STATUS</t>
  </si>
  <si>
    <t>CHECKCONDITIONID</t>
  </si>
  <si>
    <t>==</t>
  </si>
  <si>
    <t>E</t>
  </si>
  <si>
    <t>isCustomizedString</t>
  </si>
  <si>
    <t>isNotEmpty</t>
  </si>
  <si>
    <t>lessThanCharLength</t>
  </si>
  <si>
    <t>inDatadict</t>
  </si>
  <si>
    <t>N</t>
  </si>
  <si>
    <t>0</t>
  </si>
  <si>
    <t>Y</t>
  </si>
  <si>
    <t>^[\u4e00-\u9fa5\ue815-\ue864\uff01-\uff5e\uffe0-\uffe5\u3000-\u3003\u3005-\u3017\u301d-\u301e\u2010\u2013-\u2016\u2018-\u2019\u201c-\u201d\u2025-\u2026\u2030\u2032-\u2033\u2035\u203b\u00b7\u0030-\u0039\u0041-\u005a\u0061-\u007a\u2160-\u216b\u0020-\u0026\u0028-\u007B\u007D\u007E]{0,}$</t>
  </si>
  <si>
    <t>备注要素不可为空</t>
  </si>
  <si>
    <t>257</t>
  </si>
  <si>
    <t>备注不能超过256字符</t>
  </si>
  <si>
    <t>备注必须填写白名单中的文字。</t>
  </si>
  <si>
    <t>compareValue</t>
  </si>
  <si>
    <t>99</t>
  </si>
  <si>
    <t>201</t>
  </si>
  <si>
    <t>01</t>
  </si>
  <si>
    <t>FINANCIAL_COMISSUE</t>
  </si>
  <si>
    <t>HTML-NAME</t>
  </si>
  <si>
    <t>行业二级分类</t>
  </si>
  <si>
    <t>行业</t>
    <phoneticPr fontId="2" type="noConversion"/>
  </si>
  <si>
    <t>投向“公共私营合作项目”（PPP）的部分</t>
    <phoneticPr fontId="2" type="noConversion"/>
  </si>
  <si>
    <t>是否由金融资产投资公司发行</t>
    <phoneticPr fontId="2" type="noConversion"/>
  </si>
  <si>
    <t>备注</t>
    <phoneticPr fontId="2" type="noConversion"/>
  </si>
  <si>
    <t>小微企业信贷资产流转和收益权转让</t>
    <phoneticPr fontId="2" type="noConversion"/>
  </si>
  <si>
    <t>公共PPP</t>
    <phoneticPr fontId="2" type="noConversion"/>
  </si>
  <si>
    <t>是否投向“市场化债转股相关产品的部分”</t>
    <phoneticPr fontId="2" type="noConversion"/>
  </si>
  <si>
    <t>PAGE_ID</t>
    <phoneticPr fontId="2" type="noConversion"/>
  </si>
  <si>
    <t>repAssetType</t>
  </si>
  <si>
    <t>资管计划发起人机构编码</t>
  </si>
  <si>
    <t>资管计划发起人机构编码</t>
    <phoneticPr fontId="2" type="noConversion"/>
  </si>
  <si>
    <t>资管计划登记编码</t>
  </si>
  <si>
    <t>资金实际投向</t>
  </si>
  <si>
    <t>资金实际投向</t>
    <phoneticPr fontId="2" type="noConversion"/>
  </si>
  <si>
    <t>资金运用方式</t>
  </si>
  <si>
    <t>行业</t>
  </si>
  <si>
    <t>行业</t>
    <phoneticPr fontId="2" type="noConversion"/>
  </si>
  <si>
    <t>行业二级分类</t>
    <phoneticPr fontId="2" type="noConversion"/>
  </si>
  <si>
    <t>资管计划属性</t>
  </si>
  <si>
    <t>是否有预期收益率</t>
  </si>
  <si>
    <t>预期最高收益率</t>
  </si>
  <si>
    <t>预期最高收益率</t>
    <phoneticPr fontId="2" type="noConversion"/>
  </si>
  <si>
    <t>预期最低收益率</t>
  </si>
  <si>
    <t>购买结构</t>
  </si>
  <si>
    <t>管理方式</t>
  </si>
  <si>
    <t>管理费率%</t>
  </si>
  <si>
    <t>托管费率%</t>
  </si>
  <si>
    <t>托管费率%</t>
    <phoneticPr fontId="2" type="noConversion"/>
  </si>
  <si>
    <t>交易相关合计费率%</t>
  </si>
  <si>
    <t>中介服务机构合计费率%</t>
  </si>
  <si>
    <t>其他合计费率%</t>
  </si>
  <si>
    <t>金额</t>
  </si>
  <si>
    <t>是否由金融资产投资公司发行</t>
  </si>
  <si>
    <t>备注</t>
    <phoneticPr fontId="2" type="noConversion"/>
  </si>
  <si>
    <t>bussRepAssetMngProdInfo.repPartyCode</t>
  </si>
  <si>
    <t>bussRepAssetMngProdInfo.repRegistCode</t>
  </si>
  <si>
    <t>bussRepAssetMngProdInfo.repCapiInvest</t>
  </si>
  <si>
    <t>bussRepAssetMngProdInfo.repCapUseWay</t>
  </si>
  <si>
    <t>bussRepAssetMngProdInfo.repCapUseIndu</t>
  </si>
  <si>
    <t>bussRepAssetMngProdInfo.repCapUseInduLevel2</t>
  </si>
  <si>
    <t>bussRepAssetMngProdInfo.repPlanProp</t>
  </si>
  <si>
    <t>bussRepAssetMngProdInfo.repYieldFlag</t>
  </si>
  <si>
    <t>bussRepAssetMngProdInfo.repMaxRate</t>
  </si>
  <si>
    <t>bussRepAssetMngProdInfo.repMinRate</t>
  </si>
  <si>
    <t>bussRepAssetMngProdInfo.repBuyStruct</t>
  </si>
  <si>
    <t>bussRepAssetMngProdInfo.repManageType</t>
  </si>
  <si>
    <t>bussRepAssetMngProdInfo.repIsCtrlBottom</t>
  </si>
  <si>
    <t>bussRepAssetMngProdInfo.repMgrFeeRate</t>
  </si>
  <si>
    <t>bussRepAssetMngProdInfo.repTruFeeRate</t>
  </si>
  <si>
    <t>bussRepAssetMngProdInfo.repTradeFeeRate</t>
  </si>
  <si>
    <t>bussRepAssetMngProdInfo.repAgencyFeeRate</t>
  </si>
  <si>
    <t>bussRepAssetMngProdInfo.repOtherFeeRate</t>
  </si>
  <si>
    <t>bussRepAssetMngProdInfo.repAmt</t>
  </si>
  <si>
    <t>bussRepAssetMngProdInfo.repPrivateprdFlag</t>
  </si>
  <si>
    <t>bussRepAssetMngProdInfo.repPrivatefundFlag</t>
  </si>
  <si>
    <t>bussRepAssetMngProdInfo.repSmallcredit</t>
  </si>
  <si>
    <t>bussRepAssetMngProdInfo.financialComissue</t>
  </si>
  <si>
    <t>bussRepAssetMngProdInfo.repRemark</t>
  </si>
  <si>
    <t>资产/负债类别</t>
    <phoneticPr fontId="2" type="noConversion"/>
  </si>
  <si>
    <t>受托人</t>
  </si>
  <si>
    <t>资金运用方式</t>
    <phoneticPr fontId="2" type="noConversion"/>
  </si>
  <si>
    <t>委外投资属性</t>
  </si>
  <si>
    <t>委外投资属性</t>
    <phoneticPr fontId="2" type="noConversion"/>
  </si>
  <si>
    <t>是否有预期收益率</t>
    <phoneticPr fontId="2" type="noConversion"/>
  </si>
  <si>
    <t>管理费率%</t>
    <phoneticPr fontId="2" type="noConversion"/>
  </si>
  <si>
    <t>中介服务机构合计费率%</t>
    <phoneticPr fontId="2" type="noConversion"/>
  </si>
  <si>
    <t>其他合计费率%</t>
    <phoneticPr fontId="2" type="noConversion"/>
  </si>
  <si>
    <t>委托投资金额</t>
  </si>
  <si>
    <t>是否投向金融资产投资公司发行的私募资产管理产品</t>
    <phoneticPr fontId="2" type="noConversion"/>
  </si>
  <si>
    <t>bussRepOutInvestAgrInfo.repAssetType</t>
  </si>
  <si>
    <t>bussRepOutInvestAgrInfo.repTrustee</t>
  </si>
  <si>
    <t>bussRepOutInvestAgrInfo.repCapiInvest</t>
  </si>
  <si>
    <t>bussRepOutInvestAgrInfo.repApplicationMode</t>
  </si>
  <si>
    <t>bussRepOutInvestAgrInfo.repCapUseIndu</t>
  </si>
  <si>
    <t>bussRepOutInvestAgrInfo.repCapUseInduLevel2</t>
  </si>
  <si>
    <t>bussRepOutInvestAgrInfo.repTrustInvestAttribute</t>
  </si>
  <si>
    <t>bussRepOutInvestAgrInfo.repContainExpectedYield</t>
  </si>
  <si>
    <t>bussRepOutInvestAgrInfo.repMaxExpectedYield</t>
  </si>
  <si>
    <t>bussRepOutInvestAgrInfo.repMinExpectedYield</t>
  </si>
  <si>
    <t>bussRepOutInvestAgrInfo.repManagementRate</t>
  </si>
  <si>
    <t>bussRepOutInvestAgrInfo.repTrustRate</t>
  </si>
  <si>
    <t>bussRepOutInvestAgrInfo.repTradeSumRate</t>
  </si>
  <si>
    <t>bussRepOutInvestAgrInfo.repIntermediarySumRate</t>
  </si>
  <si>
    <t>bussRepOutInvestAgrInfo.repOtherSumRate</t>
  </si>
  <si>
    <t>bussRepOutInvestAgrInfo.repEntrustInvestMoney</t>
  </si>
  <si>
    <t>bussRepOutInvestAgrInfo.repPrivateprdFlag</t>
  </si>
  <si>
    <t>bussRepOutInvestAgrInfo.repRemark</t>
  </si>
  <si>
    <t>资产/负债类别</t>
    <phoneticPr fontId="2" type="noConversion"/>
  </si>
  <si>
    <t>资管计划登记编码</t>
    <phoneticPr fontId="2" type="noConversion"/>
  </si>
  <si>
    <t>资管计划属性</t>
    <phoneticPr fontId="2" type="noConversion"/>
  </si>
  <si>
    <t>是否有预期收益率</t>
    <phoneticPr fontId="2" type="noConversion"/>
  </si>
  <si>
    <t>预期最低收益率</t>
    <phoneticPr fontId="2" type="noConversion"/>
  </si>
  <si>
    <t>购买结构</t>
    <phoneticPr fontId="2" type="noConversion"/>
  </si>
  <si>
    <t>管理方式</t>
    <phoneticPr fontId="2" type="noConversion"/>
  </si>
  <si>
    <t>是否掌控计划底层资产详情</t>
    <phoneticPr fontId="2" type="noConversion"/>
  </si>
  <si>
    <t>托管费率%</t>
    <phoneticPr fontId="2" type="noConversion"/>
  </si>
  <si>
    <t>交易相关合计费率%</t>
    <phoneticPr fontId="2" type="noConversion"/>
  </si>
  <si>
    <t>金额</t>
    <phoneticPr fontId="2" type="noConversion"/>
  </si>
  <si>
    <t>是否投向金融资产投资公司发行的私募资产管理产品</t>
    <phoneticPr fontId="2" type="noConversion"/>
  </si>
  <si>
    <t>投向金融资产投资公司或其附属机构发行的私募股权投资基金</t>
    <phoneticPr fontId="2" type="noConversion"/>
  </si>
  <si>
    <t>投向市场化债转股相关产品的部分</t>
    <phoneticPr fontId="2" type="noConversion"/>
  </si>
  <si>
    <t>交易相关合计费率%</t>
    <phoneticPr fontId="2" type="noConversion"/>
  </si>
  <si>
    <t>中介服务机构合计费率%</t>
    <phoneticPr fontId="2" type="noConversion"/>
  </si>
  <si>
    <t>委托投资金额</t>
    <phoneticPr fontId="2" type="noConversion"/>
  </si>
  <si>
    <t>受托人</t>
    <phoneticPr fontId="2" type="noConversion"/>
  </si>
  <si>
    <t>RATE_FLAG</t>
  </si>
  <si>
    <t>是否有预期收益率不可为空</t>
  </si>
  <si>
    <t>isNumber2</t>
  </si>
  <si>
    <t>AMT</t>
  </si>
  <si>
    <t>15,2</t>
  </si>
  <si>
    <t>金额格式必须为n(15,2)格式。</t>
  </si>
  <si>
    <t>TRUSTEE</t>
  </si>
  <si>
    <t>受托人不可为空</t>
  </si>
  <si>
    <t>PARTY_CODE</t>
  </si>
  <si>
    <t>资管计划发起人机构编码要素不可为空。</t>
  </si>
  <si>
    <t>金额要素不可为空</t>
  </si>
  <si>
    <t>委托投资金额要素不可为空</t>
  </si>
  <si>
    <t>compareValueAsNumber</t>
  </si>
  <si>
    <t>&gt;=</t>
  </si>
  <si>
    <t>金额必须大于等于0</t>
  </si>
  <si>
    <t>TRU_ACT_TYPE</t>
  </si>
  <si>
    <t>SVR_TRU_ACT_TYPE</t>
  </si>
  <si>
    <t>资金实际投向不在值域范围内</t>
  </si>
  <si>
    <t>资金实际投向要素不可为空</t>
  </si>
  <si>
    <t>inArray</t>
  </si>
  <si>
    <t>20,21,22,23</t>
  </si>
  <si>
    <t>资金实际投向01至19选项为历史数据，不得修改或新增</t>
  </si>
  <si>
    <t>INVEST_TYPE</t>
  </si>
  <si>
    <t>资金运用方式要素不可为空</t>
  </si>
  <si>
    <t>CAP_USE_INDU_LEVEL2</t>
  </si>
  <si>
    <t>资金运用行业要素不可为空</t>
  </si>
  <si>
    <t>PRO_PROPERTY</t>
  </si>
  <si>
    <t>资管计划属性要素不可为空</t>
  </si>
  <si>
    <t>委外投资属性要素不可为空</t>
  </si>
  <si>
    <t>SVR_PRO_PROPERTY</t>
  </si>
  <si>
    <t>委外投资属性不在值域范围内</t>
  </si>
  <si>
    <t>资管计划属性不在值域范围内</t>
  </si>
  <si>
    <t>是否有预期收益率不在值域范围内</t>
  </si>
  <si>
    <t>MAX_RATE</t>
  </si>
  <si>
    <t>预期最高收益率%要素不可为空</t>
  </si>
  <si>
    <t>预期最高收益率%要素必须为空</t>
  </si>
  <si>
    <t>MIN_RATE</t>
  </si>
  <si>
    <t>预期最低收益率%要素必须为空</t>
  </si>
  <si>
    <t>BUY_STRUCT</t>
  </si>
  <si>
    <t>SVR_BUY_STRUCT</t>
  </si>
  <si>
    <t>购买结构要素不在值域范围内。</t>
  </si>
  <si>
    <t>MANAGE_TYPE</t>
  </si>
  <si>
    <t>SVR_MANAGE_STYLE</t>
  </si>
  <si>
    <t>管理方式要素不在值域范围内。</t>
  </si>
  <si>
    <t>MGR_FEE_RATE</t>
  </si>
  <si>
    <t>8,5</t>
  </si>
  <si>
    <t>管理费率%以百分数形式表示时必须为n（8,5）格式</t>
  </si>
  <si>
    <t>管理费率%要素不可为空</t>
  </si>
  <si>
    <t>TRU_FEE_RATE</t>
  </si>
  <si>
    <t>托管费率%以百分数形式表示时必须为n（8,5）格式</t>
  </si>
  <si>
    <t>托管费率%要素不可为空</t>
  </si>
  <si>
    <t>TRADE_FEE_RATE</t>
  </si>
  <si>
    <t>交易相关合计费率%以百分数形式表示时必须为n（8,5）格式</t>
  </si>
  <si>
    <t>交易相关合计费率%要素不可为空</t>
  </si>
  <si>
    <t>AGENCY_FEE_RATE</t>
  </si>
  <si>
    <t>中介服务机构合计费率%以百分数形式表示时必须为n（8,5）格式</t>
  </si>
  <si>
    <t>中介服务机构合计费率%要素不可为空</t>
  </si>
  <si>
    <t>OTHER_FEE_RATE</t>
  </si>
  <si>
    <t>其他合计费率%以百分数形式表示时必须为n（8,5）格式</t>
  </si>
  <si>
    <t>其他合计费率%要素不可为空</t>
  </si>
  <si>
    <t>管理费率计算公式需要在备注中说明。</t>
  </si>
  <si>
    <t>托管费率计算公式需要在备注中说明。</t>
  </si>
  <si>
    <t>交易相关合计费率计算公式需要在备注中说明</t>
  </si>
  <si>
    <t>中介服务机构合计费率计算公式需要在备注中说明。</t>
  </si>
  <si>
    <t>其他合计费率计算公式需要在备注中说明。</t>
  </si>
  <si>
    <t>是否由金融资产投资公司发行要素不能为空。</t>
  </si>
  <si>
    <t>是否由金融资产投资公司发行要素必须为空。</t>
  </si>
  <si>
    <t>委托投资金额必须大于等于0</t>
  </si>
  <si>
    <t>委托投资金额必须为n（15,2）格式。</t>
  </si>
  <si>
    <t>管理方式要素不可以为空</t>
  </si>
  <si>
    <t>资管计划发起人机构编码必须填写白名单中的文字。</t>
  </si>
  <si>
    <t>CHECK_CODE</t>
  </si>
  <si>
    <t>资管计划登记编码必须填写白名单中的文字。</t>
  </si>
  <si>
    <t>资金运用方式必须填写白名单中的文字。</t>
  </si>
  <si>
    <t>ASSET_TYPE</t>
  </si>
  <si>
    <t>资产/负债类别不在值域范围内</t>
  </si>
  <si>
    <t>受托人过长</t>
  </si>
  <si>
    <t>33</t>
  </si>
  <si>
    <t>资管计划登记编码要素不可超长。</t>
  </si>
  <si>
    <t>&lt;=</t>
  </si>
  <si>
    <t>301</t>
  </si>
  <si>
    <t>资金运用方式过长</t>
  </si>
  <si>
    <t>INSTITUTION_INDUSTRY_SECOND_LEVEL</t>
  </si>
  <si>
    <t>资金运用行业不在值域范围内</t>
  </si>
  <si>
    <t>预期最高收益率%以百分数形式表示时必须为n（8,5）格式</t>
  </si>
  <si>
    <t>预期最高收益率%必须大于等于0</t>
  </si>
  <si>
    <t>预期最低收益率%以百分数形式表示时必须为n(8,5)格式</t>
  </si>
  <si>
    <t>comparePropertyAsNumber</t>
  </si>
  <si>
    <t>预期最低收益率必须小于等于预期最高收益率</t>
  </si>
  <si>
    <t>管理费率%必须大于等于0。</t>
  </si>
  <si>
    <t>托管费率%必须大于等于0。</t>
  </si>
  <si>
    <t>交易相关合计费率%必须大于等于0</t>
  </si>
  <si>
    <t>其他合计费率%必须大于等于0。</t>
  </si>
  <si>
    <t>受托人必须填写白名单中的文字。</t>
  </si>
  <si>
    <t>当资产/负债类别为委外投资时</t>
  </si>
  <si>
    <t>当资产/负债类别为资产管理产品时</t>
  </si>
  <si>
    <t>ASSET_TYPE2</t>
  </si>
  <si>
    <t>1701,1702,1703,1704,1705,1706</t>
  </si>
  <si>
    <t>1705</t>
  </si>
  <si>
    <t>[资产/负债类别]为“1705 其他资产管理计划”时</t>
  </si>
  <si>
    <t>2801,2802,2803,2804,2805,2806,2899</t>
  </si>
  <si>
    <t>02</t>
  </si>
  <si>
    <t>&gt;</t>
  </si>
  <si>
    <t>当托管费率不为0时</t>
  </si>
  <si>
    <t>当交易相关合计费率不为0时</t>
  </si>
  <si>
    <t>管理费率不为0</t>
  </si>
  <si>
    <t>当中介服务机构合计费率不为0时</t>
  </si>
  <si>
    <t>当其他合计费率不为0时</t>
  </si>
  <si>
    <t>是否有预期收益率为是</t>
  </si>
  <si>
    <t>是否有预期收益率为否</t>
  </si>
  <si>
    <t>bussRepAssetMngProdInfo.repAssetType</t>
    <phoneticPr fontId="2" type="noConversion"/>
  </si>
  <si>
    <t>bussRepAssetMngProdInfo.repYieldFlag</t>
    <phoneticPr fontId="2" type="noConversion"/>
  </si>
  <si>
    <t>bussRepOutInvestAgrInfo.repTrustee</t>
    <phoneticPr fontId="2" type="noConversion"/>
  </si>
  <si>
    <t>bussRepOutInvestAgrInfo.repTradeSumRate</t>
    <phoneticPr fontId="2" type="noConversion"/>
  </si>
  <si>
    <t>bussRepAssetMngProdInfo.repRemark</t>
    <phoneticPr fontId="2" type="noConversion"/>
  </si>
  <si>
    <t>bussRepOutInvestAgrInfo.repOtherSumRate</t>
    <phoneticPr fontId="2" type="noConversion"/>
  </si>
  <si>
    <t>bussRepOutInvestAgrInfo.repContainExpectedYield</t>
    <phoneticPr fontId="2" type="noConversion"/>
  </si>
  <si>
    <t>bussRepOutInvestAgrInfo.repCapiInvest</t>
    <phoneticPr fontId="2" type="noConversion"/>
  </si>
  <si>
    <t>bussRepAssetMngProdInfo.repCapiInvest</t>
    <phoneticPr fontId="2" type="noConversion"/>
  </si>
  <si>
    <t>bussRepOutInvestAgrInfo.repRemark</t>
    <phoneticPr fontId="2" type="noConversion"/>
  </si>
  <si>
    <t>bussRepAssetMngProdInfo.repPlanProp</t>
    <phoneticPr fontId="2" type="noConversion"/>
  </si>
  <si>
    <t>bussRepOutInvestAgrInfo.repTrustInvestAttribute</t>
    <phoneticPr fontId="2" type="noConversion"/>
  </si>
  <si>
    <t>bussRepAssetMngProdInfo.repPppflag</t>
    <phoneticPr fontId="2" type="noConversion"/>
  </si>
  <si>
    <t>bussRepAssetMngProdInfo.repPartyCode</t>
    <phoneticPr fontId="2" type="noConversion"/>
  </si>
  <si>
    <t>bussRepAssetMngProdInfo.repMinRate</t>
    <phoneticPr fontId="2" type="noConversion"/>
  </si>
  <si>
    <t>bussRepOutInvestAgrInfo.repMinExpectedYield</t>
    <phoneticPr fontId="2" type="noConversion"/>
  </si>
  <si>
    <t>bussRepAssetMngProdInfo.repMaxRate</t>
    <phoneticPr fontId="2" type="noConversion"/>
  </si>
  <si>
    <t>bussRepOutInvestAgrInfo.repMaxExpectedYield</t>
    <phoneticPr fontId="2" type="noConversion"/>
  </si>
  <si>
    <t>bussRepAssetMngProdInfo.repMgrFeeRate</t>
    <phoneticPr fontId="2" type="noConversion"/>
  </si>
  <si>
    <t>bussRepAssetMngProdInfo.repManageType</t>
    <phoneticPr fontId="2" type="noConversion"/>
  </si>
  <si>
    <t>bussRepAssetMngProdInfo.repCapUseWay</t>
    <phoneticPr fontId="2" type="noConversion"/>
  </si>
  <si>
    <t>bussRepOutInvestAgrInfo.repApplicationMode</t>
    <phoneticPr fontId="2" type="noConversion"/>
  </si>
  <si>
    <t>bussRepAssetMngProdInfo.repPrivateprdFlag</t>
    <phoneticPr fontId="2" type="noConversion"/>
  </si>
  <si>
    <t>bussRepOutInvestAgrInfo.repPrivateprdFlag</t>
    <phoneticPr fontId="2" type="noConversion"/>
  </si>
  <si>
    <t>bussRepAssetMngProdInfo.repRegistCode</t>
    <phoneticPr fontId="2" type="noConversion"/>
  </si>
  <si>
    <t>bussRepAssetMngProdInfo.repCapUseInduLevel2</t>
    <phoneticPr fontId="2" type="noConversion"/>
  </si>
  <si>
    <t>bussRepOutInvestAgrInfo.repCapUseInduLevel2</t>
    <phoneticPr fontId="2" type="noConversion"/>
  </si>
  <si>
    <t>bussRepAssetMngProdInfo.repBuyStruct</t>
    <phoneticPr fontId="2" type="noConversion"/>
  </si>
  <si>
    <t>bussRepAssetMngProdInfo.repBondtostockFlag</t>
    <phoneticPr fontId="2" type="noConversion"/>
  </si>
  <si>
    <t>bussRepOutInvestAgrInfo.repEntrustInvestMoney</t>
    <phoneticPr fontId="2" type="noConversion"/>
  </si>
  <si>
    <t>bussRepAssetMngProdInfo.repAmt</t>
    <phoneticPr fontId="2" type="noConversion"/>
  </si>
  <si>
    <t>bussRepOutInvestAgrInfo.repIntermediarySumRate</t>
    <phoneticPr fontId="2" type="noConversion"/>
  </si>
  <si>
    <t>bussRepAssetMngProdInfo.repTradeFeeRate</t>
    <phoneticPr fontId="2" type="noConversion"/>
  </si>
  <si>
    <t>bussRepAssetMngProdInfo.repOtherFeeRate</t>
    <phoneticPr fontId="2" type="noConversion"/>
  </si>
  <si>
    <t>bussRepAssetMngProdInfo.repTruFeeRate</t>
    <phoneticPr fontId="2" type="noConversion"/>
  </si>
  <si>
    <t>bussRepOutInvestAgrInfo.repTrustRate</t>
    <phoneticPr fontId="2" type="noConversion"/>
  </si>
  <si>
    <t>bussRepAssetMngProdInfo.repAgencyFeeRate</t>
    <phoneticPr fontId="2" type="noConversion"/>
  </si>
  <si>
    <t>bussRepOutInvestAgrInfo.repManagementRate</t>
    <phoneticPr fontId="2" type="noConversion"/>
  </si>
  <si>
    <t>中介服务机构合计费率%必须大于等于0。</t>
    <phoneticPr fontId="2" type="noConversion"/>
  </si>
  <si>
    <t>购买结构要素不可以为空</t>
    <phoneticPr fontId="2" type="noConversion"/>
  </si>
  <si>
    <t>资金运用行业要素不可为空</t>
    <phoneticPr fontId="2" type="noConversion"/>
  </si>
  <si>
    <t>是否由金融资产投资公司发行要素必须为空。</t>
    <phoneticPr fontId="2" type="noConversion"/>
  </si>
  <si>
    <t>inArray</t>
    <phoneticPr fontId="2" type="noConversion"/>
  </si>
  <si>
    <t>N,01</t>
    <phoneticPr fontId="2" type="noConversion"/>
  </si>
  <si>
    <t>是否由金融资产投资公司发行要素不在值域范围内。</t>
    <phoneticPr fontId="2" type="noConversion"/>
  </si>
  <si>
    <t>inArray</t>
    <phoneticPr fontId="2" type="noConversion"/>
  </si>
  <si>
    <t>N,01</t>
    <phoneticPr fontId="2" type="noConversion"/>
  </si>
  <si>
    <t>bussRepAssetMngProdInfo.repMaxRate</t>
    <phoneticPr fontId="2" type="noConversion"/>
  </si>
  <si>
    <t>bussRepOutInvestAgrInfo.repMaxExpectedYield</t>
    <phoneticPr fontId="2" type="noConversion"/>
  </si>
  <si>
    <t>其他合计费率%要素不可为空</t>
    <phoneticPr fontId="2" type="noConversion"/>
  </si>
  <si>
    <t>bussRepOutInvestAgrInfo.repOtherSumRate</t>
    <phoneticPr fontId="2" type="noConversion"/>
  </si>
  <si>
    <t>bussRepOutInvestAgrInfo.repOtherSumRate</t>
    <phoneticPr fontId="2" type="noConversion"/>
  </si>
  <si>
    <t>资管计划发起人机构编码过长</t>
    <phoneticPr fontId="2" type="noConversion"/>
  </si>
  <si>
    <t>repAssetType</t>
    <phoneticPr fontId="2" type="noConversion"/>
  </si>
  <si>
    <t>repAssetType</t>
    <phoneticPr fontId="2" type="noConversion"/>
  </si>
  <si>
    <t>bussRepAssetMngProdInfo.repYieldFlag</t>
    <phoneticPr fontId="2" type="noConversion"/>
  </si>
  <si>
    <t>bussRepOutInvestAgrInfo.repContainExpectedYield</t>
    <phoneticPr fontId="2" type="noConversion"/>
  </si>
  <si>
    <t>资管计划属性选择“99 其它”场合</t>
    <phoneticPr fontId="2" type="noConversion"/>
  </si>
  <si>
    <t>bussRepAssetMngProdInfo.repPlanProp</t>
    <phoneticPr fontId="2" type="noConversion"/>
  </si>
  <si>
    <t>884807E5-DF99-D920-E150-007F010077FD</t>
  </si>
  <si>
    <t>884807E5-DF99-D920-E150-007FX10077FD</t>
  </si>
  <si>
    <t>884807E5-DF99-D920-E150-107F010077FD</t>
  </si>
  <si>
    <t>884807E5-DF99-D920-E150-107FX10077FD</t>
  </si>
  <si>
    <t>884807E5-DF9A-D920-E150-007F010077FD</t>
  </si>
  <si>
    <t>884827E5-DF9A-D920-E150-007F010077FD</t>
  </si>
  <si>
    <t>884807E5-DF35-D920-E150-007F010077FD</t>
  </si>
  <si>
    <t>884807E5-DF7F-D920-E136-007F010077FD</t>
  </si>
  <si>
    <t>884807E5-DF7H-D920-E136-007F010077FD</t>
  </si>
  <si>
    <t>884807E5-DF80-D920-E150-107F010077FD</t>
  </si>
  <si>
    <t>884817E5-DF81-D920-E150-007F010077FD</t>
  </si>
  <si>
    <t>884827E5-DF35-D920-E150-007F010077FD</t>
  </si>
  <si>
    <t>884807E5-DF2C-D920-E150-007F010077FD</t>
  </si>
  <si>
    <t>884807E5-DF90-D920-E150-007F010077FD</t>
  </si>
  <si>
    <t>885607E5-DF91-D920-E150-007F037077FD</t>
  </si>
  <si>
    <t>884807E5-DF84-D920-E150-007F010077FD</t>
  </si>
  <si>
    <t>884807E5-DF84-D920-E150-007FD10077FD</t>
  </si>
  <si>
    <t>884808E5-DF84-D920-E150-107FD10077FD</t>
  </si>
  <si>
    <t>884807E5-DF84-D920-E150-107FD10077FD</t>
  </si>
  <si>
    <t>123E4A49-6810-5A9E-E150-007F01006A52</t>
  </si>
  <si>
    <t>884807E5-DF7D-D920-E150-007F010077FD</t>
  </si>
  <si>
    <t>884807E5-EF00-D135-E150-007F010077FD</t>
  </si>
  <si>
    <t>884807E5-EF00-D131-E150-007F010077FD</t>
  </si>
  <si>
    <t>884807E5-EF00-D133-E150-007F010077FD</t>
  </si>
  <si>
    <t>884807E5-EF00-D136-E150-007F010077FD</t>
  </si>
  <si>
    <t>884807E5-EF00-D132-E150-007F010077FD</t>
  </si>
  <si>
    <t>884807E5-EF00-D134-E150-007F010077FD</t>
  </si>
  <si>
    <t>884807E5-DF83-D920-E150-007F010077FD</t>
  </si>
  <si>
    <t>884807E5-DF83-D920-E150-A07F010077FD</t>
  </si>
  <si>
    <t>123E4A49-6810-5A9E-E150-007F01006A55</t>
  </si>
  <si>
    <t>884807E5-DF83-D920-E150-A17F010077FD</t>
  </si>
  <si>
    <t>123E4A49-6810-5A9E-E150-006F01006A55</t>
  </si>
  <si>
    <t>884807E5-DF83-D920-E150-A16F010077FD</t>
  </si>
  <si>
    <t>884807E5-DF91-D920-E150-007F010077FD</t>
  </si>
  <si>
    <t>885607E5-DF91-D920-E150-007F010077FD</t>
  </si>
  <si>
    <t>884807E5-DF8C-D920-E150-007F010077FD</t>
  </si>
  <si>
    <t>884807E5-DF8C-D921-E150-007F010077FD</t>
  </si>
  <si>
    <t>884807E5-DF8A-D920-E150-107F010077FD</t>
  </si>
  <si>
    <t>884807E5-DF8B-D920-E150-007F010077FD</t>
  </si>
  <si>
    <t>884807E5-DF8A-F920-E150-107F010077FD</t>
  </si>
  <si>
    <t>884807E5-DF8B-F920-E150-007F010077FD</t>
  </si>
  <si>
    <t>884807E5-DF93-D920-E150-007F010077FD</t>
  </si>
  <si>
    <t>884807E5-DF93-D920-E150-007F030077FD</t>
  </si>
  <si>
    <t>884807E5-DF93-D920-E150-107F010077FD</t>
  </si>
  <si>
    <t>884807E5-DF93-D920-E150-107F030077FD</t>
  </si>
  <si>
    <t>884807E5-DF94-D920-E150-007F010077FD</t>
  </si>
  <si>
    <t>884807E5-DF94-D810-E150-007F010077FD</t>
  </si>
  <si>
    <t>884807E5-DF8F-D920-E150-007F010077FD</t>
  </si>
  <si>
    <t>884807E5-DF8F-D922-E150-007F010077FD</t>
  </si>
  <si>
    <t>884807E5-DF8D-D920-E139-007F010077FD</t>
  </si>
  <si>
    <t>884807E5-DF8E-D920-E142-007F010077FD</t>
  </si>
  <si>
    <t>884807E5-DF8D-D920-E138-007F010077FD</t>
  </si>
  <si>
    <t>884807E5-DF8E-D920-E141-007F010077FD</t>
  </si>
  <si>
    <t>884807E5-DF9B-D920-E150-007F010077FD</t>
  </si>
  <si>
    <t>884807E5-DF9B-D920-E150-107F010077FD</t>
  </si>
  <si>
    <t>884807E5-DF9B-D922-E150-007F010077FD</t>
  </si>
  <si>
    <t>884807E5-DF9B-D922-E150-107F010077FD</t>
  </si>
  <si>
    <t>884807E5-DF9C-D920-E142-007F010077FD</t>
  </si>
  <si>
    <t>884807E5-DF9C-D920-E143-007F010077FD</t>
  </si>
  <si>
    <t>884807E5-DF7C-D920-E150-007F010077FD</t>
  </si>
  <si>
    <t>123E4A49-6810-5A9E-E150-007F01006A51</t>
  </si>
  <si>
    <t>884807E5-DF7C-D920-E150-107F010077FD</t>
  </si>
  <si>
    <t>884807E5-DF88-D920-E150-007F010077FD</t>
  </si>
  <si>
    <t>884807E5-DF88-D920-E150-007F010877FD</t>
  </si>
  <si>
    <t>884807E5-DF88-D920-E150-107F010877FD</t>
  </si>
  <si>
    <t>884807E5-DF88-D920-E150-207F010877FD</t>
  </si>
  <si>
    <t>443E4A59-6810-5A9E-E150-007F01006A36</t>
  </si>
  <si>
    <t>884807E5-DF89-D920-E150-007F010077FD</t>
  </si>
  <si>
    <t>884807E5-DF89-D920-E150-107F010077FD</t>
  </si>
  <si>
    <t>884807E5-DF89-D920-E150-207F010077FD</t>
  </si>
  <si>
    <t>884807E5-DF9D-D920-E150-007F010077FD</t>
  </si>
  <si>
    <t>884807E5-DF9E-D920-E150-007F010077FD</t>
  </si>
  <si>
    <t>884807E5-DF9F-D920-E150-007F010077FD</t>
  </si>
  <si>
    <t>884807E5-DFA0-D920-E150-007F010077FD</t>
  </si>
  <si>
    <t>884807E5-DFA1-D920-E150-007F010077FD</t>
  </si>
  <si>
    <t>884807E5-DFA2-D920-E150-007F010077FD</t>
  </si>
  <si>
    <t>884807E5-DF35-D981-E151-117F01007914</t>
  </si>
  <si>
    <t>884807E5-DF1E-D920-E150-117F010077FD</t>
  </si>
  <si>
    <t>443E4A49-6810-5A9E-E150-117F01006A13</t>
  </si>
  <si>
    <t>884807E5-DF79-D920-E150-117F010077FD</t>
  </si>
  <si>
    <t>884807E5-DF7A-D920-E150-117F010077FD</t>
  </si>
  <si>
    <t>003E4A49-6810-5A9E-E147-007F01006A85</t>
  </si>
  <si>
    <t>123E4A49-6810-5A9E-E149-007F01006A15</t>
  </si>
  <si>
    <t>003E4A49-6810-5A9E-E166-007F01006A85</t>
  </si>
  <si>
    <t>123E4A49-6810-5A9E-E166-007F01006A15</t>
  </si>
  <si>
    <t>884807E5-DF97-D920-E150-007F010077FD</t>
  </si>
  <si>
    <t>884807E5-DF97-D920-E150-007F910077FD</t>
  </si>
  <si>
    <t>884807E5-DF97-D920-E150-107F010077FD</t>
  </si>
  <si>
    <t>884807E5-DF97-D920-E150-107F910077FD</t>
  </si>
  <si>
    <t>884807E5-DF98-D924-E143-007F010077FD</t>
  </si>
  <si>
    <t>884807E5-DF98-D924-E144-007F010077FD</t>
  </si>
  <si>
    <t>884807E5-DF82-D920-E150-007F010077FD</t>
  </si>
  <si>
    <t>884807E5-DF82-D920-E150-007FD10077FD</t>
  </si>
  <si>
    <t>884807E5-DF82-D920-E150-107F010077FD</t>
  </si>
  <si>
    <t>884807E5-DF82-D920-E150-107FD10077FD</t>
  </si>
  <si>
    <t>884807E5-DF82-D920-E150-207FD10077FD</t>
  </si>
  <si>
    <t>884807E5-DF82-D920-E150-307FD10077FD</t>
  </si>
  <si>
    <t>884807E5-DF95-D920-E150-007F010077FD</t>
  </si>
  <si>
    <t>884807E5-DF95-D920-E150-007F710077FD</t>
  </si>
  <si>
    <t>884807E5-DF95-D920-E150-107F010077FD</t>
  </si>
  <si>
    <t>884807E5-DF95-D920-E150-107F710077FD</t>
  </si>
  <si>
    <t>884807E5-DF96-D920-E150-007F010077FD</t>
  </si>
  <si>
    <t>884807E5-DF96-D921-E150-007F010077FD</t>
  </si>
  <si>
    <t>884807E5-DF6C-D920-E150-107F01007SFD</t>
  </si>
  <si>
    <t>884807E5-DF6C-D920-E150-207F01007SFD</t>
  </si>
  <si>
    <t>de294A49-6813-5A9E-E150-107F01006B23</t>
  </si>
  <si>
    <t>784807E5-DF67-D920-E150-007F010077FD</t>
  </si>
  <si>
    <t>784807E5-DF67-D920-E150-007F010098FD</t>
  </si>
  <si>
    <t>784807E5-DF38-D941-E150-007F111177FD</t>
  </si>
  <si>
    <t>784807E5-DF38-D942-E150-007F112077FD</t>
  </si>
  <si>
    <t>784807E5-DF38-D920-E150-007F111177FD</t>
  </si>
  <si>
    <t>784807E5-DF38-D920-E150-007F112077FD</t>
  </si>
  <si>
    <t>553E4A49-6811-5A9E-E150-007F01006A21</t>
  </si>
  <si>
    <t>333E4A49-6810-5A9E-E150-007F01016A59</t>
  </si>
  <si>
    <t>784807E5-DF81-D920-E150-007F010077FD</t>
  </si>
  <si>
    <t>784807E5-DF81-D920-E188-007F010077FD</t>
  </si>
  <si>
    <t>784807E5-DF81-D920-E189-007F010077FD</t>
  </si>
  <si>
    <t>784807E5-DF84-D920-E150-007F010077FD</t>
  </si>
  <si>
    <t>784807E5-DF85-D920-E150-007F010077FD</t>
  </si>
  <si>
    <t>333E4A49-6810-5A9E-E150-007F01006C59</t>
  </si>
  <si>
    <t>784807E5-DF85-D920-E150-107F010077FD</t>
  </si>
  <si>
    <t>333E4A49-6810-5A9E-E150-107F01006C59</t>
  </si>
  <si>
    <t>784807E5-DF85-D920-E150-207F010077FD</t>
  </si>
  <si>
    <t>333E4A49-6810-5A9E-E150-207F01006C59</t>
  </si>
  <si>
    <t>784807E5-DF86-D920-E150-007F010077FD</t>
  </si>
  <si>
    <t>333E4A49-6810-5A9E-E150-107F01006A59</t>
  </si>
  <si>
    <t>784807E5-DF87-D920-E150-007F010077FD</t>
  </si>
  <si>
    <t>333E4A49-6810-5A9E-E150-007F01116A59</t>
  </si>
  <si>
    <t>784807E5-DF8A-D920-E150-007F010077FD</t>
  </si>
  <si>
    <t>784807E5-DF88-D920-E150-007F010977FD</t>
  </si>
  <si>
    <t>784807E5-DF88-D920-E150-107F010977FD</t>
  </si>
  <si>
    <t>784807E5-DF8A-D920-E150-107F010077FD</t>
  </si>
  <si>
    <t>784807E5-DF8B-D920-E150-007F010077FD</t>
  </si>
  <si>
    <t>553E4A49-6811-5A9E-E150-107F01006A21</t>
  </si>
  <si>
    <t>784807E5-DF8B-D920-E150-107F010077FD</t>
  </si>
  <si>
    <t>784807E5-DF8F-D920-E150-007F010077FD</t>
  </si>
  <si>
    <t>784807E5-DF90-D920-E150-007F010077FD</t>
  </si>
  <si>
    <t>784807E5-DF92-D920-E150-007F010077FD</t>
  </si>
  <si>
    <t>784807E5-DF92-D920-E150-007F610077FD</t>
  </si>
  <si>
    <t>784807E5-DF92-D920-E150-107F610077FD</t>
  </si>
  <si>
    <t>784807E5-DF92-D920-E150-107F010077FD</t>
  </si>
  <si>
    <t>784807E5-DF93-D920-E150-007F010077FD</t>
  </si>
  <si>
    <t>784807E5-DF92-D920-E150-007F610677FD</t>
  </si>
  <si>
    <t>784807E5-DF92-D920-E150-107F610677FD</t>
  </si>
  <si>
    <t>784807E5-DF93-D920-E150-107F010077FD</t>
  </si>
  <si>
    <t>784807E5-DF94-D920-E150-007F010077FD</t>
  </si>
  <si>
    <t>784807E5-DF92-D920-E150-007F910077FD</t>
  </si>
  <si>
    <t>784807E5-DF94-D920-E150-107F010077FD</t>
  </si>
  <si>
    <t>784807E5-DF92-D920-E150-107F910077FD</t>
  </si>
  <si>
    <t>784807E5-DF95-D920-E150-007F010077FD</t>
  </si>
  <si>
    <t>784807E5-DF92-D920-E150-007FD10077FD</t>
  </si>
  <si>
    <t>784807E5-DF95-D920-E150-107F010077FD</t>
  </si>
  <si>
    <t>784807E5-DF92-D920-E150-107FD10077FD</t>
  </si>
  <si>
    <t>784807E5-DF96-D920-E150-007F010077FD</t>
  </si>
  <si>
    <t>784807E5-DF96-D920-E150-107F010077FD</t>
  </si>
  <si>
    <t>784807E5-DF92-D920-E150-007FV10077FD</t>
  </si>
  <si>
    <t>784807E5-DF92-D920-E150-107FV10077FD</t>
  </si>
  <si>
    <t>775807E5-DF98-D920-E150-007F010077FD</t>
  </si>
  <si>
    <t>775807E5-DF99-D920-E150-007F010077FD</t>
  </si>
  <si>
    <t>767807E5-DF9A-D920-E150-007F010077FD</t>
  </si>
  <si>
    <t>773807E5-DFA0-D920-E150-007F010077FD</t>
  </si>
  <si>
    <t>776807E5-DFA1-D920-E150-007F010077FD</t>
  </si>
  <si>
    <t>784807E5-DF9A-D920-E150-117F010077FD</t>
  </si>
  <si>
    <t>784807E5-DF9A-D920-E150-007F010077FD</t>
  </si>
  <si>
    <t>784807E5-DFA1-D920-E150-117F010077FD</t>
  </si>
  <si>
    <t>784807E5-DFA1-D920-E150-007F010077FD</t>
  </si>
  <si>
    <t>784807E5-DF99-D920-E150-117F010077FD</t>
  </si>
  <si>
    <t>784807E5-DF8E-D920-E150-007F010077FD</t>
  </si>
  <si>
    <t>784807F5-DF8E-D920-E150-007F010077FD</t>
  </si>
  <si>
    <t>784807E5-DF8C-D920-E150-007F010077FD</t>
  </si>
  <si>
    <t>784807E5-DF99-D920-E150-007F010077FD</t>
  </si>
  <si>
    <t>784807E5-DFA0-D920-E150-117F010077FD</t>
  </si>
  <si>
    <t>784807E5-DFA0-D920-E150-007F010077FD</t>
  </si>
  <si>
    <t>784807E5-DF98-D920-E150-117F010077FD</t>
  </si>
  <si>
    <t>784807E5-DF98-D920-E150-007F010077FD</t>
  </si>
  <si>
    <t>784807E5-DF8D-D920-E150-007F010077FD</t>
  </si>
  <si>
    <t>784707E5-DF8C-D920-E150-007F010077FD</t>
  </si>
  <si>
    <t>784707E5-DF8D-D920-E150-007F010077FD</t>
  </si>
  <si>
    <t>784807E5-DF97-D920-E150-007F010077FD</t>
  </si>
  <si>
    <t>FinPlanProfitAsset002</t>
    <phoneticPr fontId="2" type="noConversion"/>
  </si>
  <si>
    <t>HTML-NAME</t>
    <phoneticPr fontId="2" type="noConversion"/>
  </si>
  <si>
    <t>DELETE FROM CHB_DATACHECK_RULE_INV WHERE PAGE_ID = 'FinPlanProfitAsset002';</t>
    <phoneticPr fontId="2" type="noConversion"/>
  </si>
  <si>
    <t>DELETE FROM CHB_DATACHECK_CONDITION_INV WHERE CHECKRULEID IN (SELECT CHECKRULEID FROM CHB_DATACHECK_RULE_INV WHERE PAGE_ID = 'FinPlanProfitAsset002');</t>
    <phoneticPr fontId="2" type="noConversion"/>
  </si>
  <si>
    <t>884807E5-DF8A-D920-E150-007F010077FD</t>
    <phoneticPr fontId="2" type="noConversion"/>
  </si>
  <si>
    <t>884807E5-DF8A-D921-E150-007F010077FD</t>
    <phoneticPr fontId="2" type="noConversion"/>
  </si>
  <si>
    <t>884807E5-DF9E-D920-E150-007F010077FD</t>
    <phoneticPr fontId="2" type="noConversion"/>
  </si>
  <si>
    <t>884807E5-DF9F-D920-E150-007F010077FD</t>
    <phoneticPr fontId="2" type="noConversion"/>
  </si>
  <si>
    <t>884807E5-DFA0-D920-E150-007F010077FD</t>
    <phoneticPr fontId="2" type="noConversion"/>
  </si>
  <si>
    <t>884807E5-DFA1-D920-E150-007F010077FD</t>
    <phoneticPr fontId="2" type="noConversion"/>
  </si>
  <si>
    <t>884807E5-DFA2-D920-E150-007F010077FD</t>
    <phoneticPr fontId="2" type="noConversion"/>
  </si>
  <si>
    <t>884807E5-DF8A-D921-E150-007F010077FD</t>
    <phoneticPr fontId="2" type="noConversion"/>
  </si>
  <si>
    <t>884807E5-DF8F-D920-E150-007F010077FD</t>
    <phoneticPr fontId="2" type="noConversion"/>
  </si>
  <si>
    <t>884807E5-DF8F-D922-E150-007F010077FD</t>
    <phoneticPr fontId="2" type="noConversion"/>
  </si>
  <si>
    <t>884807E5-DF8C-D920-E150-007F010077FD</t>
    <phoneticPr fontId="2" type="noConversion"/>
  </si>
  <si>
    <t>884807E5-DF8C-D921-E150-007F010077FD</t>
    <phoneticPr fontId="2" type="noConversion"/>
  </si>
  <si>
    <t>ASSET_NAME</t>
  </si>
  <si>
    <t>名称必须填写白名单中的文字。</t>
  </si>
  <si>
    <t>finprodName</t>
  </si>
  <si>
    <t>ASSET_ID</t>
  </si>
  <si>
    <t>代码必须填写白名单中的文字。</t>
  </si>
  <si>
    <t>finprodMarketId</t>
    <phoneticPr fontId="2" type="noConversion"/>
  </si>
  <si>
    <t>isValidDate</t>
  </si>
  <si>
    <t>VDATE</t>
  </si>
  <si>
    <t>yyyy-MM-dd</t>
  </si>
  <si>
    <t>vdate</t>
    <phoneticPr fontId="2" type="noConversion"/>
  </si>
  <si>
    <t>compareProperty</t>
  </si>
  <si>
    <t>MDATE</t>
  </si>
  <si>
    <t>mdate</t>
    <phoneticPr fontId="2" type="noConversion"/>
  </si>
  <si>
    <t>mdate</t>
    <phoneticPr fontId="2" type="noConversion"/>
  </si>
  <si>
    <t>193fc34f-a0ed-5cda-8ac4-58482b2c7283</t>
  </si>
  <si>
    <t>34506121-1e7b-5d0f-9cee-474e89b585c9</t>
  </si>
  <si>
    <t>6ac41519-8580-5feb-85b6-6fc6017e8597</t>
  </si>
  <si>
    <t>0dd1c360-da52-5a2c-98e4-8294e1c3430c</t>
  </si>
  <si>
    <t>5c2a3e7e-f165-525e-863c-c9d68ee08713</t>
  </si>
  <si>
    <t>c4b73bb8-0c50-524d-a229-26b334be4fed</t>
  </si>
  <si>
    <t>f502404c-1bef-59eb-9966-f366ca1e2e93</t>
  </si>
  <si>
    <t>PAGE_ID</t>
    <phoneticPr fontId="2" type="noConversion"/>
  </si>
  <si>
    <t>REP_TYPE</t>
    <phoneticPr fontId="2" type="noConversion"/>
  </si>
  <si>
    <t>SRCPROPERTY</t>
    <phoneticPr fontId="2" type="noConversion"/>
  </si>
  <si>
    <t>bussRepAssetMngProdInfo</t>
  </si>
  <si>
    <t>bussRepOutInvestAgrInfo</t>
  </si>
  <si>
    <t>FinPlanProfitAsset002</t>
  </si>
  <si>
    <t>FinPlanProfitAsset002</t>
    <phoneticPr fontId="2" type="noConversion"/>
  </si>
  <si>
    <t>FinPlanProfitAsset002</t>
    <phoneticPr fontId="2" type="noConversion"/>
  </si>
  <si>
    <t>DELETE FROM CHB_DATACHECK_REP_TYPE_INV WHERE PAGE_ID = 'FinPlanProfitAsset002';</t>
    <phoneticPr fontId="2" type="noConversion"/>
  </si>
  <si>
    <t>bussRepOutInvestAgrInfo.repContainExpectedYield</t>
    <phoneticPr fontId="2" type="noConversion"/>
  </si>
  <si>
    <t>D</t>
    <phoneticPr fontId="2" type="noConversion"/>
  </si>
  <si>
    <t>SVR_ASSET_TYPE_SECOND_LEVEL</t>
    <phoneticPr fontId="2" type="noConversion"/>
  </si>
  <si>
    <t>D</t>
    <phoneticPr fontId="2" type="noConversion"/>
  </si>
  <si>
    <t>D</t>
    <phoneticPr fontId="2" type="noConversion"/>
  </si>
  <si>
    <t>E</t>
    <phoneticPr fontId="2" type="noConversion"/>
  </si>
  <si>
    <t>D</t>
    <phoneticPr fontId="2" type="noConversion"/>
  </si>
  <si>
    <t>成立日必须为日期格式（YYYY-MM-DD）。</t>
    <phoneticPr fontId="2" type="noConversion"/>
  </si>
  <si>
    <t>成立日不可以为空</t>
    <phoneticPr fontId="2" type="noConversion"/>
  </si>
  <si>
    <t>终止日必须大于等于起息日。</t>
    <phoneticPr fontId="2" type="noConversion"/>
  </si>
  <si>
    <t>终止日要素必须为日期格式（YYYY-MM-DD）。</t>
    <phoneticPr fontId="2" type="noConversion"/>
  </si>
  <si>
    <t>终止日不可以为空</t>
    <phoneticPr fontId="2" type="noConversion"/>
  </si>
  <si>
    <t>D</t>
  </si>
  <si>
    <t>CHB_OUTSOURCE_INVEST_PROPERTY</t>
    <phoneticPr fontId="2" type="noConversion"/>
  </si>
  <si>
    <t>CHECKCLASS</t>
    <phoneticPr fontId="2" type="noConversion"/>
  </si>
  <si>
    <t>com.joyintech.tams.invest.common.ChbBaseCheckLib</t>
    <phoneticPr fontId="2" type="noConversion"/>
  </si>
  <si>
    <t>f17a8951-6855-5852-8994-6fb6cbd3663d</t>
    <phoneticPr fontId="2" type="noConversion"/>
  </si>
  <si>
    <t>FinPlanProfitAsset002</t>
    <phoneticPr fontId="2" type="noConversion"/>
  </si>
  <si>
    <t>资产名称不可为空。</t>
    <phoneticPr fontId="2" type="noConversion"/>
  </si>
  <si>
    <t>finprodName</t>
    <phoneticPr fontId="2" type="noConversion"/>
  </si>
  <si>
    <t>com.joyintech.tams.invest.common.ChbBaseCheckLib</t>
  </si>
  <si>
    <t>284807E5-DF28-D920-E060-007F0100ZL26</t>
    <phoneticPr fontId="2" type="noConversion"/>
  </si>
  <si>
    <t>FinPlanProfitAsset002</t>
    <phoneticPr fontId="2" type="noConversion"/>
  </si>
  <si>
    <t>33</t>
    <phoneticPr fontId="2" type="noConversion"/>
  </si>
  <si>
    <t>资产代码不能过长。</t>
    <phoneticPr fontId="2" type="noConversion"/>
  </si>
  <si>
    <t>finprodMarketId</t>
    <phoneticPr fontId="2" type="noConversion"/>
  </si>
  <si>
    <t>284807E5-DF28-D920-E060-007F0100ZL27</t>
    <phoneticPr fontId="2" type="noConversion"/>
  </si>
  <si>
    <t>bussRepOutInvestAgrInfo.repRemark</t>
    <phoneticPr fontId="2" type="noConversion"/>
  </si>
  <si>
    <t>284807E5-DF28-D920-E060-007F0100ZL28</t>
    <phoneticPr fontId="2" type="noConversion"/>
  </si>
  <si>
    <t>Y</t>
    <phoneticPr fontId="2" type="noConversion"/>
  </si>
  <si>
    <t>资产名称不能过长。</t>
    <phoneticPr fontId="2" type="noConversion"/>
  </si>
  <si>
    <t>284807E5-DF28-D920-E060-007F0100ZY27</t>
    <phoneticPr fontId="2" type="noConversion"/>
  </si>
  <si>
    <t>委外投资属性选择“99 其它”场合</t>
    <phoneticPr fontId="2" type="noConversion"/>
  </si>
  <si>
    <t>bussRepOutInvestAgrInfo.repTrustInvestAttribute</t>
    <phoneticPr fontId="2" type="noConversion"/>
  </si>
  <si>
    <t>资管计划属性选择“99 其他”场合</t>
    <phoneticPr fontId="2" type="noConversion"/>
  </si>
  <si>
    <t>委外投资属性选择“99 其他”场合</t>
    <phoneticPr fontId="2" type="noConversion"/>
  </si>
  <si>
    <t>D</t>
    <phoneticPr fontId="2" type="noConversion"/>
  </si>
  <si>
    <t>284807E5-DF28-D920-E060-007F0100ZL39</t>
  </si>
  <si>
    <t>资产/负债类别不可以为空</t>
  </si>
  <si>
    <t>insert into CHB_DATACHECK_RULE_INV values ('284807E5-DF28-D920-E060-007F0100ZL39','FinPlanProfitAsset002','isNotEmpty','repAssetType','','','N','资产/负债类别不可以为空','E','com.joyintech.tams.invest.common.ChbBaseCheckLib');</t>
  </si>
  <si>
    <t>D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</si>
</sst>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宋体"/>
      <family val="2"/>
      <scheme val="minor"/>
    </font>
    <font>
      <sz val="10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b/>
      <sz val="10"/>
      <color theme="1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sz val="11"/>
      <name val="宋体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0" borderId="0" xfId="0" applyFont="1"/>
    <xf numFmtId="0" fontId="0" fillId="0" borderId="0" xfId="0" applyAlignment="1">
      <alignment vertical="center"/>
    </xf>
    <xf numFmtId="0" fontId="0" fillId="0" borderId="1" xfId="0" applyBorder="1" applyAlignment="1">
      <alignment vertical="center"/>
    </xf>
    <xf numFmtId="0" fontId="4" fillId="0" borderId="1" xfId="0" applyFont="1" applyBorder="1" applyAlignment="1">
      <alignment horizontal="center" vertical="center"/>
    </xf>
    <xf numFmtId="0" fontId="3" fillId="0" borderId="0" xfId="0" applyFont="1" applyAlignment="1">
      <alignment horizontal="center"/>
    </xf>
    <xf numFmtId="0" fontId="0" fillId="0" borderId="1" xfId="0" applyBorder="1"/>
    <xf numFmtId="0" fontId="4" fillId="0" borderId="1" xfId="0" applyFont="1" applyBorder="1" applyAlignment="1">
      <alignment horizontal="center"/>
    </xf>
    <xf numFmtId="0" fontId="0" fillId="2" borderId="0" xfId="0" applyFill="1"/>
    <xf numFmtId="0" fontId="4" fillId="0" borderId="0" xfId="0" applyFont="1" applyFill="1" applyAlignment="1">
      <alignment horizontal="center"/>
    </xf>
    <xf numFmtId="0" fontId="4" fillId="0" borderId="1" xfId="0" applyNumberFormat="1" applyFont="1" applyBorder="1" applyAlignment="1">
      <alignment horizontal="center" vertical="center"/>
    </xf>
    <xf numFmtId="0" fontId="0" fillId="0" borderId="0" xfId="0" applyNumberFormat="1" applyAlignment="1">
      <alignment vertical="center"/>
    </xf>
    <xf numFmtId="0" fontId="0" fillId="0" borderId="1" xfId="0" applyNumberFormat="1" applyBorder="1" applyAlignment="1">
      <alignment vertical="center"/>
    </xf>
    <xf numFmtId="0" fontId="1" fillId="0" borderId="1" xfId="0" applyFont="1" applyBorder="1"/>
    <xf numFmtId="0" fontId="0" fillId="3" borderId="1" xfId="0" applyFill="1" applyBorder="1" applyAlignment="1">
      <alignment vertical="center"/>
    </xf>
    <xf numFmtId="0" fontId="0" fillId="3" borderId="1" xfId="0" applyFill="1" applyBorder="1"/>
    <xf numFmtId="0" fontId="0" fillId="3" borderId="0" xfId="0" applyFill="1"/>
    <xf numFmtId="0" fontId="5" fillId="3" borderId="1" xfId="0" applyFont="1" applyFill="1" applyBorder="1" applyAlignment="1">
      <alignment vertical="center"/>
    </xf>
    <xf numFmtId="0" fontId="1" fillId="0" borderId="1" xfId="0" applyFont="1" applyFill="1" applyBorder="1"/>
    <xf numFmtId="49" fontId="1" fillId="0" borderId="1" xfId="0" applyNumberFormat="1" applyFont="1" applyFill="1" applyBorder="1"/>
    <xf numFmtId="0" fontId="4" fillId="0" borderId="2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0" xfId="0" applyBorder="1"/>
    <xf numFmtId="0" fontId="4" fillId="0" borderId="1" xfId="0" applyFont="1" applyFill="1" applyBorder="1" applyAlignment="1">
      <alignment horizontal="center"/>
    </xf>
    <xf numFmtId="0" fontId="0" fillId="0" borderId="1" xfId="0" applyFill="1" applyBorder="1" applyAlignment="1">
      <alignment vertical="center"/>
    </xf>
    <xf numFmtId="0" fontId="0" fillId="0" borderId="1" xfId="0" applyFill="1" applyBorder="1"/>
    <xf numFmtId="0" fontId="0" fillId="0" borderId="0" xfId="0" applyFill="1"/>
    <xf numFmtId="0" fontId="1" fillId="0" borderId="0" xfId="0" applyFont="1" applyFill="1"/>
    <xf numFmtId="0" fontId="0" fillId="2" borderId="1" xfId="0" applyFill="1" applyBorder="1"/>
    <xf numFmtId="0" fontId="0" fillId="2" borderId="0" xfId="0" applyFill="1" applyBorder="1"/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21"/>
  <sheetViews>
    <sheetView tabSelected="1" workbookViewId="0">
      <selection activeCell="L121" sqref="L121"/>
    </sheetView>
  </sheetViews>
  <sheetFormatPr defaultRowHeight="13.5" x14ac:dyDescent="0.15"/>
  <cols>
    <col min="1" max="1" width="40.5" style="6" bestFit="1" customWidth="1"/>
    <col min="2" max="2" width="23" style="6" customWidth="1"/>
    <col min="3" max="3" width="26.125" style="6" bestFit="1" customWidth="1"/>
    <col min="4" max="4" width="21.625" style="6" bestFit="1" customWidth="1"/>
    <col min="5" max="5" width="16" style="6" bestFit="1" customWidth="1"/>
    <col min="6" max="6" width="50.625" style="6" customWidth="1"/>
    <col min="7" max="7" width="14.75" style="6" bestFit="1" customWidth="1"/>
    <col min="8" max="8" width="54.75" style="6" customWidth="1"/>
    <col min="9" max="9" width="10" style="6" customWidth="1"/>
    <col min="10" max="10" width="51.25" style="6" customWidth="1"/>
    <col min="11" max="11" width="51.25" style="22" customWidth="1"/>
  </cols>
  <sheetData>
    <row r="1" spans="1:12" s="9" customFormat="1" x14ac:dyDescent="0.15">
      <c r="A1" s="4" t="s">
        <v>0</v>
      </c>
      <c r="B1" s="4" t="s">
        <v>37</v>
      </c>
      <c r="C1" s="4" t="s">
        <v>1</v>
      </c>
      <c r="D1" s="4" t="s">
        <v>2</v>
      </c>
      <c r="E1" s="4" t="s">
        <v>3</v>
      </c>
      <c r="F1" s="4" t="s">
        <v>4</v>
      </c>
      <c r="G1" s="4" t="s">
        <v>5</v>
      </c>
      <c r="H1" s="4" t="s">
        <v>6</v>
      </c>
      <c r="I1" s="4" t="s">
        <v>7</v>
      </c>
      <c r="J1" s="23" t="s">
        <v>484</v>
      </c>
      <c r="K1" s="23" t="s">
        <v>543</v>
      </c>
      <c r="L1" s="23" t="s">
        <v>485</v>
      </c>
    </row>
    <row r="2" spans="1:12" x14ac:dyDescent="0.15">
      <c r="A2" s="3" t="s">
        <v>304</v>
      </c>
      <c r="B2" s="3" t="s">
        <v>483</v>
      </c>
      <c r="C2" s="3" t="s">
        <v>137</v>
      </c>
      <c r="D2" s="3" t="s">
        <v>189</v>
      </c>
      <c r="E2" s="3" t="s">
        <v>148</v>
      </c>
      <c r="F2" s="3" t="s">
        <v>180</v>
      </c>
      <c r="G2" s="3" t="s">
        <v>17</v>
      </c>
      <c r="H2" s="3" t="s">
        <v>190</v>
      </c>
      <c r="I2" s="3" t="s">
        <v>530</v>
      </c>
      <c r="J2" s="6" t="s">
        <v>80</v>
      </c>
      <c r="K2" s="24" t="s">
        <v>544</v>
      </c>
      <c r="L2" s="6" t="str">
        <f>CONCATENATE("insert into CHB_DATACHECK_RULE_INV values ('",A2,"','",B2,"','",C2,"','",J2,"','",E2,"','",F2,"','",G2,"','",H2,"','",I2,"','",K2,"');")</f>
        <v>insert into CHB_DATACHECK_RULE_INV values ('884807E5-DF99-D920-E150-007F010077FD','FinPlanProfitAsset002','isNumber2','bussRepAssetMngProdInfo.repAgencyFeeRate','&gt;=','8,5','Y','中介服务机构合计费率%以百分数形式表示时必须为n（8,5）格式','D','com.joyintech.tams.invest.common.ChbBaseCheckLib');</v>
      </c>
    </row>
    <row r="3" spans="1:12" x14ac:dyDescent="0.15">
      <c r="A3" s="3" t="s">
        <v>305</v>
      </c>
      <c r="B3" s="3" t="s">
        <v>483</v>
      </c>
      <c r="C3" s="3" t="s">
        <v>137</v>
      </c>
      <c r="D3" s="3" t="s">
        <v>189</v>
      </c>
      <c r="E3" s="3" t="s">
        <v>148</v>
      </c>
      <c r="F3" s="3" t="s">
        <v>180</v>
      </c>
      <c r="G3" s="3" t="s">
        <v>17</v>
      </c>
      <c r="H3" s="3" t="s">
        <v>190</v>
      </c>
      <c r="I3" s="3" t="s">
        <v>530</v>
      </c>
      <c r="J3" s="6" t="s">
        <v>112</v>
      </c>
      <c r="K3" s="24" t="s">
        <v>544</v>
      </c>
      <c r="L3" s="6" t="str">
        <f t="shared" ref="L3:L66" si="0">CONCATENATE("insert into CHB_DATACHECK_RULE_INV values ('",A3,"','",B3,"','",C3,"','",J3,"','",E3,"','",F3,"','",G3,"','",H3,"','",I3,"','",K3,"');")</f>
        <v>insert into CHB_DATACHECK_RULE_INV values ('884807E5-DF99-D920-E150-007FX10077FD','FinPlanProfitAsset002','isNumber2','bussRepOutInvestAgrInfo.repIntermediarySumRate','&gt;=','8,5','Y','中介服务机构合计费率%以百分数形式表示时必须为n（8,5）格式','D','com.joyintech.tams.invest.common.ChbBaseCheckLib');</v>
      </c>
    </row>
    <row r="4" spans="1:12" x14ac:dyDescent="0.15">
      <c r="A4" s="3" t="s">
        <v>306</v>
      </c>
      <c r="B4" s="3" t="s">
        <v>483</v>
      </c>
      <c r="C4" s="3" t="s">
        <v>12</v>
      </c>
      <c r="D4" s="3" t="s">
        <v>189</v>
      </c>
      <c r="E4" s="3"/>
      <c r="F4" s="3"/>
      <c r="G4" s="3" t="s">
        <v>15</v>
      </c>
      <c r="H4" s="3" t="s">
        <v>191</v>
      </c>
      <c r="I4" s="3" t="s">
        <v>530</v>
      </c>
      <c r="J4" s="6" t="s">
        <v>80</v>
      </c>
      <c r="K4" s="24" t="s">
        <v>544</v>
      </c>
      <c r="L4" s="6" t="str">
        <f t="shared" si="0"/>
        <v>insert into CHB_DATACHECK_RULE_INV values ('884807E5-DF99-D920-E150-107F010077FD','FinPlanProfitAsset002','isNotEmpty','bussRepAssetMngProdInfo.repAgencyFeeRate','','','N','中介服务机构合计费率%要素不可为空','D','com.joyintech.tams.invest.common.ChbBaseCheckLib');</v>
      </c>
    </row>
    <row r="5" spans="1:12" x14ac:dyDescent="0.15">
      <c r="A5" s="3" t="s">
        <v>307</v>
      </c>
      <c r="B5" s="3" t="s">
        <v>483</v>
      </c>
      <c r="C5" s="3" t="s">
        <v>12</v>
      </c>
      <c r="D5" s="3" t="s">
        <v>189</v>
      </c>
      <c r="E5" s="3"/>
      <c r="F5" s="3"/>
      <c r="G5" s="3" t="s">
        <v>15</v>
      </c>
      <c r="H5" s="3" t="s">
        <v>191</v>
      </c>
      <c r="I5" s="3" t="s">
        <v>530</v>
      </c>
      <c r="J5" s="6" t="s">
        <v>112</v>
      </c>
      <c r="K5" s="24" t="s">
        <v>544</v>
      </c>
      <c r="L5" s="6" t="str">
        <f t="shared" si="0"/>
        <v>insert into CHB_DATACHECK_RULE_INV values ('884807E5-DF99-D920-E150-107FX10077FD','FinPlanProfitAsset002','isNotEmpty','bussRepOutInvestAgrInfo.repIntermediarySumRate','','','N','中介服务机构合计费率%要素不可为空','D','com.joyintech.tams.invest.common.ChbBaseCheckLib');</v>
      </c>
    </row>
    <row r="6" spans="1:12" x14ac:dyDescent="0.15">
      <c r="A6" s="3" t="s">
        <v>308</v>
      </c>
      <c r="B6" s="3" t="s">
        <v>483</v>
      </c>
      <c r="C6" s="3" t="s">
        <v>147</v>
      </c>
      <c r="D6" s="3" t="s">
        <v>189</v>
      </c>
      <c r="E6" s="3" t="s">
        <v>148</v>
      </c>
      <c r="F6" s="3" t="s">
        <v>16</v>
      </c>
      <c r="G6" s="3" t="s">
        <v>17</v>
      </c>
      <c r="H6" s="3" t="s">
        <v>283</v>
      </c>
      <c r="I6" s="3" t="s">
        <v>530</v>
      </c>
      <c r="J6" s="6" t="s">
        <v>80</v>
      </c>
      <c r="K6" s="24" t="s">
        <v>544</v>
      </c>
      <c r="L6" s="6" t="str">
        <f t="shared" si="0"/>
        <v>insert into CHB_DATACHECK_RULE_INV values ('884807E5-DF9A-D920-E150-007F010077FD','FinPlanProfitAsset002','compareValueAsNumber','bussRepAssetMngProdInfo.repAgencyFeeRate','&gt;=','0','Y','中介服务机构合计费率%必须大于等于0。','D','com.joyintech.tams.invest.common.ChbBaseCheckLib');</v>
      </c>
    </row>
    <row r="7" spans="1:12" x14ac:dyDescent="0.15">
      <c r="A7" s="3" t="s">
        <v>309</v>
      </c>
      <c r="B7" s="3" t="s">
        <v>483</v>
      </c>
      <c r="C7" s="3" t="s">
        <v>147</v>
      </c>
      <c r="D7" s="3" t="s">
        <v>189</v>
      </c>
      <c r="E7" s="3" t="s">
        <v>148</v>
      </c>
      <c r="F7" s="3" t="s">
        <v>16</v>
      </c>
      <c r="G7" s="3" t="s">
        <v>17</v>
      </c>
      <c r="H7" s="3" t="s">
        <v>283</v>
      </c>
      <c r="I7" s="3" t="s">
        <v>530</v>
      </c>
      <c r="J7" s="6" t="s">
        <v>112</v>
      </c>
      <c r="K7" s="24" t="s">
        <v>544</v>
      </c>
      <c r="L7" s="6" t="str">
        <f t="shared" si="0"/>
        <v>insert into CHB_DATACHECK_RULE_INV values ('884827E5-DF9A-D920-E150-007F010077FD','FinPlanProfitAsset002','compareValueAsNumber','bussRepOutInvestAgrInfo.repIntermediarySumRate','&gt;=','0','Y','中介服务机构合计费率%必须大于等于0。','D','com.joyintech.tams.invest.common.ChbBaseCheckLib');</v>
      </c>
    </row>
    <row r="8" spans="1:12" x14ac:dyDescent="0.15">
      <c r="A8" s="3" t="s">
        <v>310</v>
      </c>
      <c r="B8" s="3" t="s">
        <v>483</v>
      </c>
      <c r="C8" s="3" t="s">
        <v>137</v>
      </c>
      <c r="D8" s="3" t="s">
        <v>138</v>
      </c>
      <c r="E8" s="3"/>
      <c r="F8" s="3" t="s">
        <v>139</v>
      </c>
      <c r="G8" s="3" t="s">
        <v>17</v>
      </c>
      <c r="H8" s="3" t="s">
        <v>140</v>
      </c>
      <c r="I8" s="3" t="s">
        <v>530</v>
      </c>
      <c r="J8" s="6" t="s">
        <v>82</v>
      </c>
      <c r="K8" s="24" t="s">
        <v>544</v>
      </c>
      <c r="L8" s="6" t="str">
        <f t="shared" si="0"/>
        <v>insert into CHB_DATACHECK_RULE_INV values ('884807E5-DF35-D920-E150-007F010077FD','FinPlanProfitAsset002','isNumber2','bussRepAssetMngProdInfo.repAmt','','15,2','Y','金额格式必须为n(15,2)格式。','D','com.joyintech.tams.invest.common.ChbBaseCheckLib');</v>
      </c>
    </row>
    <row r="9" spans="1:12" x14ac:dyDescent="0.15">
      <c r="A9" s="3" t="s">
        <v>311</v>
      </c>
      <c r="B9" s="3" t="s">
        <v>483</v>
      </c>
      <c r="C9" s="3" t="s">
        <v>12</v>
      </c>
      <c r="D9" s="3" t="s">
        <v>138</v>
      </c>
      <c r="E9" s="3"/>
      <c r="F9" s="3"/>
      <c r="G9" s="3" t="s">
        <v>15</v>
      </c>
      <c r="H9" s="3" t="s">
        <v>145</v>
      </c>
      <c r="I9" s="3" t="s">
        <v>530</v>
      </c>
      <c r="J9" s="6" t="s">
        <v>82</v>
      </c>
      <c r="K9" s="24" t="s">
        <v>544</v>
      </c>
      <c r="L9" s="6" t="str">
        <f t="shared" si="0"/>
        <v>insert into CHB_DATACHECK_RULE_INV values ('884807E5-DF7F-D920-E136-007F010077FD','FinPlanProfitAsset002','isNotEmpty','bussRepAssetMngProdInfo.repAmt','','','N','金额要素不可为空','D','com.joyintech.tams.invest.common.ChbBaseCheckLib');</v>
      </c>
    </row>
    <row r="10" spans="1:12" x14ac:dyDescent="0.15">
      <c r="A10" s="3" t="s">
        <v>312</v>
      </c>
      <c r="B10" s="3" t="s">
        <v>483</v>
      </c>
      <c r="C10" s="3" t="s">
        <v>12</v>
      </c>
      <c r="D10" s="3" t="s">
        <v>138</v>
      </c>
      <c r="E10" s="3"/>
      <c r="F10" s="3"/>
      <c r="G10" s="3" t="s">
        <v>15</v>
      </c>
      <c r="H10" s="3" t="s">
        <v>146</v>
      </c>
      <c r="I10" s="3" t="s">
        <v>530</v>
      </c>
      <c r="J10" s="6" t="s">
        <v>114</v>
      </c>
      <c r="K10" s="24" t="s">
        <v>544</v>
      </c>
      <c r="L10" s="6" t="str">
        <f t="shared" si="0"/>
        <v>insert into CHB_DATACHECK_RULE_INV values ('884807E5-DF7H-D920-E136-007F010077FD','FinPlanProfitAsset002','isNotEmpty','bussRepOutInvestAgrInfo.repEntrustInvestMoney','','','N','委托投资金额要素不可为空','D','com.joyintech.tams.invest.common.ChbBaseCheckLib');</v>
      </c>
    </row>
    <row r="11" spans="1:12" x14ac:dyDescent="0.15">
      <c r="A11" s="3" t="s">
        <v>313</v>
      </c>
      <c r="B11" s="3" t="s">
        <v>483</v>
      </c>
      <c r="C11" s="3" t="s">
        <v>147</v>
      </c>
      <c r="D11" s="3" t="s">
        <v>138</v>
      </c>
      <c r="E11" s="3" t="s">
        <v>148</v>
      </c>
      <c r="F11" s="3" t="s">
        <v>16</v>
      </c>
      <c r="G11" s="3" t="s">
        <v>17</v>
      </c>
      <c r="H11" s="3" t="s">
        <v>149</v>
      </c>
      <c r="I11" s="3" t="s">
        <v>530</v>
      </c>
      <c r="J11" s="6" t="s">
        <v>82</v>
      </c>
      <c r="K11" s="24" t="s">
        <v>544</v>
      </c>
      <c r="L11" s="6" t="str">
        <f t="shared" si="0"/>
        <v>insert into CHB_DATACHECK_RULE_INV values ('884807E5-DF80-D920-E150-107F010077FD','FinPlanProfitAsset002','compareValueAsNumber','bussRepAssetMngProdInfo.repAmt','&gt;=','0','Y','金额必须大于等于0','D','com.joyintech.tams.invest.common.ChbBaseCheckLib');</v>
      </c>
    </row>
    <row r="12" spans="1:12" x14ac:dyDescent="0.15">
      <c r="A12" s="3" t="s">
        <v>314</v>
      </c>
      <c r="B12" s="3" t="s">
        <v>483</v>
      </c>
      <c r="C12" s="3" t="s">
        <v>147</v>
      </c>
      <c r="D12" s="3" t="s">
        <v>138</v>
      </c>
      <c r="E12" s="3" t="s">
        <v>148</v>
      </c>
      <c r="F12" s="3" t="s">
        <v>16</v>
      </c>
      <c r="G12" s="3" t="s">
        <v>17</v>
      </c>
      <c r="H12" s="3" t="s">
        <v>202</v>
      </c>
      <c r="I12" s="3" t="s">
        <v>530</v>
      </c>
      <c r="J12" s="6" t="s">
        <v>114</v>
      </c>
      <c r="K12" s="24" t="s">
        <v>544</v>
      </c>
      <c r="L12" s="6" t="str">
        <f t="shared" si="0"/>
        <v>insert into CHB_DATACHECK_RULE_INV values ('884817E5-DF81-D920-E150-007F010077FD','FinPlanProfitAsset002','compareValueAsNumber','bussRepOutInvestAgrInfo.repEntrustInvestMoney','&gt;=','0','Y','委托投资金额必须大于等于0','D','com.joyintech.tams.invest.common.ChbBaseCheckLib');</v>
      </c>
    </row>
    <row r="13" spans="1:12" x14ac:dyDescent="0.15">
      <c r="A13" s="3" t="s">
        <v>315</v>
      </c>
      <c r="B13" s="3" t="s">
        <v>483</v>
      </c>
      <c r="C13" s="3" t="s">
        <v>137</v>
      </c>
      <c r="D13" s="3" t="s">
        <v>138</v>
      </c>
      <c r="E13" s="3"/>
      <c r="F13" s="3" t="s">
        <v>139</v>
      </c>
      <c r="G13" s="3" t="s">
        <v>17</v>
      </c>
      <c r="H13" s="3" t="s">
        <v>203</v>
      </c>
      <c r="I13" s="3" t="s">
        <v>530</v>
      </c>
      <c r="J13" s="6" t="s">
        <v>114</v>
      </c>
      <c r="K13" s="24" t="s">
        <v>544</v>
      </c>
      <c r="L13" s="6" t="str">
        <f t="shared" si="0"/>
        <v>insert into CHB_DATACHECK_RULE_INV values ('884827E5-DF35-D920-E150-007F010077FD','FinPlanProfitAsset002','isNumber2','bussRepOutInvestAgrInfo.repEntrustInvestMoney','','15,2','Y','委托投资金额必须为n（15,2）格式。','D','com.joyintech.tams.invest.common.ChbBaseCheckLib');</v>
      </c>
    </row>
    <row r="14" spans="1:12" x14ac:dyDescent="0.15">
      <c r="A14" s="3" t="s">
        <v>316</v>
      </c>
      <c r="B14" s="3" t="s">
        <v>483</v>
      </c>
      <c r="C14" s="3" t="s">
        <v>14</v>
      </c>
      <c r="D14" s="3" t="s">
        <v>209</v>
      </c>
      <c r="E14" s="3"/>
      <c r="F14" s="3" t="s">
        <v>531</v>
      </c>
      <c r="G14" s="3" t="s">
        <v>17</v>
      </c>
      <c r="H14" s="3" t="s">
        <v>210</v>
      </c>
      <c r="I14" s="3" t="s">
        <v>530</v>
      </c>
      <c r="J14" s="6" t="s">
        <v>38</v>
      </c>
      <c r="K14" s="24" t="s">
        <v>544</v>
      </c>
      <c r="L14" s="6" t="str">
        <f t="shared" si="0"/>
        <v>insert into CHB_DATACHECK_RULE_INV values ('884807E5-DF2C-D920-E150-007F010077FD','FinPlanProfitAsset002','inDatadict','repAssetType','','SVR_ASSET_TYPE_SECOND_LEVEL','Y','资产/负债类别不在值域范围内','D','com.joyintech.tams.invest.common.ChbBaseCheckLib');</v>
      </c>
    </row>
    <row r="15" spans="1:12" x14ac:dyDescent="0.15">
      <c r="A15" s="3" t="s">
        <v>317</v>
      </c>
      <c r="B15" s="3" t="s">
        <v>483</v>
      </c>
      <c r="C15" s="3" t="s">
        <v>14</v>
      </c>
      <c r="D15" s="3" t="s">
        <v>173</v>
      </c>
      <c r="E15" s="3" t="s">
        <v>9</v>
      </c>
      <c r="F15" s="3" t="s">
        <v>174</v>
      </c>
      <c r="G15" s="3" t="s">
        <v>17</v>
      </c>
      <c r="H15" s="3" t="s">
        <v>175</v>
      </c>
      <c r="I15" s="3" t="s">
        <v>530</v>
      </c>
      <c r="J15" s="6" t="s">
        <v>74</v>
      </c>
      <c r="K15" s="24" t="s">
        <v>544</v>
      </c>
      <c r="L15" s="6" t="str">
        <f t="shared" si="0"/>
        <v>insert into CHB_DATACHECK_RULE_INV values ('884807E5-DF90-D920-E150-007F010077FD','FinPlanProfitAsset002','inDatadict','bussRepAssetMngProdInfo.repBuyStruct','==','SVR_BUY_STRUCT','Y','购买结构要素不在值域范围内。','D','com.joyintech.tams.invest.common.ChbBaseCheckLib');</v>
      </c>
    </row>
    <row r="16" spans="1:12" x14ac:dyDescent="0.15">
      <c r="A16" s="3" t="s">
        <v>318</v>
      </c>
      <c r="B16" s="3" t="s">
        <v>483</v>
      </c>
      <c r="C16" s="3" t="s">
        <v>12</v>
      </c>
      <c r="D16" s="3" t="s">
        <v>173</v>
      </c>
      <c r="E16" s="3"/>
      <c r="F16" s="3"/>
      <c r="G16" s="3" t="s">
        <v>15</v>
      </c>
      <c r="H16" s="3" t="s">
        <v>284</v>
      </c>
      <c r="I16" s="3" t="s">
        <v>530</v>
      </c>
      <c r="J16" s="6" t="s">
        <v>74</v>
      </c>
      <c r="K16" s="24" t="s">
        <v>544</v>
      </c>
      <c r="L16" s="6" t="str">
        <f t="shared" si="0"/>
        <v>insert into CHB_DATACHECK_RULE_INV values ('885607E5-DF91-D920-E150-007F037077FD','FinPlanProfitAsset002','isNotEmpty','bussRepAssetMngProdInfo.repBuyStruct','','','N','购买结构要素不可以为空','D','com.joyintech.tams.invest.common.ChbBaseCheckLib');</v>
      </c>
    </row>
    <row r="17" spans="1:12" x14ac:dyDescent="0.15">
      <c r="A17" s="3" t="s">
        <v>319</v>
      </c>
      <c r="B17" s="3" t="s">
        <v>483</v>
      </c>
      <c r="C17" s="3" t="s">
        <v>12</v>
      </c>
      <c r="D17" s="3" t="s">
        <v>159</v>
      </c>
      <c r="E17" s="3"/>
      <c r="F17" s="3"/>
      <c r="G17" s="3" t="s">
        <v>15</v>
      </c>
      <c r="H17" s="3" t="s">
        <v>285</v>
      </c>
      <c r="I17" s="3" t="s">
        <v>530</v>
      </c>
      <c r="J17" s="6" t="s">
        <v>69</v>
      </c>
      <c r="K17" s="24" t="s">
        <v>544</v>
      </c>
      <c r="L17" s="6" t="str">
        <f t="shared" si="0"/>
        <v>insert into CHB_DATACHECK_RULE_INV values ('884807E5-DF84-D920-E150-007F010077FD','FinPlanProfitAsset002','isNotEmpty','bussRepAssetMngProdInfo.repCapUseInduLevel2','','','N','资金运用行业要素不可为空','D','com.joyintech.tams.invest.common.ChbBaseCheckLib');</v>
      </c>
    </row>
    <row r="18" spans="1:12" x14ac:dyDescent="0.15">
      <c r="A18" s="3" t="s">
        <v>320</v>
      </c>
      <c r="B18" s="3" t="s">
        <v>483</v>
      </c>
      <c r="C18" s="3" t="s">
        <v>12</v>
      </c>
      <c r="D18" s="3" t="s">
        <v>159</v>
      </c>
      <c r="E18" s="3"/>
      <c r="F18" s="3"/>
      <c r="G18" s="3" t="s">
        <v>15</v>
      </c>
      <c r="H18" s="3" t="s">
        <v>160</v>
      </c>
      <c r="I18" s="3" t="s">
        <v>530</v>
      </c>
      <c r="J18" s="6" t="s">
        <v>104</v>
      </c>
      <c r="K18" s="24" t="s">
        <v>544</v>
      </c>
      <c r="L18" s="6" t="str">
        <f t="shared" si="0"/>
        <v>insert into CHB_DATACHECK_RULE_INV values ('884807E5-DF84-D920-E150-007FD10077FD','FinPlanProfitAsset002','isNotEmpty','bussRepOutInvestAgrInfo.repCapUseInduLevel2','','','N','资金运用行业要素不可为空','D','com.joyintech.tams.invest.common.ChbBaseCheckLib');</v>
      </c>
    </row>
    <row r="19" spans="1:12" x14ac:dyDescent="0.15">
      <c r="A19" s="3" t="s">
        <v>321</v>
      </c>
      <c r="B19" s="3" t="s">
        <v>483</v>
      </c>
      <c r="C19" s="3" t="s">
        <v>14</v>
      </c>
      <c r="D19" s="3" t="s">
        <v>159</v>
      </c>
      <c r="E19" s="3" t="s">
        <v>148</v>
      </c>
      <c r="F19" s="3" t="s">
        <v>217</v>
      </c>
      <c r="G19" s="3" t="s">
        <v>17</v>
      </c>
      <c r="H19" s="3" t="s">
        <v>218</v>
      </c>
      <c r="I19" s="3" t="s">
        <v>530</v>
      </c>
      <c r="J19" s="6" t="s">
        <v>69</v>
      </c>
      <c r="K19" s="24" t="s">
        <v>544</v>
      </c>
      <c r="L19" s="6" t="str">
        <f t="shared" si="0"/>
        <v>insert into CHB_DATACHECK_RULE_INV values ('884808E5-DF84-D920-E150-107FD10077FD','FinPlanProfitAsset002','inDatadict','bussRepAssetMngProdInfo.repCapUseInduLevel2','&gt;=','INSTITUTION_INDUSTRY_SECOND_LEVEL','Y','资金运用行业不在值域范围内','D','com.joyintech.tams.invest.common.ChbBaseCheckLib');</v>
      </c>
    </row>
    <row r="20" spans="1:12" x14ac:dyDescent="0.15">
      <c r="A20" s="3" t="s">
        <v>322</v>
      </c>
      <c r="B20" s="3" t="s">
        <v>483</v>
      </c>
      <c r="C20" s="3" t="s">
        <v>14</v>
      </c>
      <c r="D20" s="3" t="s">
        <v>159</v>
      </c>
      <c r="E20" s="3" t="s">
        <v>148</v>
      </c>
      <c r="F20" s="3" t="s">
        <v>217</v>
      </c>
      <c r="G20" s="3" t="s">
        <v>17</v>
      </c>
      <c r="H20" s="3" t="s">
        <v>218</v>
      </c>
      <c r="I20" s="3" t="s">
        <v>530</v>
      </c>
      <c r="J20" s="6" t="s">
        <v>104</v>
      </c>
      <c r="K20" s="24" t="s">
        <v>544</v>
      </c>
      <c r="L20" s="6" t="str">
        <f t="shared" si="0"/>
        <v>insert into CHB_DATACHECK_RULE_INV values ('884807E5-DF84-D920-E150-107FD10077FD','FinPlanProfitAsset002','inDatadict','bussRepOutInvestAgrInfo.repCapUseInduLevel2','&gt;=','INSTITUTION_INDUSTRY_SECOND_LEVEL','Y','资金运用行业不在值域范围内','D','com.joyintech.tams.invest.common.ChbBaseCheckLib');</v>
      </c>
    </row>
    <row r="21" spans="1:12" x14ac:dyDescent="0.15">
      <c r="A21" s="3" t="s">
        <v>323</v>
      </c>
      <c r="B21" s="3" t="s">
        <v>483</v>
      </c>
      <c r="C21" s="3" t="s">
        <v>11</v>
      </c>
      <c r="D21" s="3" t="s">
        <v>206</v>
      </c>
      <c r="E21" s="3"/>
      <c r="F21" s="3" t="s">
        <v>18</v>
      </c>
      <c r="G21" s="3" t="s">
        <v>17</v>
      </c>
      <c r="H21" s="3" t="s">
        <v>207</v>
      </c>
      <c r="I21" s="3" t="s">
        <v>10</v>
      </c>
      <c r="J21" s="6" t="s">
        <v>65</v>
      </c>
      <c r="K21" s="24" t="s">
        <v>544</v>
      </c>
      <c r="L21" s="6" t="str">
        <f t="shared" si="0"/>
        <v>insert into CHB_DATACHECK_RULE_INV values ('123E4A49-6810-5A9E-E150-007F01006A52','FinPlanProfitAsset002','isCustomizedString','bussRepAssetMngProdInfo.repRegistCode','','^[\u4e00-\u9fa5\ue815-\ue864\uff01-\uff5e\uffe0-\uffe5\u3000-\u3003\u3005-\u3017\u301d-\u301e\u2010\u2013-\u2016\u2018-\u2019\u201c-\u201d\u2025-\u2026\u2030\u2032-\u2033\u2035\u203b\u00b7\u0030-\u0039\u0041-\u005a\u0061-\u007a\u2160-\u216b\u0020-\u0026\u0028-\u007B\u007D\u007E]{0,}$','Y','资管计划登记编码必须填写白名单中的文字。','E','com.joyintech.tams.invest.common.ChbBaseCheckLib');</v>
      </c>
    </row>
    <row r="22" spans="1:12" x14ac:dyDescent="0.15">
      <c r="A22" s="3" t="s">
        <v>324</v>
      </c>
      <c r="B22" s="3" t="s">
        <v>483</v>
      </c>
      <c r="C22" s="3" t="s">
        <v>13</v>
      </c>
      <c r="D22" s="3" t="s">
        <v>206</v>
      </c>
      <c r="E22" s="3"/>
      <c r="F22" s="3" t="s">
        <v>20</v>
      </c>
      <c r="G22" s="3" t="s">
        <v>17</v>
      </c>
      <c r="H22" s="3" t="s">
        <v>213</v>
      </c>
      <c r="I22" s="3" t="s">
        <v>10</v>
      </c>
      <c r="J22" s="6" t="s">
        <v>65</v>
      </c>
      <c r="K22" s="24" t="s">
        <v>544</v>
      </c>
      <c r="L22" s="6" t="str">
        <f t="shared" si="0"/>
        <v>insert into CHB_DATACHECK_RULE_INV values ('884807E5-DF7D-D920-E150-007F010077FD','FinPlanProfitAsset002','lessThanCharLength','bussRepAssetMngProdInfo.repRegistCode','','257','Y','资管计划登记编码要素不可超长。','E','com.joyintech.tams.invest.common.ChbBaseCheckLib');</v>
      </c>
    </row>
    <row r="23" spans="1:12" x14ac:dyDescent="0.15">
      <c r="A23" s="3" t="s">
        <v>325</v>
      </c>
      <c r="B23" s="3" t="s">
        <v>483</v>
      </c>
      <c r="C23" s="3" t="s">
        <v>12</v>
      </c>
      <c r="D23" s="3" t="s">
        <v>27</v>
      </c>
      <c r="E23" s="3"/>
      <c r="F23" s="3"/>
      <c r="G23" s="3" t="s">
        <v>15</v>
      </c>
      <c r="H23" s="3" t="s">
        <v>200</v>
      </c>
      <c r="I23" s="3" t="s">
        <v>530</v>
      </c>
      <c r="J23" s="6" t="s">
        <v>83</v>
      </c>
      <c r="K23" s="24" t="s">
        <v>544</v>
      </c>
      <c r="L23" s="6" t="str">
        <f t="shared" si="0"/>
        <v>insert into CHB_DATACHECK_RULE_INV values ('884807E5-EF00-D135-E150-007F010077FD','FinPlanProfitAsset002','isNotEmpty','bussRepAssetMngProdInfo.repPrivateprdFlag','','','N','是否由金融资产投资公司发行要素不能为空。','D','com.joyintech.tams.invest.common.ChbBaseCheckLib');</v>
      </c>
    </row>
    <row r="24" spans="1:12" x14ac:dyDescent="0.15">
      <c r="A24" s="3" t="s">
        <v>326</v>
      </c>
      <c r="B24" s="3" t="s">
        <v>483</v>
      </c>
      <c r="C24" s="3" t="s">
        <v>13</v>
      </c>
      <c r="D24" s="3" t="s">
        <v>27</v>
      </c>
      <c r="E24" s="3" t="s">
        <v>9</v>
      </c>
      <c r="F24" s="3" t="s">
        <v>16</v>
      </c>
      <c r="G24" s="3" t="s">
        <v>17</v>
      </c>
      <c r="H24" s="3" t="s">
        <v>286</v>
      </c>
      <c r="I24" s="3" t="s">
        <v>530</v>
      </c>
      <c r="J24" s="6" t="s">
        <v>267</v>
      </c>
      <c r="K24" s="24" t="s">
        <v>544</v>
      </c>
      <c r="L24" s="6" t="str">
        <f t="shared" si="0"/>
        <v>insert into CHB_DATACHECK_RULE_INV values ('884807E5-EF00-D131-E150-007F010077FD','FinPlanProfitAsset002','lessThanCharLength','bussRepAssetMngProdInfo.repPrivateprdFlag','==','0','Y','是否由金融资产投资公司发行要素必须为空。','D','com.joyintech.tams.invest.common.ChbBaseCheckLib');</v>
      </c>
    </row>
    <row r="25" spans="1:12" x14ac:dyDescent="0.15">
      <c r="A25" s="3" t="s">
        <v>327</v>
      </c>
      <c r="B25" s="3" t="s">
        <v>483</v>
      </c>
      <c r="C25" s="3" t="s">
        <v>287</v>
      </c>
      <c r="D25" s="3" t="s">
        <v>27</v>
      </c>
      <c r="E25" s="3" t="s">
        <v>9</v>
      </c>
      <c r="F25" s="3" t="s">
        <v>288</v>
      </c>
      <c r="G25" s="3" t="s">
        <v>17</v>
      </c>
      <c r="H25" s="3" t="s">
        <v>289</v>
      </c>
      <c r="I25" s="3" t="s">
        <v>530</v>
      </c>
      <c r="J25" s="6" t="s">
        <v>83</v>
      </c>
      <c r="K25" s="24" t="s">
        <v>544</v>
      </c>
      <c r="L25" s="6" t="str">
        <f t="shared" si="0"/>
        <v>insert into CHB_DATACHECK_RULE_INV values ('884807E5-EF00-D133-E150-007F010077FD','FinPlanProfitAsset002','inArray','bussRepAssetMngProdInfo.repPrivateprdFlag','==','N,01','Y','是否由金融资产投资公司发行要素不在值域范围内。','D','com.joyintech.tams.invest.common.ChbBaseCheckLib');</v>
      </c>
    </row>
    <row r="26" spans="1:12" x14ac:dyDescent="0.15">
      <c r="A26" s="3" t="s">
        <v>328</v>
      </c>
      <c r="B26" s="3" t="s">
        <v>483</v>
      </c>
      <c r="C26" s="3" t="s">
        <v>12</v>
      </c>
      <c r="D26" s="3" t="s">
        <v>27</v>
      </c>
      <c r="E26" s="3"/>
      <c r="F26" s="3"/>
      <c r="G26" s="3" t="s">
        <v>15</v>
      </c>
      <c r="H26" s="3" t="s">
        <v>200</v>
      </c>
      <c r="I26" s="3" t="s">
        <v>530</v>
      </c>
      <c r="J26" s="6" t="s">
        <v>115</v>
      </c>
      <c r="K26" s="24" t="s">
        <v>544</v>
      </c>
      <c r="L26" s="6" t="str">
        <f t="shared" si="0"/>
        <v>insert into CHB_DATACHECK_RULE_INV values ('884807E5-EF00-D136-E150-007F010077FD','FinPlanProfitAsset002','isNotEmpty','bussRepOutInvestAgrInfo.repPrivateprdFlag','','','N','是否由金融资产投资公司发行要素不能为空。','D','com.joyintech.tams.invest.common.ChbBaseCheckLib');</v>
      </c>
    </row>
    <row r="27" spans="1:12" x14ac:dyDescent="0.15">
      <c r="A27" s="3" t="s">
        <v>329</v>
      </c>
      <c r="B27" s="3" t="s">
        <v>483</v>
      </c>
      <c r="C27" s="3" t="s">
        <v>13</v>
      </c>
      <c r="D27" s="3" t="s">
        <v>27</v>
      </c>
      <c r="E27" s="3" t="s">
        <v>9</v>
      </c>
      <c r="F27" s="3" t="s">
        <v>16</v>
      </c>
      <c r="G27" s="3" t="s">
        <v>17</v>
      </c>
      <c r="H27" s="3" t="s">
        <v>201</v>
      </c>
      <c r="I27" s="3" t="s">
        <v>530</v>
      </c>
      <c r="J27" s="6" t="s">
        <v>115</v>
      </c>
      <c r="K27" s="24" t="s">
        <v>544</v>
      </c>
      <c r="L27" s="6" t="str">
        <f t="shared" si="0"/>
        <v>insert into CHB_DATACHECK_RULE_INV values ('884807E5-EF00-D132-E150-007F010077FD','FinPlanProfitAsset002','lessThanCharLength','bussRepOutInvestAgrInfo.repPrivateprdFlag','==','0','Y','是否由金融资产投资公司发行要素必须为空。','D','com.joyintech.tams.invest.common.ChbBaseCheckLib');</v>
      </c>
    </row>
    <row r="28" spans="1:12" x14ac:dyDescent="0.15">
      <c r="A28" s="3" t="s">
        <v>330</v>
      </c>
      <c r="B28" s="3" t="s">
        <v>483</v>
      </c>
      <c r="C28" s="3" t="s">
        <v>290</v>
      </c>
      <c r="D28" s="3" t="s">
        <v>27</v>
      </c>
      <c r="E28" s="3" t="s">
        <v>9</v>
      </c>
      <c r="F28" s="3" t="s">
        <v>291</v>
      </c>
      <c r="G28" s="3" t="s">
        <v>17</v>
      </c>
      <c r="H28" s="3" t="s">
        <v>289</v>
      </c>
      <c r="I28" s="3" t="s">
        <v>530</v>
      </c>
      <c r="J28" s="6" t="s">
        <v>115</v>
      </c>
      <c r="K28" s="24" t="s">
        <v>544</v>
      </c>
      <c r="L28" s="6" t="str">
        <f t="shared" si="0"/>
        <v>insert into CHB_DATACHECK_RULE_INV values ('884807E5-EF00-D134-E150-007F010077FD','FinPlanProfitAsset002','inArray','bussRepOutInvestAgrInfo.repPrivateprdFlag','==','N,01','Y','是否由金融资产投资公司发行要素不在值域范围内。','D','com.joyintech.tams.invest.common.ChbBaseCheckLib');</v>
      </c>
    </row>
    <row r="29" spans="1:12" x14ac:dyDescent="0.15">
      <c r="A29" s="3" t="s">
        <v>331</v>
      </c>
      <c r="B29" s="3" t="s">
        <v>483</v>
      </c>
      <c r="C29" s="3" t="s">
        <v>12</v>
      </c>
      <c r="D29" s="3" t="s">
        <v>157</v>
      </c>
      <c r="E29" s="3"/>
      <c r="F29" s="3"/>
      <c r="G29" s="3" t="s">
        <v>15</v>
      </c>
      <c r="H29" s="3" t="s">
        <v>158</v>
      </c>
      <c r="I29" s="3" t="s">
        <v>530</v>
      </c>
      <c r="J29" s="6" t="s">
        <v>67</v>
      </c>
      <c r="K29" s="24" t="s">
        <v>544</v>
      </c>
      <c r="L29" s="6" t="str">
        <f t="shared" si="0"/>
        <v>insert into CHB_DATACHECK_RULE_INV values ('884807E5-DF83-D920-E150-007F010077FD','FinPlanProfitAsset002','isNotEmpty','bussRepAssetMngProdInfo.repCapUseWay','','','N','资金运用方式要素不可为空','D','com.joyintech.tams.invest.common.ChbBaseCheckLib');</v>
      </c>
    </row>
    <row r="30" spans="1:12" x14ac:dyDescent="0.15">
      <c r="A30" s="3" t="s">
        <v>332</v>
      </c>
      <c r="B30" s="3" t="s">
        <v>483</v>
      </c>
      <c r="C30" s="3" t="s">
        <v>12</v>
      </c>
      <c r="D30" s="3" t="s">
        <v>157</v>
      </c>
      <c r="E30" s="3"/>
      <c r="F30" s="3"/>
      <c r="G30" s="3" t="s">
        <v>15</v>
      </c>
      <c r="H30" s="3" t="s">
        <v>158</v>
      </c>
      <c r="I30" s="3" t="s">
        <v>530</v>
      </c>
      <c r="J30" s="6" t="s">
        <v>102</v>
      </c>
      <c r="K30" s="24" t="s">
        <v>544</v>
      </c>
      <c r="L30" s="6" t="str">
        <f t="shared" si="0"/>
        <v>insert into CHB_DATACHECK_RULE_INV values ('884807E5-DF83-D920-E150-A07F010077FD','FinPlanProfitAsset002','isNotEmpty','bussRepOutInvestAgrInfo.repApplicationMode','','','N','资金运用方式要素不可为空','D','com.joyintech.tams.invest.common.ChbBaseCheckLib');</v>
      </c>
    </row>
    <row r="31" spans="1:12" x14ac:dyDescent="0.15">
      <c r="A31" s="3" t="s">
        <v>333</v>
      </c>
      <c r="B31" s="3" t="s">
        <v>483</v>
      </c>
      <c r="C31" s="3" t="s">
        <v>11</v>
      </c>
      <c r="D31" s="3" t="s">
        <v>157</v>
      </c>
      <c r="E31" s="3"/>
      <c r="F31" s="3" t="s">
        <v>18</v>
      </c>
      <c r="G31" s="3" t="s">
        <v>17</v>
      </c>
      <c r="H31" s="3" t="s">
        <v>208</v>
      </c>
      <c r="I31" s="3" t="s">
        <v>10</v>
      </c>
      <c r="J31" s="6" t="s">
        <v>67</v>
      </c>
      <c r="K31" s="24" t="s">
        <v>544</v>
      </c>
      <c r="L31" s="6" t="str">
        <f t="shared" si="0"/>
        <v>insert into CHB_DATACHECK_RULE_INV values ('123E4A49-6810-5A9E-E150-007F01006A55','FinPlanProfitAsset002','isCustomizedString','bussRepAssetMngProdInfo.repCapUseWay','','^[\u4e00-\u9fa5\ue815-\ue864\uff01-\uff5e\uffe0-\uffe5\u3000-\u3003\u3005-\u3017\u301d-\u301e\u2010\u2013-\u2016\u2018-\u2019\u201c-\u201d\u2025-\u2026\u2030\u2032-\u2033\u2035\u203b\u00b7\u0030-\u0039\u0041-\u005a\u0061-\u007a\u2160-\u216b\u0020-\u0026\u0028-\u007B\u007D\u007E]{0,}$','Y','资金运用方式必须填写白名单中的文字。','E','com.joyintech.tams.invest.common.ChbBaseCheckLib');</v>
      </c>
    </row>
    <row r="32" spans="1:12" x14ac:dyDescent="0.15">
      <c r="A32" s="3" t="s">
        <v>334</v>
      </c>
      <c r="B32" s="3" t="s">
        <v>483</v>
      </c>
      <c r="C32" s="3" t="s">
        <v>13</v>
      </c>
      <c r="D32" s="3" t="s">
        <v>157</v>
      </c>
      <c r="E32" s="3" t="s">
        <v>214</v>
      </c>
      <c r="F32" s="3" t="s">
        <v>215</v>
      </c>
      <c r="G32" s="3" t="s">
        <v>17</v>
      </c>
      <c r="H32" s="3" t="s">
        <v>216</v>
      </c>
      <c r="I32" s="3" t="s">
        <v>530</v>
      </c>
      <c r="J32" s="6" t="s">
        <v>67</v>
      </c>
      <c r="K32" s="24" t="s">
        <v>544</v>
      </c>
      <c r="L32" s="6" t="str">
        <f t="shared" si="0"/>
        <v>insert into CHB_DATACHECK_RULE_INV values ('884807E5-DF83-D920-E150-A17F010077FD','FinPlanProfitAsset002','lessThanCharLength','bussRepAssetMngProdInfo.repCapUseWay','&lt;=','301','Y','资金运用方式过长','D','com.joyintech.tams.invest.common.ChbBaseCheckLib');</v>
      </c>
    </row>
    <row r="33" spans="1:12" x14ac:dyDescent="0.15">
      <c r="A33" s="3" t="s">
        <v>335</v>
      </c>
      <c r="B33" s="3" t="s">
        <v>483</v>
      </c>
      <c r="C33" s="3" t="s">
        <v>11</v>
      </c>
      <c r="D33" s="3" t="s">
        <v>157</v>
      </c>
      <c r="E33" s="3"/>
      <c r="F33" s="3" t="s">
        <v>18</v>
      </c>
      <c r="G33" s="3" t="s">
        <v>17</v>
      </c>
      <c r="H33" s="3" t="s">
        <v>208</v>
      </c>
      <c r="I33" s="3" t="s">
        <v>10</v>
      </c>
      <c r="J33" s="6" t="s">
        <v>102</v>
      </c>
      <c r="K33" s="24" t="s">
        <v>544</v>
      </c>
      <c r="L33" s="6" t="str">
        <f t="shared" si="0"/>
        <v>insert into CHB_DATACHECK_RULE_INV values ('123E4A49-6810-5A9E-E150-006F01006A55','FinPlanProfitAsset002','isCustomizedString','bussRepOutInvestAgrInfo.repApplicationMode','','^[\u4e00-\u9fa5\ue815-\ue864\uff01-\uff5e\uffe0-\uffe5\u3000-\u3003\u3005-\u3017\u301d-\u301e\u2010\u2013-\u2016\u2018-\u2019\u201c-\u201d\u2025-\u2026\u2030\u2032-\u2033\u2035\u203b\u00b7\u0030-\u0039\u0041-\u005a\u0061-\u007a\u2160-\u216b\u0020-\u0026\u0028-\u007B\u007D\u007E]{0,}$','Y','资金运用方式必须填写白名单中的文字。','E','com.joyintech.tams.invest.common.ChbBaseCheckLib');</v>
      </c>
    </row>
    <row r="34" spans="1:12" x14ac:dyDescent="0.15">
      <c r="A34" s="3" t="s">
        <v>336</v>
      </c>
      <c r="B34" s="3" t="s">
        <v>483</v>
      </c>
      <c r="C34" s="3" t="s">
        <v>13</v>
      </c>
      <c r="D34" s="3" t="s">
        <v>157</v>
      </c>
      <c r="E34" s="3" t="s">
        <v>214</v>
      </c>
      <c r="F34" s="3" t="s">
        <v>215</v>
      </c>
      <c r="G34" s="3" t="s">
        <v>17</v>
      </c>
      <c r="H34" s="3" t="s">
        <v>216</v>
      </c>
      <c r="I34" s="3" t="s">
        <v>532</v>
      </c>
      <c r="J34" s="6" t="s">
        <v>102</v>
      </c>
      <c r="K34" s="24" t="s">
        <v>544</v>
      </c>
      <c r="L34" s="6" t="str">
        <f t="shared" si="0"/>
        <v>insert into CHB_DATACHECK_RULE_INV values ('884807E5-DF83-D920-E150-A16F010077FD','FinPlanProfitAsset002','lessThanCharLength','bussRepOutInvestAgrInfo.repApplicationMode','&lt;=','301','Y','资金运用方式过长','D','com.joyintech.tams.invest.common.ChbBaseCheckLib');</v>
      </c>
    </row>
    <row r="35" spans="1:12" x14ac:dyDescent="0.15">
      <c r="A35" s="3" t="s">
        <v>337</v>
      </c>
      <c r="B35" s="3" t="s">
        <v>483</v>
      </c>
      <c r="C35" s="3" t="s">
        <v>14</v>
      </c>
      <c r="D35" s="3" t="s">
        <v>176</v>
      </c>
      <c r="E35" s="3" t="s">
        <v>9</v>
      </c>
      <c r="F35" s="3" t="s">
        <v>177</v>
      </c>
      <c r="G35" s="3" t="s">
        <v>17</v>
      </c>
      <c r="H35" s="3" t="s">
        <v>178</v>
      </c>
      <c r="I35" s="3" t="s">
        <v>10</v>
      </c>
      <c r="J35" s="6" t="s">
        <v>75</v>
      </c>
      <c r="K35" s="24" t="s">
        <v>544</v>
      </c>
      <c r="L35" s="6" t="str">
        <f t="shared" si="0"/>
        <v>insert into CHB_DATACHECK_RULE_INV values ('884807E5-DF91-D920-E150-007F010077FD','FinPlanProfitAsset002','inDatadict','bussRepAssetMngProdInfo.repManageType','==','SVR_MANAGE_STYLE','Y','管理方式要素不在值域范围内。','E','com.joyintech.tams.invest.common.ChbBaseCheckLib');</v>
      </c>
    </row>
    <row r="36" spans="1:12" x14ac:dyDescent="0.15">
      <c r="A36" s="3" t="s">
        <v>338</v>
      </c>
      <c r="B36" s="3" t="s">
        <v>483</v>
      </c>
      <c r="C36" s="3" t="s">
        <v>12</v>
      </c>
      <c r="D36" s="3" t="s">
        <v>176</v>
      </c>
      <c r="E36" s="3"/>
      <c r="F36" s="3"/>
      <c r="G36" s="3" t="s">
        <v>15</v>
      </c>
      <c r="H36" s="3" t="s">
        <v>204</v>
      </c>
      <c r="I36" s="3" t="s">
        <v>10</v>
      </c>
      <c r="J36" s="6" t="s">
        <v>75</v>
      </c>
      <c r="K36" s="24" t="s">
        <v>544</v>
      </c>
      <c r="L36" s="6" t="str">
        <f t="shared" si="0"/>
        <v>insert into CHB_DATACHECK_RULE_INV values ('885607E5-DF91-D920-E150-007F010077FD','FinPlanProfitAsset002','isNotEmpty','bussRepAssetMngProdInfo.repManageType','','','N','管理方式要素不可以为空','E','com.joyintech.tams.invest.common.ChbBaseCheckLib');</v>
      </c>
    </row>
    <row r="37" spans="1:12" x14ac:dyDescent="0.15">
      <c r="A37" s="3" t="s">
        <v>487</v>
      </c>
      <c r="B37" s="3" t="s">
        <v>483</v>
      </c>
      <c r="C37" s="3" t="s">
        <v>12</v>
      </c>
      <c r="D37" s="3" t="s">
        <v>168</v>
      </c>
      <c r="E37" s="3"/>
      <c r="F37" s="3"/>
      <c r="G37" s="3" t="s">
        <v>15</v>
      </c>
      <c r="H37" s="3" t="s">
        <v>169</v>
      </c>
      <c r="I37" s="3" t="s">
        <v>530</v>
      </c>
      <c r="J37" s="6" t="s">
        <v>72</v>
      </c>
      <c r="K37" s="24" t="s">
        <v>544</v>
      </c>
      <c r="L37" s="6" t="str">
        <f t="shared" si="0"/>
        <v>insert into CHB_DATACHECK_RULE_INV values ('884807E5-DF8A-D920-E150-007F010077FD','FinPlanProfitAsset002','isNotEmpty','bussRepAssetMngProdInfo.repMaxRate','','','N','预期最高收益率%要素不可为空','D','com.joyintech.tams.invest.common.ChbBaseCheckLib');</v>
      </c>
    </row>
    <row r="38" spans="1:12" x14ac:dyDescent="0.15">
      <c r="A38" s="3" t="s">
        <v>339</v>
      </c>
      <c r="B38" s="3" t="s">
        <v>483</v>
      </c>
      <c r="C38" s="3" t="s">
        <v>13</v>
      </c>
      <c r="D38" s="3" t="s">
        <v>168</v>
      </c>
      <c r="E38" s="3" t="s">
        <v>9</v>
      </c>
      <c r="F38" s="3" t="s">
        <v>16</v>
      </c>
      <c r="G38" s="3" t="s">
        <v>17</v>
      </c>
      <c r="H38" s="3" t="s">
        <v>170</v>
      </c>
      <c r="I38" s="3" t="s">
        <v>530</v>
      </c>
      <c r="J38" s="6" t="s">
        <v>72</v>
      </c>
      <c r="K38" s="24" t="s">
        <v>544</v>
      </c>
      <c r="L38" s="6" t="str">
        <f t="shared" si="0"/>
        <v>insert into CHB_DATACHECK_RULE_INV values ('884807E5-DF8C-D920-E150-007F010077FD','FinPlanProfitAsset002','lessThanCharLength','bussRepAssetMngProdInfo.repMaxRate','==','0','Y','预期最高收益率%要素必须为空','D','com.joyintech.tams.invest.common.ChbBaseCheckLib');</v>
      </c>
    </row>
    <row r="39" spans="1:12" x14ac:dyDescent="0.15">
      <c r="A39" s="3" t="s">
        <v>488</v>
      </c>
      <c r="B39" s="3" t="s">
        <v>483</v>
      </c>
      <c r="C39" s="3" t="s">
        <v>12</v>
      </c>
      <c r="D39" s="3" t="s">
        <v>168</v>
      </c>
      <c r="E39" s="3"/>
      <c r="F39" s="3"/>
      <c r="G39" s="3" t="s">
        <v>15</v>
      </c>
      <c r="H39" s="3" t="s">
        <v>169</v>
      </c>
      <c r="I39" s="3" t="s">
        <v>530</v>
      </c>
      <c r="J39" s="6" t="s">
        <v>107</v>
      </c>
      <c r="K39" s="24" t="s">
        <v>544</v>
      </c>
      <c r="L39" s="6" t="str">
        <f t="shared" si="0"/>
        <v>insert into CHB_DATACHECK_RULE_INV values ('884807E5-DF8A-D921-E150-007F010077FD','FinPlanProfitAsset002','isNotEmpty','bussRepOutInvestAgrInfo.repMaxExpectedYield','','','N','预期最高收益率%要素不可为空','D','com.joyintech.tams.invest.common.ChbBaseCheckLib');</v>
      </c>
    </row>
    <row r="40" spans="1:12" x14ac:dyDescent="0.15">
      <c r="A40" s="3" t="s">
        <v>340</v>
      </c>
      <c r="B40" s="3" t="s">
        <v>483</v>
      </c>
      <c r="C40" s="3" t="s">
        <v>13</v>
      </c>
      <c r="D40" s="3" t="s">
        <v>168</v>
      </c>
      <c r="E40" s="3" t="s">
        <v>9</v>
      </c>
      <c r="F40" s="3" t="s">
        <v>16</v>
      </c>
      <c r="G40" s="3" t="s">
        <v>17</v>
      </c>
      <c r="H40" s="3" t="s">
        <v>170</v>
      </c>
      <c r="I40" s="3" t="s">
        <v>530</v>
      </c>
      <c r="J40" s="6" t="s">
        <v>107</v>
      </c>
      <c r="K40" s="24" t="s">
        <v>544</v>
      </c>
      <c r="L40" s="6" t="str">
        <f t="shared" si="0"/>
        <v>insert into CHB_DATACHECK_RULE_INV values ('884807E5-DF8C-D921-E150-007F010077FD','FinPlanProfitAsset002','lessThanCharLength','bussRepOutInvestAgrInfo.repMaxExpectedYield','==','0','Y','预期最高收益率%要素必须为空','D','com.joyintech.tams.invest.common.ChbBaseCheckLib');</v>
      </c>
    </row>
    <row r="41" spans="1:12" x14ac:dyDescent="0.15">
      <c r="A41" s="3" t="s">
        <v>341</v>
      </c>
      <c r="B41" s="3" t="s">
        <v>483</v>
      </c>
      <c r="C41" s="3" t="s">
        <v>137</v>
      </c>
      <c r="D41" s="3" t="s">
        <v>168</v>
      </c>
      <c r="E41" s="3"/>
      <c r="F41" s="3" t="s">
        <v>180</v>
      </c>
      <c r="G41" s="3" t="s">
        <v>17</v>
      </c>
      <c r="H41" s="3" t="s">
        <v>219</v>
      </c>
      <c r="I41" s="3" t="s">
        <v>530</v>
      </c>
      <c r="J41" s="6" t="s">
        <v>72</v>
      </c>
      <c r="K41" s="24" t="s">
        <v>544</v>
      </c>
      <c r="L41" s="6" t="str">
        <f t="shared" si="0"/>
        <v>insert into CHB_DATACHECK_RULE_INV values ('884807E5-DF8A-D920-E150-107F010077FD','FinPlanProfitAsset002','isNumber2','bussRepAssetMngProdInfo.repMaxRate','','8,5','Y','预期最高收益率%以百分数形式表示时必须为n（8,5）格式','D','com.joyintech.tams.invest.common.ChbBaseCheckLib');</v>
      </c>
    </row>
    <row r="42" spans="1:12" x14ac:dyDescent="0.15">
      <c r="A42" s="3" t="s">
        <v>342</v>
      </c>
      <c r="B42" s="3" t="s">
        <v>483</v>
      </c>
      <c r="C42" s="3" t="s">
        <v>147</v>
      </c>
      <c r="D42" s="3" t="s">
        <v>168</v>
      </c>
      <c r="E42" s="3" t="s">
        <v>148</v>
      </c>
      <c r="F42" s="3" t="s">
        <v>16</v>
      </c>
      <c r="G42" s="3" t="s">
        <v>17</v>
      </c>
      <c r="H42" s="3" t="s">
        <v>220</v>
      </c>
      <c r="I42" s="3" t="s">
        <v>530</v>
      </c>
      <c r="J42" s="6" t="s">
        <v>72</v>
      </c>
      <c r="K42" s="24" t="s">
        <v>544</v>
      </c>
      <c r="L42" s="6" t="str">
        <f t="shared" si="0"/>
        <v>insert into CHB_DATACHECK_RULE_INV values ('884807E5-DF8B-D920-E150-007F010077FD','FinPlanProfitAsset002','compareValueAsNumber','bussRepAssetMngProdInfo.repMaxRate','&gt;=','0','Y','预期最高收益率%必须大于等于0','D','com.joyintech.tams.invest.common.ChbBaseCheckLib');</v>
      </c>
    </row>
    <row r="43" spans="1:12" x14ac:dyDescent="0.15">
      <c r="A43" s="3" t="s">
        <v>343</v>
      </c>
      <c r="B43" s="3" t="s">
        <v>483</v>
      </c>
      <c r="C43" s="3" t="s">
        <v>137</v>
      </c>
      <c r="D43" s="3" t="s">
        <v>168</v>
      </c>
      <c r="E43" s="3"/>
      <c r="F43" s="3" t="s">
        <v>180</v>
      </c>
      <c r="G43" s="3" t="s">
        <v>17</v>
      </c>
      <c r="H43" s="3" t="s">
        <v>219</v>
      </c>
      <c r="I43" s="3" t="s">
        <v>530</v>
      </c>
      <c r="J43" s="6" t="s">
        <v>107</v>
      </c>
      <c r="K43" s="24" t="s">
        <v>544</v>
      </c>
      <c r="L43" s="6" t="str">
        <f t="shared" si="0"/>
        <v>insert into CHB_DATACHECK_RULE_INV values ('884807E5-DF8A-F920-E150-107F010077FD','FinPlanProfitAsset002','isNumber2','bussRepOutInvestAgrInfo.repMaxExpectedYield','','8,5','Y','预期最高收益率%以百分数形式表示时必须为n（8,5）格式','D','com.joyintech.tams.invest.common.ChbBaseCheckLib');</v>
      </c>
    </row>
    <row r="44" spans="1:12" x14ac:dyDescent="0.15">
      <c r="A44" s="3" t="s">
        <v>344</v>
      </c>
      <c r="B44" s="3" t="s">
        <v>483</v>
      </c>
      <c r="C44" s="3" t="s">
        <v>147</v>
      </c>
      <c r="D44" s="3" t="s">
        <v>168</v>
      </c>
      <c r="E44" s="3" t="s">
        <v>148</v>
      </c>
      <c r="F44" s="3" t="s">
        <v>16</v>
      </c>
      <c r="G44" s="3" t="s">
        <v>17</v>
      </c>
      <c r="H44" s="3" t="s">
        <v>220</v>
      </c>
      <c r="I44" s="3" t="s">
        <v>530</v>
      </c>
      <c r="J44" s="6" t="s">
        <v>107</v>
      </c>
      <c r="K44" s="24" t="s">
        <v>544</v>
      </c>
      <c r="L44" s="6" t="str">
        <f t="shared" si="0"/>
        <v>insert into CHB_DATACHECK_RULE_INV values ('884807E5-DF8B-F920-E150-007F010077FD','FinPlanProfitAsset002','compareValueAsNumber','bussRepOutInvestAgrInfo.repMaxExpectedYield','&gt;=','0','Y','预期最高收益率%必须大于等于0','D','com.joyintech.tams.invest.common.ChbBaseCheckLib');</v>
      </c>
    </row>
    <row r="45" spans="1:12" x14ac:dyDescent="0.15">
      <c r="A45" s="3" t="s">
        <v>345</v>
      </c>
      <c r="B45" s="3" t="s">
        <v>483</v>
      </c>
      <c r="C45" s="3" t="s">
        <v>137</v>
      </c>
      <c r="D45" s="3" t="s">
        <v>179</v>
      </c>
      <c r="E45" s="3" t="s">
        <v>9</v>
      </c>
      <c r="F45" s="3" t="s">
        <v>180</v>
      </c>
      <c r="G45" s="3" t="s">
        <v>17</v>
      </c>
      <c r="H45" s="3" t="s">
        <v>181</v>
      </c>
      <c r="I45" s="3" t="s">
        <v>530</v>
      </c>
      <c r="J45" s="6" t="s">
        <v>77</v>
      </c>
      <c r="K45" s="24" t="s">
        <v>544</v>
      </c>
      <c r="L45" s="6" t="str">
        <f t="shared" si="0"/>
        <v>insert into CHB_DATACHECK_RULE_INV values ('884807E5-DF93-D920-E150-007F010077FD','FinPlanProfitAsset002','isNumber2','bussRepAssetMngProdInfo.repMgrFeeRate','==','8,5','Y','管理费率%以百分数形式表示时必须为n（8,5）格式','D','com.joyintech.tams.invest.common.ChbBaseCheckLib');</v>
      </c>
    </row>
    <row r="46" spans="1:12" x14ac:dyDescent="0.15">
      <c r="A46" s="3" t="s">
        <v>346</v>
      </c>
      <c r="B46" s="3" t="s">
        <v>483</v>
      </c>
      <c r="C46" s="3" t="s">
        <v>137</v>
      </c>
      <c r="D46" s="3" t="s">
        <v>179</v>
      </c>
      <c r="E46" s="3" t="s">
        <v>9</v>
      </c>
      <c r="F46" s="3" t="s">
        <v>180</v>
      </c>
      <c r="G46" s="3" t="s">
        <v>17</v>
      </c>
      <c r="H46" s="3" t="s">
        <v>181</v>
      </c>
      <c r="I46" s="3" t="s">
        <v>530</v>
      </c>
      <c r="J46" s="6" t="s">
        <v>109</v>
      </c>
      <c r="K46" s="24" t="s">
        <v>544</v>
      </c>
      <c r="L46" s="6" t="str">
        <f t="shared" si="0"/>
        <v>insert into CHB_DATACHECK_RULE_INV values ('884807E5-DF93-D920-E150-007F030077FD','FinPlanProfitAsset002','isNumber2','bussRepOutInvestAgrInfo.repManagementRate','==','8,5','Y','管理费率%以百分数形式表示时必须为n（8,5）格式','D','com.joyintech.tams.invest.common.ChbBaseCheckLib');</v>
      </c>
    </row>
    <row r="47" spans="1:12" x14ac:dyDescent="0.15">
      <c r="A47" s="3" t="s">
        <v>347</v>
      </c>
      <c r="B47" s="3" t="s">
        <v>483</v>
      </c>
      <c r="C47" s="3" t="s">
        <v>12</v>
      </c>
      <c r="D47" s="3" t="s">
        <v>179</v>
      </c>
      <c r="E47" s="3"/>
      <c r="F47" s="3"/>
      <c r="G47" s="3" t="s">
        <v>17</v>
      </c>
      <c r="H47" s="3" t="s">
        <v>182</v>
      </c>
      <c r="I47" s="3" t="s">
        <v>530</v>
      </c>
      <c r="J47" s="6" t="s">
        <v>109</v>
      </c>
      <c r="K47" s="24" t="s">
        <v>544</v>
      </c>
      <c r="L47" s="6" t="str">
        <f t="shared" si="0"/>
        <v>insert into CHB_DATACHECK_RULE_INV values ('884807E5-DF93-D920-E150-107F010077FD','FinPlanProfitAsset002','isNotEmpty','bussRepOutInvestAgrInfo.repManagementRate','','','Y','管理费率%要素不可为空','D','com.joyintech.tams.invest.common.ChbBaseCheckLib');</v>
      </c>
    </row>
    <row r="48" spans="1:12" x14ac:dyDescent="0.15">
      <c r="A48" s="3" t="s">
        <v>348</v>
      </c>
      <c r="B48" s="3" t="s">
        <v>483</v>
      </c>
      <c r="C48" s="3" t="s">
        <v>12</v>
      </c>
      <c r="D48" s="3" t="s">
        <v>179</v>
      </c>
      <c r="E48" s="3"/>
      <c r="F48" s="3"/>
      <c r="G48" s="3" t="s">
        <v>17</v>
      </c>
      <c r="H48" s="3" t="s">
        <v>182</v>
      </c>
      <c r="I48" s="3" t="s">
        <v>530</v>
      </c>
      <c r="J48" s="6" t="s">
        <v>77</v>
      </c>
      <c r="K48" s="24" t="s">
        <v>544</v>
      </c>
      <c r="L48" s="6" t="str">
        <f t="shared" si="0"/>
        <v>insert into CHB_DATACHECK_RULE_INV values ('884807E5-DF93-D920-E150-107F030077FD','FinPlanProfitAsset002','isNotEmpty','bussRepAssetMngProdInfo.repMgrFeeRate','','','Y','管理费率%要素不可为空','D','com.joyintech.tams.invest.common.ChbBaseCheckLib');</v>
      </c>
    </row>
    <row r="49" spans="1:12" x14ac:dyDescent="0.15">
      <c r="A49" s="3" t="s">
        <v>349</v>
      </c>
      <c r="B49" s="3" t="s">
        <v>483</v>
      </c>
      <c r="C49" s="3" t="s">
        <v>147</v>
      </c>
      <c r="D49" s="3" t="s">
        <v>179</v>
      </c>
      <c r="E49" s="3" t="s">
        <v>148</v>
      </c>
      <c r="F49" s="3" t="s">
        <v>16</v>
      </c>
      <c r="G49" s="3" t="s">
        <v>17</v>
      </c>
      <c r="H49" s="3" t="s">
        <v>224</v>
      </c>
      <c r="I49" s="3" t="s">
        <v>530</v>
      </c>
      <c r="J49" s="6" t="s">
        <v>77</v>
      </c>
      <c r="K49" s="24" t="s">
        <v>544</v>
      </c>
      <c r="L49" s="6" t="str">
        <f t="shared" si="0"/>
        <v>insert into CHB_DATACHECK_RULE_INV values ('884807E5-DF94-D920-E150-007F010077FD','FinPlanProfitAsset002','compareValueAsNumber','bussRepAssetMngProdInfo.repMgrFeeRate','&gt;=','0','Y','管理费率%必须大于等于0。','D','com.joyintech.tams.invest.common.ChbBaseCheckLib');</v>
      </c>
    </row>
    <row r="50" spans="1:12" x14ac:dyDescent="0.15">
      <c r="A50" s="3" t="s">
        <v>350</v>
      </c>
      <c r="B50" s="3" t="s">
        <v>483</v>
      </c>
      <c r="C50" s="3" t="s">
        <v>147</v>
      </c>
      <c r="D50" s="3" t="s">
        <v>179</v>
      </c>
      <c r="E50" s="3" t="s">
        <v>148</v>
      </c>
      <c r="F50" s="3" t="s">
        <v>16</v>
      </c>
      <c r="G50" s="3" t="s">
        <v>17</v>
      </c>
      <c r="H50" s="3" t="s">
        <v>224</v>
      </c>
      <c r="I50" s="3" t="s">
        <v>530</v>
      </c>
      <c r="J50" s="6" t="s">
        <v>109</v>
      </c>
      <c r="K50" s="24" t="s">
        <v>544</v>
      </c>
      <c r="L50" s="6" t="str">
        <f t="shared" si="0"/>
        <v>insert into CHB_DATACHECK_RULE_INV values ('884807E5-DF94-D810-E150-007F010077FD','FinPlanProfitAsset002','compareValueAsNumber','bussRepOutInvestAgrInfo.repManagementRate','&gt;=','0','Y','管理费率%必须大于等于0。','D','com.joyintech.tams.invest.common.ChbBaseCheckLib');</v>
      </c>
    </row>
    <row r="51" spans="1:12" x14ac:dyDescent="0.15">
      <c r="A51" s="3" t="s">
        <v>351</v>
      </c>
      <c r="B51" s="3" t="s">
        <v>483</v>
      </c>
      <c r="C51" s="3" t="s">
        <v>13</v>
      </c>
      <c r="D51" s="3" t="s">
        <v>171</v>
      </c>
      <c r="E51" s="3" t="s">
        <v>9</v>
      </c>
      <c r="F51" s="3" t="s">
        <v>16</v>
      </c>
      <c r="G51" s="3" t="s">
        <v>17</v>
      </c>
      <c r="H51" s="3" t="s">
        <v>172</v>
      </c>
      <c r="I51" s="3" t="s">
        <v>530</v>
      </c>
      <c r="J51" s="6" t="s">
        <v>73</v>
      </c>
      <c r="K51" s="24" t="s">
        <v>544</v>
      </c>
      <c r="L51" s="6" t="str">
        <f t="shared" si="0"/>
        <v>insert into CHB_DATACHECK_RULE_INV values ('884807E5-DF8F-D920-E150-007F010077FD','FinPlanProfitAsset002','lessThanCharLength','bussRepAssetMngProdInfo.repMinRate','==','0','Y','预期最低收益率%要素必须为空','D','com.joyintech.tams.invest.common.ChbBaseCheckLib');</v>
      </c>
    </row>
    <row r="52" spans="1:12" x14ac:dyDescent="0.15">
      <c r="A52" s="3" t="s">
        <v>352</v>
      </c>
      <c r="B52" s="3" t="s">
        <v>483</v>
      </c>
      <c r="C52" s="3" t="s">
        <v>13</v>
      </c>
      <c r="D52" s="3" t="s">
        <v>171</v>
      </c>
      <c r="E52" s="3" t="s">
        <v>9</v>
      </c>
      <c r="F52" s="3" t="s">
        <v>16</v>
      </c>
      <c r="G52" s="3" t="s">
        <v>17</v>
      </c>
      <c r="H52" s="3" t="s">
        <v>172</v>
      </c>
      <c r="I52" s="3" t="s">
        <v>530</v>
      </c>
      <c r="J52" s="6" t="s">
        <v>108</v>
      </c>
      <c r="K52" s="24" t="s">
        <v>544</v>
      </c>
      <c r="L52" s="6" t="str">
        <f t="shared" si="0"/>
        <v>insert into CHB_DATACHECK_RULE_INV values ('884807E5-DF8F-D922-E150-007F010077FD','FinPlanProfitAsset002','lessThanCharLength','bussRepOutInvestAgrInfo.repMinExpectedYield','==','0','Y','预期最低收益率%要素必须为空','D','com.joyintech.tams.invest.common.ChbBaseCheckLib');</v>
      </c>
    </row>
    <row r="53" spans="1:12" x14ac:dyDescent="0.15">
      <c r="A53" s="3" t="s">
        <v>353</v>
      </c>
      <c r="B53" s="3" t="s">
        <v>483</v>
      </c>
      <c r="C53" s="3" t="s">
        <v>137</v>
      </c>
      <c r="D53" s="3" t="s">
        <v>171</v>
      </c>
      <c r="E53" s="3" t="s">
        <v>9</v>
      </c>
      <c r="F53" s="3" t="s">
        <v>180</v>
      </c>
      <c r="G53" s="3" t="s">
        <v>17</v>
      </c>
      <c r="H53" s="3" t="s">
        <v>221</v>
      </c>
      <c r="I53" s="3" t="s">
        <v>530</v>
      </c>
      <c r="J53" s="6" t="s">
        <v>73</v>
      </c>
      <c r="K53" s="24" t="s">
        <v>544</v>
      </c>
      <c r="L53" s="6" t="str">
        <f t="shared" si="0"/>
        <v>insert into CHB_DATACHECK_RULE_INV values ('884807E5-DF8D-D920-E139-007F010077FD','FinPlanProfitAsset002','isNumber2','bussRepAssetMngProdInfo.repMinRate','==','8,5','Y','预期最低收益率%以百分数形式表示时必须为n(8,5)格式','D','com.joyintech.tams.invest.common.ChbBaseCheckLib');</v>
      </c>
    </row>
    <row r="54" spans="1:12" x14ac:dyDescent="0.15">
      <c r="A54" s="3" t="s">
        <v>354</v>
      </c>
      <c r="B54" s="3" t="s">
        <v>483</v>
      </c>
      <c r="C54" s="3" t="s">
        <v>222</v>
      </c>
      <c r="D54" s="3" t="s">
        <v>171</v>
      </c>
      <c r="E54" s="3" t="s">
        <v>214</v>
      </c>
      <c r="F54" s="3" t="s">
        <v>292</v>
      </c>
      <c r="G54" s="3" t="s">
        <v>17</v>
      </c>
      <c r="H54" s="3" t="s">
        <v>223</v>
      </c>
      <c r="I54" s="3" t="s">
        <v>530</v>
      </c>
      <c r="J54" s="6" t="s">
        <v>73</v>
      </c>
      <c r="K54" s="24" t="s">
        <v>544</v>
      </c>
      <c r="L54" s="6" t="str">
        <f t="shared" si="0"/>
        <v>insert into CHB_DATACHECK_RULE_INV values ('884807E5-DF8E-D920-E142-007F010077FD','FinPlanProfitAsset002','comparePropertyAsNumber','bussRepAssetMngProdInfo.repMinRate','&lt;=','bussRepAssetMngProdInfo.repMaxRate','Y','预期最低收益率必须小于等于预期最高收益率','D','com.joyintech.tams.invest.common.ChbBaseCheckLib');</v>
      </c>
    </row>
    <row r="55" spans="1:12" x14ac:dyDescent="0.15">
      <c r="A55" s="3" t="s">
        <v>355</v>
      </c>
      <c r="B55" s="3" t="s">
        <v>483</v>
      </c>
      <c r="C55" s="3" t="s">
        <v>137</v>
      </c>
      <c r="D55" s="3" t="s">
        <v>171</v>
      </c>
      <c r="E55" s="3" t="s">
        <v>9</v>
      </c>
      <c r="F55" s="3" t="s">
        <v>180</v>
      </c>
      <c r="G55" s="3" t="s">
        <v>17</v>
      </c>
      <c r="H55" s="3" t="s">
        <v>221</v>
      </c>
      <c r="I55" s="3" t="s">
        <v>530</v>
      </c>
      <c r="J55" s="6" t="s">
        <v>108</v>
      </c>
      <c r="K55" s="24" t="s">
        <v>544</v>
      </c>
      <c r="L55" s="6" t="str">
        <f t="shared" si="0"/>
        <v>insert into CHB_DATACHECK_RULE_INV values ('884807E5-DF8D-D920-E138-007F010077FD','FinPlanProfitAsset002','isNumber2','bussRepOutInvestAgrInfo.repMinExpectedYield','==','8,5','Y','预期最低收益率%以百分数形式表示时必须为n(8,5)格式','D','com.joyintech.tams.invest.common.ChbBaseCheckLib');</v>
      </c>
    </row>
    <row r="56" spans="1:12" x14ac:dyDescent="0.15">
      <c r="A56" s="3" t="s">
        <v>356</v>
      </c>
      <c r="B56" s="3" t="s">
        <v>483</v>
      </c>
      <c r="C56" s="3" t="s">
        <v>222</v>
      </c>
      <c r="D56" s="3" t="s">
        <v>171</v>
      </c>
      <c r="E56" s="3" t="s">
        <v>214</v>
      </c>
      <c r="F56" s="3" t="s">
        <v>293</v>
      </c>
      <c r="G56" s="3" t="s">
        <v>17</v>
      </c>
      <c r="H56" s="3" t="s">
        <v>223</v>
      </c>
      <c r="I56" s="3" t="s">
        <v>530</v>
      </c>
      <c r="J56" s="6" t="s">
        <v>108</v>
      </c>
      <c r="K56" s="24" t="s">
        <v>544</v>
      </c>
      <c r="L56" s="6" t="str">
        <f t="shared" si="0"/>
        <v>insert into CHB_DATACHECK_RULE_INV values ('884807E5-DF8E-D920-E141-007F010077FD','FinPlanProfitAsset002','comparePropertyAsNumber','bussRepOutInvestAgrInfo.repMinExpectedYield','&lt;=','bussRepOutInvestAgrInfo.repMaxExpectedYield','Y','预期最低收益率必须小于等于预期最高收益率','D','com.joyintech.tams.invest.common.ChbBaseCheckLib');</v>
      </c>
    </row>
    <row r="57" spans="1:12" x14ac:dyDescent="0.15">
      <c r="A57" s="3" t="s">
        <v>357</v>
      </c>
      <c r="B57" s="3" t="s">
        <v>483</v>
      </c>
      <c r="C57" s="3" t="s">
        <v>137</v>
      </c>
      <c r="D57" s="3" t="s">
        <v>192</v>
      </c>
      <c r="E57" s="3" t="s">
        <v>148</v>
      </c>
      <c r="F57" s="3" t="s">
        <v>180</v>
      </c>
      <c r="G57" s="3" t="s">
        <v>17</v>
      </c>
      <c r="H57" s="3" t="s">
        <v>193</v>
      </c>
      <c r="I57" s="3" t="s">
        <v>530</v>
      </c>
      <c r="J57" s="6" t="s">
        <v>81</v>
      </c>
      <c r="K57" s="24" t="s">
        <v>544</v>
      </c>
      <c r="L57" s="6" t="str">
        <f t="shared" si="0"/>
        <v>insert into CHB_DATACHECK_RULE_INV values ('884807E5-DF9B-D920-E150-007F010077FD','FinPlanProfitAsset002','isNumber2','bussRepAssetMngProdInfo.repOtherFeeRate','&gt;=','8,5','Y','其他合计费率%以百分数形式表示时必须为n（8,5）格式','D','com.joyintech.tams.invest.common.ChbBaseCheckLib');</v>
      </c>
    </row>
    <row r="58" spans="1:12" x14ac:dyDescent="0.15">
      <c r="A58" s="3" t="s">
        <v>358</v>
      </c>
      <c r="B58" s="3" t="s">
        <v>483</v>
      </c>
      <c r="C58" s="3" t="s">
        <v>12</v>
      </c>
      <c r="D58" s="3" t="s">
        <v>192</v>
      </c>
      <c r="E58" s="3"/>
      <c r="F58" s="3"/>
      <c r="G58" s="3" t="s">
        <v>15</v>
      </c>
      <c r="H58" s="3" t="s">
        <v>294</v>
      </c>
      <c r="I58" s="3" t="s">
        <v>530</v>
      </c>
      <c r="J58" s="6" t="s">
        <v>81</v>
      </c>
      <c r="K58" s="24" t="s">
        <v>544</v>
      </c>
      <c r="L58" s="6" t="str">
        <f t="shared" si="0"/>
        <v>insert into CHB_DATACHECK_RULE_INV values ('884807E5-DF9B-D920-E150-107F010077FD','FinPlanProfitAsset002','isNotEmpty','bussRepAssetMngProdInfo.repOtherFeeRate','','','N','其他合计费率%要素不可为空','D','com.joyintech.tams.invest.common.ChbBaseCheckLib');</v>
      </c>
    </row>
    <row r="59" spans="1:12" x14ac:dyDescent="0.15">
      <c r="A59" s="3" t="s">
        <v>359</v>
      </c>
      <c r="B59" s="3" t="s">
        <v>483</v>
      </c>
      <c r="C59" s="3" t="s">
        <v>137</v>
      </c>
      <c r="D59" s="3" t="s">
        <v>192</v>
      </c>
      <c r="E59" s="3" t="s">
        <v>148</v>
      </c>
      <c r="F59" s="3" t="s">
        <v>180</v>
      </c>
      <c r="G59" s="3" t="s">
        <v>17</v>
      </c>
      <c r="H59" s="3" t="s">
        <v>193</v>
      </c>
      <c r="I59" s="3" t="s">
        <v>530</v>
      </c>
      <c r="J59" s="6" t="s">
        <v>296</v>
      </c>
      <c r="K59" s="24" t="s">
        <v>544</v>
      </c>
      <c r="L59" s="6" t="str">
        <f t="shared" si="0"/>
        <v>insert into CHB_DATACHECK_RULE_INV values ('884807E5-DF9B-D922-E150-007F010077FD','FinPlanProfitAsset002','isNumber2','bussRepOutInvestAgrInfo.repOtherSumRate','&gt;=','8,5','Y','其他合计费率%以百分数形式表示时必须为n（8,5）格式','D','com.joyintech.tams.invest.common.ChbBaseCheckLib');</v>
      </c>
    </row>
    <row r="60" spans="1:12" x14ac:dyDescent="0.15">
      <c r="A60" s="3" t="s">
        <v>360</v>
      </c>
      <c r="B60" s="3" t="s">
        <v>483</v>
      </c>
      <c r="C60" s="3" t="s">
        <v>12</v>
      </c>
      <c r="D60" s="3" t="s">
        <v>192</v>
      </c>
      <c r="E60" s="3"/>
      <c r="F60" s="3"/>
      <c r="G60" s="3" t="s">
        <v>15</v>
      </c>
      <c r="H60" s="3" t="s">
        <v>194</v>
      </c>
      <c r="I60" s="3" t="s">
        <v>530</v>
      </c>
      <c r="J60" s="6" t="s">
        <v>295</v>
      </c>
      <c r="K60" s="24" t="s">
        <v>544</v>
      </c>
      <c r="L60" s="6" t="str">
        <f t="shared" si="0"/>
        <v>insert into CHB_DATACHECK_RULE_INV values ('884807E5-DF9B-D922-E150-107F010077FD','FinPlanProfitAsset002','isNotEmpty','bussRepOutInvestAgrInfo.repOtherSumRate','','','N','其他合计费率%要素不可为空','D','com.joyintech.tams.invest.common.ChbBaseCheckLib');</v>
      </c>
    </row>
    <row r="61" spans="1:12" x14ac:dyDescent="0.15">
      <c r="A61" s="3" t="s">
        <v>361</v>
      </c>
      <c r="B61" s="3" t="s">
        <v>483</v>
      </c>
      <c r="C61" s="3" t="s">
        <v>147</v>
      </c>
      <c r="D61" s="3" t="s">
        <v>192</v>
      </c>
      <c r="E61" s="3" t="s">
        <v>148</v>
      </c>
      <c r="F61" s="3" t="s">
        <v>16</v>
      </c>
      <c r="G61" s="3" t="s">
        <v>17</v>
      </c>
      <c r="H61" s="3" t="s">
        <v>227</v>
      </c>
      <c r="I61" s="3" t="s">
        <v>530</v>
      </c>
      <c r="J61" s="6" t="s">
        <v>81</v>
      </c>
      <c r="K61" s="24" t="s">
        <v>544</v>
      </c>
      <c r="L61" s="6" t="str">
        <f t="shared" si="0"/>
        <v>insert into CHB_DATACHECK_RULE_INV values ('884807E5-DF9C-D920-E142-007F010077FD','FinPlanProfitAsset002','compareValueAsNumber','bussRepAssetMngProdInfo.repOtherFeeRate','&gt;=','0','Y','其他合计费率%必须大于等于0。','D','com.joyintech.tams.invest.common.ChbBaseCheckLib');</v>
      </c>
    </row>
    <row r="62" spans="1:12" x14ac:dyDescent="0.15">
      <c r="A62" s="3" t="s">
        <v>362</v>
      </c>
      <c r="B62" s="3" t="s">
        <v>483</v>
      </c>
      <c r="C62" s="3" t="s">
        <v>147</v>
      </c>
      <c r="D62" s="3" t="s">
        <v>192</v>
      </c>
      <c r="E62" s="3" t="s">
        <v>148</v>
      </c>
      <c r="F62" s="3" t="s">
        <v>16</v>
      </c>
      <c r="G62" s="3" t="s">
        <v>17</v>
      </c>
      <c r="H62" s="3" t="s">
        <v>227</v>
      </c>
      <c r="I62" s="3" t="s">
        <v>530</v>
      </c>
      <c r="J62" s="6" t="s">
        <v>295</v>
      </c>
      <c r="K62" s="24" t="s">
        <v>544</v>
      </c>
      <c r="L62" s="6" t="str">
        <f t="shared" si="0"/>
        <v>insert into CHB_DATACHECK_RULE_INV values ('884807E5-DF9C-D920-E143-007F010077FD','FinPlanProfitAsset002','compareValueAsNumber','bussRepOutInvestAgrInfo.repOtherSumRate','&gt;=','0','Y','其他合计费率%必须大于等于0。','D','com.joyintech.tams.invest.common.ChbBaseCheckLib');</v>
      </c>
    </row>
    <row r="63" spans="1:12" x14ac:dyDescent="0.15">
      <c r="A63" s="3" t="s">
        <v>363</v>
      </c>
      <c r="B63" s="3" t="s">
        <v>483</v>
      </c>
      <c r="C63" s="3" t="s">
        <v>12</v>
      </c>
      <c r="D63" s="3" t="s">
        <v>143</v>
      </c>
      <c r="E63" s="3"/>
      <c r="F63" s="3"/>
      <c r="G63" s="3" t="s">
        <v>15</v>
      </c>
      <c r="H63" s="3" t="s">
        <v>144</v>
      </c>
      <c r="I63" s="3" t="s">
        <v>530</v>
      </c>
      <c r="J63" s="6" t="s">
        <v>64</v>
      </c>
      <c r="K63" s="24" t="s">
        <v>544</v>
      </c>
      <c r="L63" s="6" t="str">
        <f t="shared" si="0"/>
        <v>insert into CHB_DATACHECK_RULE_INV values ('884807E5-DF7C-D920-E150-007F010077FD','FinPlanProfitAsset002','isNotEmpty','bussRepAssetMngProdInfo.repPartyCode','','','N','资管计划发起人机构编码要素不可为空。','D','com.joyintech.tams.invest.common.ChbBaseCheckLib');</v>
      </c>
    </row>
    <row r="64" spans="1:12" x14ac:dyDescent="0.15">
      <c r="A64" s="3" t="s">
        <v>364</v>
      </c>
      <c r="B64" s="3" t="s">
        <v>483</v>
      </c>
      <c r="C64" s="3" t="s">
        <v>11</v>
      </c>
      <c r="D64" s="3" t="s">
        <v>143</v>
      </c>
      <c r="E64" s="3"/>
      <c r="F64" s="3" t="s">
        <v>18</v>
      </c>
      <c r="G64" s="3" t="s">
        <v>17</v>
      </c>
      <c r="H64" s="3" t="s">
        <v>205</v>
      </c>
      <c r="I64" s="3" t="s">
        <v>10</v>
      </c>
      <c r="J64" s="6" t="s">
        <v>64</v>
      </c>
      <c r="K64" s="24" t="s">
        <v>544</v>
      </c>
      <c r="L64" s="6" t="str">
        <f t="shared" si="0"/>
        <v>insert into CHB_DATACHECK_RULE_INV values ('123E4A49-6810-5A9E-E150-007F01006A51','FinPlanProfitAsset002','isCustomizedString','bussRepAssetMngProdInfo.repPartyCode','','^[\u4e00-\u9fa5\ue815-\ue864\uff01-\uff5e\uffe0-\uffe5\u3000-\u3003\u3005-\u3017\u301d-\u301e\u2010\u2013-\u2016\u2018-\u2019\u201c-\u201d\u2025-\u2026\u2030\u2032-\u2033\u2035\u203b\u00b7\u0030-\u0039\u0041-\u005a\u0061-\u007a\u2160-\u216b\u0020-\u0026\u0028-\u007B\u007D\u007E]{0,}$','Y','资管计划发起人机构编码必须填写白名单中的文字。','E','com.joyintech.tams.invest.common.ChbBaseCheckLib');</v>
      </c>
    </row>
    <row r="65" spans="1:12" x14ac:dyDescent="0.15">
      <c r="A65" s="3" t="s">
        <v>365</v>
      </c>
      <c r="B65" s="3" t="s">
        <v>483</v>
      </c>
      <c r="C65" s="3" t="s">
        <v>13</v>
      </c>
      <c r="D65" s="3" t="s">
        <v>143</v>
      </c>
      <c r="E65" s="3" t="s">
        <v>9</v>
      </c>
      <c r="F65" s="3" t="s">
        <v>212</v>
      </c>
      <c r="G65" s="3" t="s">
        <v>17</v>
      </c>
      <c r="H65" s="3" t="s">
        <v>297</v>
      </c>
      <c r="I65" s="3" t="s">
        <v>10</v>
      </c>
      <c r="J65" s="6" t="s">
        <v>64</v>
      </c>
      <c r="K65" s="24" t="s">
        <v>544</v>
      </c>
      <c r="L65" s="6" t="str">
        <f t="shared" si="0"/>
        <v>insert into CHB_DATACHECK_RULE_INV values ('884807E5-DF7C-D920-E150-107F010077FD','FinPlanProfitAsset002','lessThanCharLength','bussRepAssetMngProdInfo.repPartyCode','==','33','Y','资管计划发起人机构编码过长','E','com.joyintech.tams.invest.common.ChbBaseCheckLib');</v>
      </c>
    </row>
    <row r="66" spans="1:12" x14ac:dyDescent="0.15">
      <c r="A66" s="3" t="s">
        <v>366</v>
      </c>
      <c r="B66" s="3" t="s">
        <v>483</v>
      </c>
      <c r="C66" s="3" t="s">
        <v>12</v>
      </c>
      <c r="D66" s="3" t="s">
        <v>161</v>
      </c>
      <c r="E66" s="3"/>
      <c r="F66" s="3"/>
      <c r="G66" s="3" t="s">
        <v>15</v>
      </c>
      <c r="H66" s="3" t="s">
        <v>162</v>
      </c>
      <c r="I66" s="3" t="s">
        <v>533</v>
      </c>
      <c r="J66" s="6" t="s">
        <v>70</v>
      </c>
      <c r="K66" s="24" t="s">
        <v>544</v>
      </c>
      <c r="L66" s="6" t="str">
        <f t="shared" si="0"/>
        <v>insert into CHB_DATACHECK_RULE_INV values ('884807E5-DF88-D920-E150-007F010077FD','FinPlanProfitAsset002','isNotEmpty','bussRepAssetMngProdInfo.repPlanProp','','','N','资管计划属性要素不可为空','D','com.joyintech.tams.invest.common.ChbBaseCheckLib');</v>
      </c>
    </row>
    <row r="67" spans="1:12" x14ac:dyDescent="0.15">
      <c r="A67" s="3" t="s">
        <v>367</v>
      </c>
      <c r="B67" s="3" t="s">
        <v>483</v>
      </c>
      <c r="C67" s="3" t="s">
        <v>12</v>
      </c>
      <c r="D67" s="3" t="s">
        <v>161</v>
      </c>
      <c r="E67" s="3"/>
      <c r="F67" s="3"/>
      <c r="G67" s="3" t="s">
        <v>15</v>
      </c>
      <c r="H67" s="3" t="s">
        <v>163</v>
      </c>
      <c r="I67" s="3" t="s">
        <v>530</v>
      </c>
      <c r="J67" s="6" t="s">
        <v>105</v>
      </c>
      <c r="K67" s="24" t="s">
        <v>544</v>
      </c>
      <c r="L67" s="6" t="str">
        <f t="shared" ref="L67:L120" si="1">CONCATENATE("insert into CHB_DATACHECK_RULE_INV values ('",A67,"','",B67,"','",C67,"','",J67,"','",E67,"','",F67,"','",G67,"','",H67,"','",I67,"','",K67,"');")</f>
        <v>insert into CHB_DATACHECK_RULE_INV values ('884807E5-DF88-D920-E150-007F010877FD','FinPlanProfitAsset002','isNotEmpty','bussRepOutInvestAgrInfo.repTrustInvestAttribute','','','N','委外投资属性要素不可为空','D','com.joyintech.tams.invest.common.ChbBaseCheckLib');</v>
      </c>
    </row>
    <row r="68" spans="1:12" x14ac:dyDescent="0.15">
      <c r="A68" s="3" t="s">
        <v>368</v>
      </c>
      <c r="B68" s="3" t="s">
        <v>483</v>
      </c>
      <c r="C68" s="3" t="s">
        <v>14</v>
      </c>
      <c r="D68" s="3" t="s">
        <v>161</v>
      </c>
      <c r="E68" s="3"/>
      <c r="F68" s="3" t="s">
        <v>542</v>
      </c>
      <c r="G68" s="3" t="s">
        <v>17</v>
      </c>
      <c r="H68" s="3" t="s">
        <v>165</v>
      </c>
      <c r="I68" s="3" t="s">
        <v>533</v>
      </c>
      <c r="J68" s="6" t="s">
        <v>105</v>
      </c>
      <c r="K68" s="24" t="s">
        <v>544</v>
      </c>
      <c r="L68" s="6" t="str">
        <f t="shared" si="1"/>
        <v>insert into CHB_DATACHECK_RULE_INV values ('884807E5-DF88-D920-E150-107F010877FD','FinPlanProfitAsset002','inDatadict','bussRepOutInvestAgrInfo.repTrustInvestAttribute','','CHB_OUTSOURCE_INVEST_PROPERTY','Y','委外投资属性不在值域范围内','D','com.joyintech.tams.invest.common.ChbBaseCheckLib');</v>
      </c>
    </row>
    <row r="69" spans="1:12" x14ac:dyDescent="0.15">
      <c r="A69" s="3" t="s">
        <v>369</v>
      </c>
      <c r="B69" s="3" t="s">
        <v>483</v>
      </c>
      <c r="C69" s="3" t="s">
        <v>14</v>
      </c>
      <c r="D69" s="3" t="s">
        <v>161</v>
      </c>
      <c r="E69" s="3"/>
      <c r="F69" s="3" t="s">
        <v>164</v>
      </c>
      <c r="G69" s="3" t="s">
        <v>17</v>
      </c>
      <c r="H69" s="3" t="s">
        <v>166</v>
      </c>
      <c r="I69" s="3" t="s">
        <v>533</v>
      </c>
      <c r="J69" s="6" t="s">
        <v>70</v>
      </c>
      <c r="K69" s="24" t="s">
        <v>544</v>
      </c>
      <c r="L69" s="6" t="str">
        <f t="shared" si="1"/>
        <v>insert into CHB_DATACHECK_RULE_INV values ('884807E5-DF88-D920-E150-207F010877FD','FinPlanProfitAsset002','inDatadict','bussRepAssetMngProdInfo.repPlanProp','','SVR_PRO_PROPERTY','Y','资管计划属性不在值域范围内','D','com.joyintech.tams.invest.common.ChbBaseCheckLib');</v>
      </c>
    </row>
    <row r="70" spans="1:12" x14ac:dyDescent="0.15">
      <c r="A70" s="3" t="s">
        <v>370</v>
      </c>
      <c r="B70" s="3" t="s">
        <v>483</v>
      </c>
      <c r="C70" s="3" t="s">
        <v>12</v>
      </c>
      <c r="D70" s="3" t="s">
        <v>135</v>
      </c>
      <c r="E70" s="3"/>
      <c r="F70" s="3"/>
      <c r="G70" s="3" t="s">
        <v>15</v>
      </c>
      <c r="H70" s="3" t="s">
        <v>136</v>
      </c>
      <c r="I70" s="3" t="s">
        <v>533</v>
      </c>
      <c r="J70" s="6" t="s">
        <v>106</v>
      </c>
      <c r="K70" s="24" t="s">
        <v>544</v>
      </c>
      <c r="L70" s="6" t="str">
        <f t="shared" si="1"/>
        <v>insert into CHB_DATACHECK_RULE_INV values ('443E4A59-6810-5A9E-E150-007F01006A36','FinPlanProfitAsset002','isNotEmpty','bussRepOutInvestAgrInfo.repContainExpectedYield','','','N','是否有预期收益率不可为空','D','com.joyintech.tams.invest.common.ChbBaseCheckLib');</v>
      </c>
    </row>
    <row r="71" spans="1:12" x14ac:dyDescent="0.15">
      <c r="A71" s="3" t="s">
        <v>371</v>
      </c>
      <c r="B71" s="3" t="s">
        <v>483</v>
      </c>
      <c r="C71" s="3" t="s">
        <v>12</v>
      </c>
      <c r="D71" s="3" t="s">
        <v>135</v>
      </c>
      <c r="E71" s="3"/>
      <c r="F71" s="3"/>
      <c r="G71" s="3" t="s">
        <v>15</v>
      </c>
      <c r="H71" s="3" t="s">
        <v>136</v>
      </c>
      <c r="I71" s="3" t="s">
        <v>533</v>
      </c>
      <c r="J71" s="6" t="s">
        <v>71</v>
      </c>
      <c r="K71" s="24" t="s">
        <v>544</v>
      </c>
      <c r="L71" s="6" t="str">
        <f t="shared" si="1"/>
        <v>insert into CHB_DATACHECK_RULE_INV values ('884807E5-DF89-D920-E150-007F010077FD','FinPlanProfitAsset002','isNotEmpty','bussRepAssetMngProdInfo.repYieldFlag','','','N','是否有预期收益率不可为空','D','com.joyintech.tams.invest.common.ChbBaseCheckLib');</v>
      </c>
    </row>
    <row r="72" spans="1:12" x14ac:dyDescent="0.15">
      <c r="A72" s="3" t="s">
        <v>372</v>
      </c>
      <c r="B72" s="3" t="s">
        <v>483</v>
      </c>
      <c r="C72" s="3" t="s">
        <v>290</v>
      </c>
      <c r="D72" s="3" t="s">
        <v>135</v>
      </c>
      <c r="E72" s="3" t="s">
        <v>9</v>
      </c>
      <c r="F72" s="3" t="s">
        <v>288</v>
      </c>
      <c r="G72" s="3" t="s">
        <v>17</v>
      </c>
      <c r="H72" s="3" t="s">
        <v>167</v>
      </c>
      <c r="I72" s="3" t="s">
        <v>533</v>
      </c>
      <c r="J72" s="6" t="s">
        <v>529</v>
      </c>
      <c r="K72" s="24" t="s">
        <v>544</v>
      </c>
      <c r="L72" s="6" t="str">
        <f t="shared" si="1"/>
        <v>insert into CHB_DATACHECK_RULE_INV values ('884807E5-DF89-D920-E150-107F010077FD','FinPlanProfitAsset002','inArray','bussRepOutInvestAgrInfo.repContainExpectedYield','==','N,01','Y','是否有预期收益率不在值域范围内','D','com.joyintech.tams.invest.common.ChbBaseCheckLib');</v>
      </c>
    </row>
    <row r="73" spans="1:12" x14ac:dyDescent="0.15">
      <c r="A73" s="3" t="s">
        <v>373</v>
      </c>
      <c r="B73" s="3" t="s">
        <v>483</v>
      </c>
      <c r="C73" s="3" t="s">
        <v>290</v>
      </c>
      <c r="D73" s="3" t="s">
        <v>135</v>
      </c>
      <c r="E73" s="3" t="s">
        <v>9</v>
      </c>
      <c r="F73" s="3" t="s">
        <v>288</v>
      </c>
      <c r="G73" s="3" t="s">
        <v>17</v>
      </c>
      <c r="H73" s="3" t="s">
        <v>167</v>
      </c>
      <c r="I73" s="3" t="s">
        <v>533</v>
      </c>
      <c r="J73" s="6" t="s">
        <v>71</v>
      </c>
      <c r="K73" s="24" t="s">
        <v>544</v>
      </c>
      <c r="L73" s="6" t="str">
        <f t="shared" si="1"/>
        <v>insert into CHB_DATACHECK_RULE_INV values ('884807E5-DF89-D920-E150-207F010077FD','FinPlanProfitAsset002','inArray','bussRepAssetMngProdInfo.repYieldFlag','==','N,01','Y','是否有预期收益率不在值域范围内','D','com.joyintech.tams.invest.common.ChbBaseCheckLib');</v>
      </c>
    </row>
    <row r="74" spans="1:12" x14ac:dyDescent="0.15">
      <c r="A74" s="14" t="s">
        <v>374</v>
      </c>
      <c r="B74" s="3" t="s">
        <v>483</v>
      </c>
      <c r="C74" s="14" t="s">
        <v>12</v>
      </c>
      <c r="D74" s="14" t="s">
        <v>6</v>
      </c>
      <c r="E74" s="14"/>
      <c r="F74" s="14" t="s">
        <v>16</v>
      </c>
      <c r="G74" s="14" t="s">
        <v>15</v>
      </c>
      <c r="H74" s="14" t="s">
        <v>19</v>
      </c>
      <c r="I74" s="14" t="s">
        <v>534</v>
      </c>
      <c r="J74" s="15" t="s">
        <v>87</v>
      </c>
      <c r="K74" s="24" t="s">
        <v>544</v>
      </c>
      <c r="L74" s="6" t="str">
        <f t="shared" si="1"/>
        <v>insert into CHB_DATACHECK_RULE_INV values ('884807E5-DF9D-D920-E150-007F010077FD','FinPlanProfitAsset002','isNotEmpty','bussRepAssetMngProdInfo.repRemark','','0','N','备注要素不可为空','E','com.joyintech.tams.invest.common.ChbBaseCheckLib');</v>
      </c>
    </row>
    <row r="75" spans="1:12" s="16" customFormat="1" x14ac:dyDescent="0.15">
      <c r="A75" s="14" t="s">
        <v>489</v>
      </c>
      <c r="B75" s="14" t="s">
        <v>483</v>
      </c>
      <c r="C75" s="14" t="s">
        <v>12</v>
      </c>
      <c r="D75" s="14" t="s">
        <v>6</v>
      </c>
      <c r="E75" s="14"/>
      <c r="F75" s="14"/>
      <c r="G75" s="14" t="s">
        <v>15</v>
      </c>
      <c r="H75" s="14" t="s">
        <v>195</v>
      </c>
      <c r="I75" s="14" t="s">
        <v>10</v>
      </c>
      <c r="J75" s="15" t="s">
        <v>87</v>
      </c>
      <c r="K75" s="24" t="s">
        <v>544</v>
      </c>
      <c r="L75" s="6" t="str">
        <f t="shared" si="1"/>
        <v>insert into CHB_DATACHECK_RULE_INV values ('884807E5-DF9E-D920-E150-007F010077FD','FinPlanProfitAsset002','isNotEmpty','bussRepAssetMngProdInfo.repRemark','','','N','管理费率计算公式需要在备注中说明。','E','com.joyintech.tams.invest.common.ChbBaseCheckLib');</v>
      </c>
    </row>
    <row r="76" spans="1:12" s="16" customFormat="1" x14ac:dyDescent="0.15">
      <c r="A76" s="14" t="s">
        <v>490</v>
      </c>
      <c r="B76" s="14" t="s">
        <v>483</v>
      </c>
      <c r="C76" s="14" t="s">
        <v>12</v>
      </c>
      <c r="D76" s="14" t="s">
        <v>6</v>
      </c>
      <c r="E76" s="14"/>
      <c r="F76" s="14"/>
      <c r="G76" s="14" t="s">
        <v>15</v>
      </c>
      <c r="H76" s="14" t="s">
        <v>196</v>
      </c>
      <c r="I76" s="14" t="s">
        <v>10</v>
      </c>
      <c r="J76" s="15" t="s">
        <v>87</v>
      </c>
      <c r="K76" s="24" t="s">
        <v>544</v>
      </c>
      <c r="L76" s="6" t="str">
        <f t="shared" si="1"/>
        <v>insert into CHB_DATACHECK_RULE_INV values ('884807E5-DF9F-D920-E150-007F010077FD','FinPlanProfitAsset002','isNotEmpty','bussRepAssetMngProdInfo.repRemark','','','N','托管费率计算公式需要在备注中说明。','E','com.joyintech.tams.invest.common.ChbBaseCheckLib');</v>
      </c>
    </row>
    <row r="77" spans="1:12" s="16" customFormat="1" x14ac:dyDescent="0.15">
      <c r="A77" s="14" t="s">
        <v>491</v>
      </c>
      <c r="B77" s="14" t="s">
        <v>483</v>
      </c>
      <c r="C77" s="14" t="s">
        <v>12</v>
      </c>
      <c r="D77" s="14" t="s">
        <v>6</v>
      </c>
      <c r="E77" s="14"/>
      <c r="F77" s="14"/>
      <c r="G77" s="14" t="s">
        <v>15</v>
      </c>
      <c r="H77" s="14" t="s">
        <v>197</v>
      </c>
      <c r="I77" s="14" t="s">
        <v>10</v>
      </c>
      <c r="J77" s="15" t="s">
        <v>87</v>
      </c>
      <c r="K77" s="24" t="s">
        <v>544</v>
      </c>
      <c r="L77" s="6" t="str">
        <f t="shared" si="1"/>
        <v>insert into CHB_DATACHECK_RULE_INV values ('884807E5-DFA0-D920-E150-007F010077FD','FinPlanProfitAsset002','isNotEmpty','bussRepAssetMngProdInfo.repRemark','','','N','交易相关合计费率计算公式需要在备注中说明','E','com.joyintech.tams.invest.common.ChbBaseCheckLib');</v>
      </c>
    </row>
    <row r="78" spans="1:12" s="16" customFormat="1" x14ac:dyDescent="0.15">
      <c r="A78" s="14" t="s">
        <v>492</v>
      </c>
      <c r="B78" s="14" t="s">
        <v>483</v>
      </c>
      <c r="C78" s="14" t="s">
        <v>12</v>
      </c>
      <c r="D78" s="14" t="s">
        <v>6</v>
      </c>
      <c r="E78" s="14"/>
      <c r="F78" s="14"/>
      <c r="G78" s="14" t="s">
        <v>15</v>
      </c>
      <c r="H78" s="14" t="s">
        <v>198</v>
      </c>
      <c r="I78" s="14" t="s">
        <v>10</v>
      </c>
      <c r="J78" s="15" t="s">
        <v>87</v>
      </c>
      <c r="K78" s="24" t="s">
        <v>544</v>
      </c>
      <c r="L78" s="6" t="str">
        <f t="shared" si="1"/>
        <v>insert into CHB_DATACHECK_RULE_INV values ('884807E5-DFA1-D920-E150-007F010077FD','FinPlanProfitAsset002','isNotEmpty','bussRepAssetMngProdInfo.repRemark','','','N','中介服务机构合计费率计算公式需要在备注中说明。','E','com.joyintech.tams.invest.common.ChbBaseCheckLib');</v>
      </c>
    </row>
    <row r="79" spans="1:12" s="16" customFormat="1" x14ac:dyDescent="0.15">
      <c r="A79" s="14" t="s">
        <v>493</v>
      </c>
      <c r="B79" s="14" t="s">
        <v>483</v>
      </c>
      <c r="C79" s="14" t="s">
        <v>12</v>
      </c>
      <c r="D79" s="14" t="s">
        <v>6</v>
      </c>
      <c r="E79" s="14"/>
      <c r="F79" s="14"/>
      <c r="G79" s="14" t="s">
        <v>15</v>
      </c>
      <c r="H79" s="14" t="s">
        <v>199</v>
      </c>
      <c r="I79" s="14" t="s">
        <v>10</v>
      </c>
      <c r="J79" s="15" t="s">
        <v>87</v>
      </c>
      <c r="K79" s="24" t="s">
        <v>544</v>
      </c>
      <c r="L79" s="6" t="str">
        <f t="shared" si="1"/>
        <v>insert into CHB_DATACHECK_RULE_INV values ('884807E5-DFA2-D920-E150-007F010077FD','FinPlanProfitAsset002','isNotEmpty','bussRepAssetMngProdInfo.repRemark','','','N','其他合计费率计算公式需要在备注中说明。','E','com.joyintech.tams.invest.common.ChbBaseCheckLib');</v>
      </c>
    </row>
    <row r="80" spans="1:12" s="16" customFormat="1" x14ac:dyDescent="0.15">
      <c r="A80" s="14" t="s">
        <v>380</v>
      </c>
      <c r="B80" s="14" t="s">
        <v>483</v>
      </c>
      <c r="C80" s="14" t="s">
        <v>12</v>
      </c>
      <c r="D80" s="14" t="s">
        <v>6</v>
      </c>
      <c r="E80" s="14"/>
      <c r="F80" s="14"/>
      <c r="G80" s="14" t="s">
        <v>15</v>
      </c>
      <c r="H80" s="14" t="s">
        <v>195</v>
      </c>
      <c r="I80" s="14" t="s">
        <v>10</v>
      </c>
      <c r="J80" s="15" t="s">
        <v>116</v>
      </c>
      <c r="K80" s="24" t="s">
        <v>544</v>
      </c>
      <c r="L80" s="6" t="str">
        <f t="shared" si="1"/>
        <v>insert into CHB_DATACHECK_RULE_INV values ('884807E5-DF35-D981-E151-117F01007914','FinPlanProfitAsset002','isNotEmpty','bussRepOutInvestAgrInfo.repRemark','','','N','管理费率计算公式需要在备注中说明。','E','com.joyintech.tams.invest.common.ChbBaseCheckLib');</v>
      </c>
    </row>
    <row r="81" spans="1:12" s="16" customFormat="1" x14ac:dyDescent="0.15">
      <c r="A81" s="17" t="s">
        <v>381</v>
      </c>
      <c r="B81" s="14" t="s">
        <v>483</v>
      </c>
      <c r="C81" s="14" t="s">
        <v>12</v>
      </c>
      <c r="D81" s="14" t="s">
        <v>6</v>
      </c>
      <c r="E81" s="14"/>
      <c r="F81" s="14"/>
      <c r="G81" s="14" t="s">
        <v>15</v>
      </c>
      <c r="H81" s="14" t="s">
        <v>196</v>
      </c>
      <c r="I81" s="14" t="s">
        <v>10</v>
      </c>
      <c r="J81" s="15" t="s">
        <v>116</v>
      </c>
      <c r="K81" s="24" t="s">
        <v>544</v>
      </c>
      <c r="L81" s="6" t="str">
        <f t="shared" si="1"/>
        <v>insert into CHB_DATACHECK_RULE_INV values ('884807E5-DF1E-D920-E150-117F010077FD','FinPlanProfitAsset002','isNotEmpty','bussRepOutInvestAgrInfo.repRemark','','','N','托管费率计算公式需要在备注中说明。','E','com.joyintech.tams.invest.common.ChbBaseCheckLib');</v>
      </c>
    </row>
    <row r="82" spans="1:12" s="16" customFormat="1" x14ac:dyDescent="0.15">
      <c r="A82" s="14" t="s">
        <v>382</v>
      </c>
      <c r="B82" s="14" t="s">
        <v>483</v>
      </c>
      <c r="C82" s="14" t="s">
        <v>12</v>
      </c>
      <c r="D82" s="14" t="s">
        <v>6</v>
      </c>
      <c r="E82" s="14"/>
      <c r="F82" s="14"/>
      <c r="G82" s="14" t="s">
        <v>15</v>
      </c>
      <c r="H82" s="14" t="s">
        <v>197</v>
      </c>
      <c r="I82" s="14" t="s">
        <v>10</v>
      </c>
      <c r="J82" s="15" t="s">
        <v>116</v>
      </c>
      <c r="K82" s="24" t="s">
        <v>544</v>
      </c>
      <c r="L82" s="6" t="str">
        <f t="shared" si="1"/>
        <v>insert into CHB_DATACHECK_RULE_INV values ('443E4A49-6810-5A9E-E150-117F01006A13','FinPlanProfitAsset002','isNotEmpty','bussRepOutInvestAgrInfo.repRemark','','','N','交易相关合计费率计算公式需要在备注中说明','E','com.joyintech.tams.invest.common.ChbBaseCheckLib');</v>
      </c>
    </row>
    <row r="83" spans="1:12" s="16" customFormat="1" x14ac:dyDescent="0.15">
      <c r="A83" s="14" t="s">
        <v>383</v>
      </c>
      <c r="B83" s="14" t="s">
        <v>483</v>
      </c>
      <c r="C83" s="14" t="s">
        <v>12</v>
      </c>
      <c r="D83" s="14" t="s">
        <v>6</v>
      </c>
      <c r="E83" s="14"/>
      <c r="F83" s="14"/>
      <c r="G83" s="14" t="s">
        <v>15</v>
      </c>
      <c r="H83" s="14" t="s">
        <v>198</v>
      </c>
      <c r="I83" s="14" t="s">
        <v>10</v>
      </c>
      <c r="J83" s="15" t="s">
        <v>116</v>
      </c>
      <c r="K83" s="24" t="s">
        <v>544</v>
      </c>
      <c r="L83" s="6" t="str">
        <f t="shared" si="1"/>
        <v>insert into CHB_DATACHECK_RULE_INV values ('884807E5-DF79-D920-E150-117F010077FD','FinPlanProfitAsset002','isNotEmpty','bussRepOutInvestAgrInfo.repRemark','','','N','中介服务机构合计费率计算公式需要在备注中说明。','E','com.joyintech.tams.invest.common.ChbBaseCheckLib');</v>
      </c>
    </row>
    <row r="84" spans="1:12" s="16" customFormat="1" x14ac:dyDescent="0.15">
      <c r="A84" s="14" t="s">
        <v>384</v>
      </c>
      <c r="B84" s="14" t="s">
        <v>483</v>
      </c>
      <c r="C84" s="14" t="s">
        <v>12</v>
      </c>
      <c r="D84" s="14" t="s">
        <v>6</v>
      </c>
      <c r="E84" s="14"/>
      <c r="F84" s="14"/>
      <c r="G84" s="14" t="s">
        <v>15</v>
      </c>
      <c r="H84" s="14" t="s">
        <v>199</v>
      </c>
      <c r="I84" s="14" t="s">
        <v>10</v>
      </c>
      <c r="J84" s="15" t="s">
        <v>116</v>
      </c>
      <c r="K84" s="24" t="s">
        <v>544</v>
      </c>
      <c r="L84" s="6" t="str">
        <f t="shared" si="1"/>
        <v>insert into CHB_DATACHECK_RULE_INV values ('884807E5-DF7A-D920-E150-117F010077FD','FinPlanProfitAsset002','isNotEmpty','bussRepOutInvestAgrInfo.repRemark','','','N','其他合计费率计算公式需要在备注中说明。','E','com.joyintech.tams.invest.common.ChbBaseCheckLib');</v>
      </c>
    </row>
    <row r="85" spans="1:12" s="16" customFormat="1" x14ac:dyDescent="0.15">
      <c r="A85" s="14" t="s">
        <v>385</v>
      </c>
      <c r="B85" s="3" t="s">
        <v>483</v>
      </c>
      <c r="C85" s="14" t="s">
        <v>13</v>
      </c>
      <c r="D85" s="14" t="s">
        <v>6</v>
      </c>
      <c r="E85" s="14"/>
      <c r="F85" s="14" t="s">
        <v>20</v>
      </c>
      <c r="G85" s="14" t="s">
        <v>17</v>
      </c>
      <c r="H85" s="14" t="s">
        <v>21</v>
      </c>
      <c r="I85" s="14" t="s">
        <v>10</v>
      </c>
      <c r="J85" s="15" t="s">
        <v>87</v>
      </c>
      <c r="K85" s="24" t="s">
        <v>544</v>
      </c>
      <c r="L85" s="6" t="str">
        <f t="shared" si="1"/>
        <v>insert into CHB_DATACHECK_RULE_INV values ('003E4A49-6810-5A9E-E147-007F01006A85','FinPlanProfitAsset002','lessThanCharLength','bussRepAssetMngProdInfo.repRemark','','257','Y','备注不能超过256字符','E','com.joyintech.tams.invest.common.ChbBaseCheckLib');</v>
      </c>
    </row>
    <row r="86" spans="1:12" s="16" customFormat="1" x14ac:dyDescent="0.15">
      <c r="A86" s="14" t="s">
        <v>386</v>
      </c>
      <c r="B86" s="3" t="s">
        <v>483</v>
      </c>
      <c r="C86" s="14" t="s">
        <v>11</v>
      </c>
      <c r="D86" s="14" t="s">
        <v>6</v>
      </c>
      <c r="E86" s="14"/>
      <c r="F86" s="14" t="s">
        <v>18</v>
      </c>
      <c r="G86" s="14" t="s">
        <v>17</v>
      </c>
      <c r="H86" s="14" t="s">
        <v>22</v>
      </c>
      <c r="I86" s="14" t="s">
        <v>10</v>
      </c>
      <c r="J86" s="15" t="s">
        <v>87</v>
      </c>
      <c r="K86" s="24" t="s">
        <v>544</v>
      </c>
      <c r="L86" s="6" t="str">
        <f t="shared" si="1"/>
        <v>insert into CHB_DATACHECK_RULE_INV values ('123E4A49-6810-5A9E-E149-007F01006A15','FinPlanProfitAsset002','isCustomizedString','bussRepAssetMngProdInfo.repRemark','','^[\u4e00-\u9fa5\ue815-\ue864\uff01-\uff5e\uffe0-\uffe5\u3000-\u3003\u3005-\u3017\u301d-\u301e\u2010\u2013-\u2016\u2018-\u2019\u201c-\u201d\u2025-\u2026\u2030\u2032-\u2033\u2035\u203b\u00b7\u0030-\u0039\u0041-\u005a\u0061-\u007a\u2160-\u216b\u0020-\u0026\u0028-\u007B\u007D\u007E]{0,}$','Y','备注必须填写白名单中的文字。','E','com.joyintech.tams.invest.common.ChbBaseCheckLib');</v>
      </c>
    </row>
    <row r="87" spans="1:12" s="16" customFormat="1" x14ac:dyDescent="0.15">
      <c r="A87" s="14" t="s">
        <v>387</v>
      </c>
      <c r="B87" s="3" t="s">
        <v>483</v>
      </c>
      <c r="C87" s="14" t="s">
        <v>13</v>
      </c>
      <c r="D87" s="14" t="s">
        <v>6</v>
      </c>
      <c r="E87" s="14"/>
      <c r="F87" s="14" t="s">
        <v>20</v>
      </c>
      <c r="G87" s="14" t="s">
        <v>17</v>
      </c>
      <c r="H87" s="14" t="s">
        <v>21</v>
      </c>
      <c r="I87" s="14" t="s">
        <v>10</v>
      </c>
      <c r="J87" s="15" t="s">
        <v>116</v>
      </c>
      <c r="K87" s="24" t="s">
        <v>544</v>
      </c>
      <c r="L87" s="6" t="str">
        <f t="shared" si="1"/>
        <v>insert into CHB_DATACHECK_RULE_INV values ('003E4A49-6810-5A9E-E166-007F01006A85','FinPlanProfitAsset002','lessThanCharLength','bussRepOutInvestAgrInfo.repRemark','','257','Y','备注不能超过256字符','E','com.joyintech.tams.invest.common.ChbBaseCheckLib');</v>
      </c>
    </row>
    <row r="88" spans="1:12" s="16" customFormat="1" x14ac:dyDescent="0.15">
      <c r="A88" s="14" t="s">
        <v>388</v>
      </c>
      <c r="B88" s="3" t="s">
        <v>483</v>
      </c>
      <c r="C88" s="14" t="s">
        <v>11</v>
      </c>
      <c r="D88" s="14" t="s">
        <v>6</v>
      </c>
      <c r="E88" s="14"/>
      <c r="F88" s="14" t="s">
        <v>18</v>
      </c>
      <c r="G88" s="14" t="s">
        <v>17</v>
      </c>
      <c r="H88" s="14" t="s">
        <v>22</v>
      </c>
      <c r="I88" s="14" t="s">
        <v>10</v>
      </c>
      <c r="J88" s="15" t="s">
        <v>116</v>
      </c>
      <c r="K88" s="24" t="s">
        <v>544</v>
      </c>
      <c r="L88" s="6" t="str">
        <f t="shared" si="1"/>
        <v>insert into CHB_DATACHECK_RULE_INV values ('123E4A49-6810-5A9E-E166-007F01006A15','FinPlanProfitAsset002','isCustomizedString','bussRepOutInvestAgrInfo.repRemark','','^[\u4e00-\u9fa5\ue815-\ue864\uff01-\uff5e\uffe0-\uffe5\u3000-\u3003\u3005-\u3017\u301d-\u301e\u2010\u2013-\u2016\u2018-\u2019\u201c-\u201d\u2025-\u2026\u2030\u2032-\u2033\u2035\u203b\u00b7\u0030-\u0039\u0041-\u005a\u0061-\u007a\u2160-\u216b\u0020-\u0026\u0028-\u007B\u007D\u007E]{0,}$','Y','备注必须填写白名单中的文字。','E','com.joyintech.tams.invest.common.ChbBaseCheckLib');</v>
      </c>
    </row>
    <row r="89" spans="1:12" s="16" customFormat="1" x14ac:dyDescent="0.15">
      <c r="A89" s="14" t="s">
        <v>389</v>
      </c>
      <c r="B89" s="3" t="s">
        <v>483</v>
      </c>
      <c r="C89" s="14" t="s">
        <v>137</v>
      </c>
      <c r="D89" s="14" t="s">
        <v>186</v>
      </c>
      <c r="E89" s="14"/>
      <c r="F89" s="14" t="s">
        <v>180</v>
      </c>
      <c r="G89" s="14" t="s">
        <v>17</v>
      </c>
      <c r="H89" s="14" t="s">
        <v>187</v>
      </c>
      <c r="I89" s="14" t="s">
        <v>535</v>
      </c>
      <c r="J89" s="15" t="s">
        <v>79</v>
      </c>
      <c r="K89" s="24" t="s">
        <v>544</v>
      </c>
      <c r="L89" s="6" t="str">
        <f t="shared" si="1"/>
        <v>insert into CHB_DATACHECK_RULE_INV values ('884807E5-DF97-D920-E150-007F010077FD','FinPlanProfitAsset002','isNumber2','bussRepAssetMngProdInfo.repTradeFeeRate','','8,5','Y','交易相关合计费率%以百分数形式表示时必须为n（8,5）格式','D','com.joyintech.tams.invest.common.ChbBaseCheckLib');</v>
      </c>
    </row>
    <row r="90" spans="1:12" s="16" customFormat="1" x14ac:dyDescent="0.15">
      <c r="A90" s="14" t="s">
        <v>390</v>
      </c>
      <c r="B90" s="3" t="s">
        <v>483</v>
      </c>
      <c r="C90" s="14" t="s">
        <v>137</v>
      </c>
      <c r="D90" s="14" t="s">
        <v>186</v>
      </c>
      <c r="E90" s="14"/>
      <c r="F90" s="14" t="s">
        <v>180</v>
      </c>
      <c r="G90" s="14" t="s">
        <v>17</v>
      </c>
      <c r="H90" s="14" t="s">
        <v>187</v>
      </c>
      <c r="I90" s="14" t="s">
        <v>535</v>
      </c>
      <c r="J90" s="15" t="s">
        <v>111</v>
      </c>
      <c r="K90" s="24" t="s">
        <v>544</v>
      </c>
      <c r="L90" s="6" t="str">
        <f t="shared" si="1"/>
        <v>insert into CHB_DATACHECK_RULE_INV values ('884807E5-DF97-D920-E150-007F910077FD','FinPlanProfitAsset002','isNumber2','bussRepOutInvestAgrInfo.repTradeSumRate','','8,5','Y','交易相关合计费率%以百分数形式表示时必须为n（8,5）格式','D','com.joyintech.tams.invest.common.ChbBaseCheckLib');</v>
      </c>
    </row>
    <row r="91" spans="1:12" s="16" customFormat="1" x14ac:dyDescent="0.15">
      <c r="A91" s="14" t="s">
        <v>391</v>
      </c>
      <c r="B91" s="3" t="s">
        <v>483</v>
      </c>
      <c r="C91" s="14" t="s">
        <v>12</v>
      </c>
      <c r="D91" s="14" t="s">
        <v>186</v>
      </c>
      <c r="E91" s="14"/>
      <c r="F91" s="14"/>
      <c r="G91" s="14" t="s">
        <v>15</v>
      </c>
      <c r="H91" s="14" t="s">
        <v>188</v>
      </c>
      <c r="I91" s="14" t="s">
        <v>535</v>
      </c>
      <c r="J91" s="15" t="s">
        <v>79</v>
      </c>
      <c r="K91" s="24" t="s">
        <v>544</v>
      </c>
      <c r="L91" s="6" t="str">
        <f t="shared" si="1"/>
        <v>insert into CHB_DATACHECK_RULE_INV values ('884807E5-DF97-D920-E150-107F010077FD','FinPlanProfitAsset002','isNotEmpty','bussRepAssetMngProdInfo.repTradeFeeRate','','','N','交易相关合计费率%要素不可为空','D','com.joyintech.tams.invest.common.ChbBaseCheckLib');</v>
      </c>
    </row>
    <row r="92" spans="1:12" s="16" customFormat="1" x14ac:dyDescent="0.15">
      <c r="A92" s="14" t="s">
        <v>392</v>
      </c>
      <c r="B92" s="3" t="s">
        <v>483</v>
      </c>
      <c r="C92" s="14" t="s">
        <v>12</v>
      </c>
      <c r="D92" s="14" t="s">
        <v>186</v>
      </c>
      <c r="E92" s="14"/>
      <c r="F92" s="14"/>
      <c r="G92" s="14" t="s">
        <v>15</v>
      </c>
      <c r="H92" s="14" t="s">
        <v>188</v>
      </c>
      <c r="I92" s="14" t="s">
        <v>535</v>
      </c>
      <c r="J92" s="15" t="s">
        <v>111</v>
      </c>
      <c r="K92" s="24" t="s">
        <v>544</v>
      </c>
      <c r="L92" s="6" t="str">
        <f t="shared" si="1"/>
        <v>insert into CHB_DATACHECK_RULE_INV values ('884807E5-DF97-D920-E150-107F910077FD','FinPlanProfitAsset002','isNotEmpty','bussRepOutInvestAgrInfo.repTradeSumRate','','','N','交易相关合计费率%要素不可为空','D','com.joyintech.tams.invest.common.ChbBaseCheckLib');</v>
      </c>
    </row>
    <row r="93" spans="1:12" s="16" customFormat="1" x14ac:dyDescent="0.15">
      <c r="A93" s="14" t="s">
        <v>393</v>
      </c>
      <c r="B93" s="3" t="s">
        <v>483</v>
      </c>
      <c r="C93" s="14" t="s">
        <v>147</v>
      </c>
      <c r="D93" s="14" t="s">
        <v>186</v>
      </c>
      <c r="E93" s="14" t="s">
        <v>148</v>
      </c>
      <c r="F93" s="14" t="s">
        <v>16</v>
      </c>
      <c r="G93" s="14" t="s">
        <v>17</v>
      </c>
      <c r="H93" s="14" t="s">
        <v>226</v>
      </c>
      <c r="I93" s="14" t="s">
        <v>535</v>
      </c>
      <c r="J93" s="15" t="s">
        <v>79</v>
      </c>
      <c r="K93" s="24" t="s">
        <v>544</v>
      </c>
      <c r="L93" s="6" t="str">
        <f t="shared" si="1"/>
        <v>insert into CHB_DATACHECK_RULE_INV values ('884807E5-DF98-D924-E143-007F010077FD','FinPlanProfitAsset002','compareValueAsNumber','bussRepAssetMngProdInfo.repTradeFeeRate','&gt;=','0','Y','交易相关合计费率%必须大于等于0','D','com.joyintech.tams.invest.common.ChbBaseCheckLib');</v>
      </c>
    </row>
    <row r="94" spans="1:12" s="16" customFormat="1" x14ac:dyDescent="0.15">
      <c r="A94" s="14" t="s">
        <v>394</v>
      </c>
      <c r="B94" s="3" t="s">
        <v>483</v>
      </c>
      <c r="C94" s="14" t="s">
        <v>147</v>
      </c>
      <c r="D94" s="14" t="s">
        <v>186</v>
      </c>
      <c r="E94" s="14" t="s">
        <v>148</v>
      </c>
      <c r="F94" s="14" t="s">
        <v>16</v>
      </c>
      <c r="G94" s="14" t="s">
        <v>17</v>
      </c>
      <c r="H94" s="14" t="s">
        <v>226</v>
      </c>
      <c r="I94" s="14" t="s">
        <v>535</v>
      </c>
      <c r="J94" s="15" t="s">
        <v>111</v>
      </c>
      <c r="K94" s="24" t="s">
        <v>544</v>
      </c>
      <c r="L94" s="6" t="str">
        <f t="shared" si="1"/>
        <v>insert into CHB_DATACHECK_RULE_INV values ('884807E5-DF98-D924-E144-007F010077FD','FinPlanProfitAsset002','compareValueAsNumber','bussRepOutInvestAgrInfo.repTradeSumRate','&gt;=','0','Y','交易相关合计费率%必须大于等于0','D','com.joyintech.tams.invest.common.ChbBaseCheckLib');</v>
      </c>
    </row>
    <row r="95" spans="1:12" s="16" customFormat="1" x14ac:dyDescent="0.15">
      <c r="A95" s="14" t="s">
        <v>395</v>
      </c>
      <c r="B95" s="3" t="s">
        <v>483</v>
      </c>
      <c r="C95" s="14" t="s">
        <v>14</v>
      </c>
      <c r="D95" s="14" t="s">
        <v>150</v>
      </c>
      <c r="E95" s="14" t="s">
        <v>148</v>
      </c>
      <c r="F95" s="14" t="s">
        <v>151</v>
      </c>
      <c r="G95" s="14" t="s">
        <v>17</v>
      </c>
      <c r="H95" s="14" t="s">
        <v>152</v>
      </c>
      <c r="I95" s="14" t="s">
        <v>535</v>
      </c>
      <c r="J95" s="15" t="s">
        <v>66</v>
      </c>
      <c r="K95" s="24" t="s">
        <v>544</v>
      </c>
      <c r="L95" s="6" t="str">
        <f t="shared" si="1"/>
        <v>insert into CHB_DATACHECK_RULE_INV values ('884807E5-DF82-D920-E150-007F010077FD','FinPlanProfitAsset002','inDatadict','bussRepAssetMngProdInfo.repCapiInvest','&gt;=','SVR_TRU_ACT_TYPE','Y','资金实际投向不在值域范围内','D','com.joyintech.tams.invest.common.ChbBaseCheckLib');</v>
      </c>
    </row>
    <row r="96" spans="1:12" s="16" customFormat="1" x14ac:dyDescent="0.15">
      <c r="A96" s="14" t="s">
        <v>396</v>
      </c>
      <c r="B96" s="3" t="s">
        <v>483</v>
      </c>
      <c r="C96" s="14" t="s">
        <v>14</v>
      </c>
      <c r="D96" s="14" t="s">
        <v>150</v>
      </c>
      <c r="E96" s="14" t="s">
        <v>148</v>
      </c>
      <c r="F96" s="14" t="s">
        <v>151</v>
      </c>
      <c r="G96" s="14" t="s">
        <v>17</v>
      </c>
      <c r="H96" s="14" t="s">
        <v>152</v>
      </c>
      <c r="I96" s="14" t="s">
        <v>535</v>
      </c>
      <c r="J96" s="15" t="s">
        <v>101</v>
      </c>
      <c r="K96" s="24" t="s">
        <v>544</v>
      </c>
      <c r="L96" s="6" t="str">
        <f t="shared" si="1"/>
        <v>insert into CHB_DATACHECK_RULE_INV values ('884807E5-DF82-D920-E150-007FD10077FD','FinPlanProfitAsset002','inDatadict','bussRepOutInvestAgrInfo.repCapiInvest','&gt;=','SVR_TRU_ACT_TYPE','Y','资金实际投向不在值域范围内','D','com.joyintech.tams.invest.common.ChbBaseCheckLib');</v>
      </c>
    </row>
    <row r="97" spans="1:12" s="16" customFormat="1" x14ac:dyDescent="0.15">
      <c r="A97" s="14" t="s">
        <v>397</v>
      </c>
      <c r="B97" s="3" t="s">
        <v>483</v>
      </c>
      <c r="C97" s="14" t="s">
        <v>12</v>
      </c>
      <c r="D97" s="14" t="s">
        <v>150</v>
      </c>
      <c r="E97" s="14"/>
      <c r="F97" s="14"/>
      <c r="G97" s="14" t="s">
        <v>15</v>
      </c>
      <c r="H97" s="14" t="s">
        <v>153</v>
      </c>
      <c r="I97" s="14" t="s">
        <v>535</v>
      </c>
      <c r="J97" s="15" t="s">
        <v>66</v>
      </c>
      <c r="K97" s="24" t="s">
        <v>544</v>
      </c>
      <c r="L97" s="6" t="str">
        <f t="shared" si="1"/>
        <v>insert into CHB_DATACHECK_RULE_INV values ('884807E5-DF82-D920-E150-107F010077FD','FinPlanProfitAsset002','isNotEmpty','bussRepAssetMngProdInfo.repCapiInvest','','','N','资金实际投向要素不可为空','D','com.joyintech.tams.invest.common.ChbBaseCheckLib');</v>
      </c>
    </row>
    <row r="98" spans="1:12" s="16" customFormat="1" x14ac:dyDescent="0.15">
      <c r="A98" s="14" t="s">
        <v>398</v>
      </c>
      <c r="B98" s="3" t="s">
        <v>483</v>
      </c>
      <c r="C98" s="14" t="s">
        <v>12</v>
      </c>
      <c r="D98" s="14" t="s">
        <v>150</v>
      </c>
      <c r="E98" s="14"/>
      <c r="F98" s="14"/>
      <c r="G98" s="14" t="s">
        <v>15</v>
      </c>
      <c r="H98" s="14" t="s">
        <v>153</v>
      </c>
      <c r="I98" s="14" t="s">
        <v>535</v>
      </c>
      <c r="J98" s="15" t="s">
        <v>101</v>
      </c>
      <c r="K98" s="24" t="s">
        <v>544</v>
      </c>
      <c r="L98" s="6" t="str">
        <f t="shared" si="1"/>
        <v>insert into CHB_DATACHECK_RULE_INV values ('884807E5-DF82-D920-E150-107FD10077FD','FinPlanProfitAsset002','isNotEmpty','bussRepOutInvestAgrInfo.repCapiInvest','','','N','资金实际投向要素不可为空','D','com.joyintech.tams.invest.common.ChbBaseCheckLib');</v>
      </c>
    </row>
    <row r="99" spans="1:12" s="16" customFormat="1" x14ac:dyDescent="0.15">
      <c r="A99" s="14" t="s">
        <v>399</v>
      </c>
      <c r="B99" s="3" t="s">
        <v>483</v>
      </c>
      <c r="C99" s="14" t="s">
        <v>154</v>
      </c>
      <c r="D99" s="14" t="s">
        <v>150</v>
      </c>
      <c r="E99" s="14" t="s">
        <v>9</v>
      </c>
      <c r="F99" s="14" t="s">
        <v>155</v>
      </c>
      <c r="G99" s="14" t="s">
        <v>17</v>
      </c>
      <c r="H99" s="14" t="s">
        <v>156</v>
      </c>
      <c r="I99" s="14" t="s">
        <v>10</v>
      </c>
      <c r="J99" s="15" t="s">
        <v>66</v>
      </c>
      <c r="K99" s="24" t="s">
        <v>544</v>
      </c>
      <c r="L99" s="6" t="str">
        <f t="shared" si="1"/>
        <v>insert into CHB_DATACHECK_RULE_INV values ('884807E5-DF82-D920-E150-207FD10077FD','FinPlanProfitAsset002','inArray','bussRepAssetMngProdInfo.repCapiInvest','==','20,21,22,23','Y','资金实际投向01至19选项为历史数据，不得修改或新增','E','com.joyintech.tams.invest.common.ChbBaseCheckLib');</v>
      </c>
    </row>
    <row r="100" spans="1:12" s="16" customFormat="1" x14ac:dyDescent="0.15">
      <c r="A100" s="14" t="s">
        <v>400</v>
      </c>
      <c r="B100" s="3" t="s">
        <v>483</v>
      </c>
      <c r="C100" s="14" t="s">
        <v>154</v>
      </c>
      <c r="D100" s="14" t="s">
        <v>150</v>
      </c>
      <c r="E100" s="14" t="s">
        <v>9</v>
      </c>
      <c r="F100" s="14" t="s">
        <v>155</v>
      </c>
      <c r="G100" s="14" t="s">
        <v>17</v>
      </c>
      <c r="H100" s="14" t="s">
        <v>156</v>
      </c>
      <c r="I100" s="14" t="s">
        <v>10</v>
      </c>
      <c r="J100" s="15" t="s">
        <v>101</v>
      </c>
      <c r="K100" s="24" t="s">
        <v>544</v>
      </c>
      <c r="L100" s="6" t="str">
        <f t="shared" si="1"/>
        <v>insert into CHB_DATACHECK_RULE_INV values ('884807E5-DF82-D920-E150-307FD10077FD','FinPlanProfitAsset002','inArray','bussRepOutInvestAgrInfo.repCapiInvest','==','20,21,22,23','Y','资金实际投向01至19选项为历史数据，不得修改或新增','E','com.joyintech.tams.invest.common.ChbBaseCheckLib');</v>
      </c>
    </row>
    <row r="101" spans="1:12" s="16" customFormat="1" x14ac:dyDescent="0.15">
      <c r="A101" s="14" t="s">
        <v>401</v>
      </c>
      <c r="B101" s="3" t="s">
        <v>483</v>
      </c>
      <c r="C101" s="14" t="s">
        <v>137</v>
      </c>
      <c r="D101" s="14" t="s">
        <v>183</v>
      </c>
      <c r="E101" s="14"/>
      <c r="F101" s="14" t="s">
        <v>180</v>
      </c>
      <c r="G101" s="14" t="s">
        <v>17</v>
      </c>
      <c r="H101" s="14" t="s">
        <v>184</v>
      </c>
      <c r="I101" s="14" t="s">
        <v>535</v>
      </c>
      <c r="J101" s="15" t="s">
        <v>78</v>
      </c>
      <c r="K101" s="24" t="s">
        <v>544</v>
      </c>
      <c r="L101" s="6" t="str">
        <f t="shared" si="1"/>
        <v>insert into CHB_DATACHECK_RULE_INV values ('884807E5-DF95-D920-E150-007F010077FD','FinPlanProfitAsset002','isNumber2','bussRepAssetMngProdInfo.repTruFeeRate','','8,5','Y','托管费率%以百分数形式表示时必须为n（8,5）格式','D','com.joyintech.tams.invest.common.ChbBaseCheckLib');</v>
      </c>
    </row>
    <row r="102" spans="1:12" s="16" customFormat="1" x14ac:dyDescent="0.15">
      <c r="A102" s="14" t="s">
        <v>402</v>
      </c>
      <c r="B102" s="3" t="s">
        <v>483</v>
      </c>
      <c r="C102" s="14" t="s">
        <v>137</v>
      </c>
      <c r="D102" s="14" t="s">
        <v>183</v>
      </c>
      <c r="E102" s="14"/>
      <c r="F102" s="14" t="s">
        <v>180</v>
      </c>
      <c r="G102" s="14" t="s">
        <v>17</v>
      </c>
      <c r="H102" s="14" t="s">
        <v>184</v>
      </c>
      <c r="I102" s="14" t="s">
        <v>535</v>
      </c>
      <c r="J102" s="15" t="s">
        <v>110</v>
      </c>
      <c r="K102" s="24" t="s">
        <v>544</v>
      </c>
      <c r="L102" s="6" t="str">
        <f t="shared" si="1"/>
        <v>insert into CHB_DATACHECK_RULE_INV values ('884807E5-DF95-D920-E150-007F710077FD','FinPlanProfitAsset002','isNumber2','bussRepOutInvestAgrInfo.repTrustRate','','8,5','Y','托管费率%以百分数形式表示时必须为n（8,5）格式','D','com.joyintech.tams.invest.common.ChbBaseCheckLib');</v>
      </c>
    </row>
    <row r="103" spans="1:12" s="16" customFormat="1" x14ac:dyDescent="0.15">
      <c r="A103" s="14" t="s">
        <v>403</v>
      </c>
      <c r="B103" s="3" t="s">
        <v>483</v>
      </c>
      <c r="C103" s="14" t="s">
        <v>12</v>
      </c>
      <c r="D103" s="14" t="s">
        <v>183</v>
      </c>
      <c r="E103" s="14"/>
      <c r="F103" s="14"/>
      <c r="G103" s="14" t="s">
        <v>15</v>
      </c>
      <c r="H103" s="14" t="s">
        <v>185</v>
      </c>
      <c r="I103" s="14" t="s">
        <v>535</v>
      </c>
      <c r="J103" s="15" t="s">
        <v>110</v>
      </c>
      <c r="K103" s="24" t="s">
        <v>544</v>
      </c>
      <c r="L103" s="6" t="str">
        <f t="shared" si="1"/>
        <v>insert into CHB_DATACHECK_RULE_INV values ('884807E5-DF95-D920-E150-107F010077FD','FinPlanProfitAsset002','isNotEmpty','bussRepOutInvestAgrInfo.repTrustRate','','','N','托管费率%要素不可为空','D','com.joyintech.tams.invest.common.ChbBaseCheckLib');</v>
      </c>
    </row>
    <row r="104" spans="1:12" s="16" customFormat="1" x14ac:dyDescent="0.15">
      <c r="A104" s="14" t="s">
        <v>404</v>
      </c>
      <c r="B104" s="3" t="s">
        <v>483</v>
      </c>
      <c r="C104" s="14" t="s">
        <v>12</v>
      </c>
      <c r="D104" s="14" t="s">
        <v>183</v>
      </c>
      <c r="E104" s="14"/>
      <c r="F104" s="14"/>
      <c r="G104" s="14" t="s">
        <v>15</v>
      </c>
      <c r="H104" s="14" t="s">
        <v>185</v>
      </c>
      <c r="I104" s="14" t="s">
        <v>535</v>
      </c>
      <c r="J104" s="15" t="s">
        <v>78</v>
      </c>
      <c r="K104" s="24" t="s">
        <v>544</v>
      </c>
      <c r="L104" s="6" t="str">
        <f t="shared" si="1"/>
        <v>insert into CHB_DATACHECK_RULE_INV values ('884807E5-DF95-D920-E150-107F710077FD','FinPlanProfitAsset002','isNotEmpty','bussRepAssetMngProdInfo.repTruFeeRate','','','N','托管费率%要素不可为空','D','com.joyintech.tams.invest.common.ChbBaseCheckLib');</v>
      </c>
    </row>
    <row r="105" spans="1:12" s="16" customFormat="1" x14ac:dyDescent="0.15">
      <c r="A105" s="14" t="s">
        <v>405</v>
      </c>
      <c r="B105" s="3" t="s">
        <v>483</v>
      </c>
      <c r="C105" s="14" t="s">
        <v>147</v>
      </c>
      <c r="D105" s="14" t="s">
        <v>183</v>
      </c>
      <c r="E105" s="14" t="s">
        <v>148</v>
      </c>
      <c r="F105" s="14" t="s">
        <v>16</v>
      </c>
      <c r="G105" s="14" t="s">
        <v>17</v>
      </c>
      <c r="H105" s="14" t="s">
        <v>225</v>
      </c>
      <c r="I105" s="14" t="s">
        <v>535</v>
      </c>
      <c r="J105" s="15" t="s">
        <v>78</v>
      </c>
      <c r="K105" s="24" t="s">
        <v>544</v>
      </c>
      <c r="L105" s="6" t="str">
        <f t="shared" si="1"/>
        <v>insert into CHB_DATACHECK_RULE_INV values ('884807E5-DF96-D920-E150-007F010077FD','FinPlanProfitAsset002','compareValueAsNumber','bussRepAssetMngProdInfo.repTruFeeRate','&gt;=','0','Y','托管费率%必须大于等于0。','D','com.joyintech.tams.invest.common.ChbBaseCheckLib');</v>
      </c>
    </row>
    <row r="106" spans="1:12" s="16" customFormat="1" x14ac:dyDescent="0.15">
      <c r="A106" s="14" t="s">
        <v>406</v>
      </c>
      <c r="B106" s="3" t="s">
        <v>483</v>
      </c>
      <c r="C106" s="14" t="s">
        <v>147</v>
      </c>
      <c r="D106" s="14" t="s">
        <v>183</v>
      </c>
      <c r="E106" s="14" t="s">
        <v>148</v>
      </c>
      <c r="F106" s="14" t="s">
        <v>16</v>
      </c>
      <c r="G106" s="14" t="s">
        <v>17</v>
      </c>
      <c r="H106" s="14" t="s">
        <v>225</v>
      </c>
      <c r="I106" s="14" t="s">
        <v>535</v>
      </c>
      <c r="J106" s="15" t="s">
        <v>110</v>
      </c>
      <c r="K106" s="24" t="s">
        <v>544</v>
      </c>
      <c r="L106" s="6" t="str">
        <f t="shared" si="1"/>
        <v>insert into CHB_DATACHECK_RULE_INV values ('884807E5-DF96-D921-E150-007F010077FD','FinPlanProfitAsset002','compareValueAsNumber','bussRepOutInvestAgrInfo.repTrustRate','&gt;=','0','Y','托管费率%必须大于等于0。','D','com.joyintech.tams.invest.common.ChbBaseCheckLib');</v>
      </c>
    </row>
    <row r="107" spans="1:12" s="16" customFormat="1" x14ac:dyDescent="0.15">
      <c r="A107" s="3" t="s">
        <v>407</v>
      </c>
      <c r="B107" s="3" t="s">
        <v>483</v>
      </c>
      <c r="C107" s="3" t="s">
        <v>12</v>
      </c>
      <c r="D107" s="3" t="s">
        <v>141</v>
      </c>
      <c r="E107" s="3"/>
      <c r="F107" s="3"/>
      <c r="G107" s="3" t="s">
        <v>15</v>
      </c>
      <c r="H107" s="3" t="s">
        <v>142</v>
      </c>
      <c r="I107" s="3" t="s">
        <v>530</v>
      </c>
      <c r="J107" s="6" t="s">
        <v>100</v>
      </c>
      <c r="K107" s="24" t="s">
        <v>544</v>
      </c>
      <c r="L107" s="6" t="str">
        <f t="shared" si="1"/>
        <v>insert into CHB_DATACHECK_RULE_INV values ('884807E5-DF6C-D920-E150-107F01007SFD','FinPlanProfitAsset002','isNotEmpty','bussRepOutInvestAgrInfo.repTrustee','','','N','受托人不可为空','D','com.joyintech.tams.invest.common.ChbBaseCheckLib');</v>
      </c>
    </row>
    <row r="108" spans="1:12" s="16" customFormat="1" x14ac:dyDescent="0.15">
      <c r="A108" s="3" t="s">
        <v>408</v>
      </c>
      <c r="B108" s="3" t="s">
        <v>483</v>
      </c>
      <c r="C108" s="3" t="s">
        <v>13</v>
      </c>
      <c r="D108" s="3" t="s">
        <v>141</v>
      </c>
      <c r="E108" s="3"/>
      <c r="F108" s="3" t="s">
        <v>25</v>
      </c>
      <c r="G108" s="3" t="s">
        <v>17</v>
      </c>
      <c r="H108" s="3" t="s">
        <v>211</v>
      </c>
      <c r="I108" s="3" t="s">
        <v>10</v>
      </c>
      <c r="J108" s="6" t="s">
        <v>100</v>
      </c>
      <c r="K108" s="24" t="s">
        <v>544</v>
      </c>
      <c r="L108" s="6" t="str">
        <f t="shared" si="1"/>
        <v>insert into CHB_DATACHECK_RULE_INV values ('884807E5-DF6C-D920-E150-207F01007SFD','FinPlanProfitAsset002','lessThanCharLength','bussRepOutInvestAgrInfo.repTrustee','','201','Y','受托人过长','E','com.joyintech.tams.invest.common.ChbBaseCheckLib');</v>
      </c>
    </row>
    <row r="109" spans="1:12" x14ac:dyDescent="0.15">
      <c r="A109" s="3" t="s">
        <v>409</v>
      </c>
      <c r="B109" s="3" t="s">
        <v>483</v>
      </c>
      <c r="C109" s="3" t="s">
        <v>11</v>
      </c>
      <c r="D109" s="3" t="s">
        <v>141</v>
      </c>
      <c r="E109" s="3"/>
      <c r="F109" s="3" t="s">
        <v>18</v>
      </c>
      <c r="G109" s="3" t="s">
        <v>17</v>
      </c>
      <c r="H109" s="3" t="s">
        <v>228</v>
      </c>
      <c r="I109" s="3" t="s">
        <v>10</v>
      </c>
      <c r="J109" s="6" t="s">
        <v>100</v>
      </c>
      <c r="K109" s="24" t="s">
        <v>544</v>
      </c>
      <c r="L109" s="6" t="str">
        <f t="shared" si="1"/>
        <v>insert into CHB_DATACHECK_RULE_INV values ('de294A49-6813-5A9E-E150-107F01006B23','FinPlanProfitAsset002','isCustomizedString','bussRepOutInvestAgrInfo.repTrustee','','^[\u4e00-\u9fa5\ue815-\ue864\uff01-\uff5e\uffe0-\uffe5\u3000-\u3003\u3005-\u3017\u301d-\u301e\u2010\u2013-\u2016\u2018-\u2019\u201c-\u201d\u2025-\u2026\u2030\u2032-\u2033\u2035\u203b\u00b7\u0030-\u0039\u0041-\u005a\u0061-\u007a\u2160-\u216b\u0020-\u0026\u0028-\u007B\u007D\u007E]{0,}$','Y','受托人必须填写白名单中的文字。','E','com.joyintech.tams.invest.common.ChbBaseCheckLib');</v>
      </c>
    </row>
    <row r="110" spans="1:12" s="26" customFormat="1" ht="14.25" customHeight="1" x14ac:dyDescent="0.15">
      <c r="A110" s="24" t="s">
        <v>545</v>
      </c>
      <c r="B110" s="24" t="s">
        <v>546</v>
      </c>
      <c r="C110" s="18" t="s">
        <v>12</v>
      </c>
      <c r="D110" s="18" t="s">
        <v>499</v>
      </c>
      <c r="E110" s="18"/>
      <c r="F110" s="19"/>
      <c r="G110" s="18" t="s">
        <v>15</v>
      </c>
      <c r="H110" s="18" t="s">
        <v>547</v>
      </c>
      <c r="I110" s="18" t="s">
        <v>565</v>
      </c>
      <c r="J110" s="18" t="s">
        <v>548</v>
      </c>
      <c r="K110" s="25" t="s">
        <v>549</v>
      </c>
      <c r="L110" s="25" t="str">
        <f t="shared" si="1"/>
        <v>insert into CHB_DATACHECK_RULE_INV values ('f17a8951-6855-5852-8994-6fb6cbd3663d','FinPlanProfitAsset002','isNotEmpty','finprodName','','','N','资产名称不可为空。','D','com.joyintech.tams.invest.common.ChbBaseCheckLib');</v>
      </c>
    </row>
    <row r="111" spans="1:12" x14ac:dyDescent="0.15">
      <c r="A111" s="3" t="s">
        <v>513</v>
      </c>
      <c r="B111" s="3" t="s">
        <v>483</v>
      </c>
      <c r="C111" s="18" t="s">
        <v>11</v>
      </c>
      <c r="D111" s="18" t="s">
        <v>499</v>
      </c>
      <c r="E111" s="18"/>
      <c r="F111" s="19" t="s">
        <v>18</v>
      </c>
      <c r="G111" s="18" t="s">
        <v>17</v>
      </c>
      <c r="H111" s="18" t="s">
        <v>500</v>
      </c>
      <c r="I111" s="18" t="s">
        <v>10</v>
      </c>
      <c r="J111" s="18" t="s">
        <v>501</v>
      </c>
      <c r="K111" s="24" t="s">
        <v>544</v>
      </c>
      <c r="L111" s="6" t="str">
        <f t="shared" si="1"/>
        <v>insert into CHB_DATACHECK_RULE_INV values ('193fc34f-a0ed-5cda-8ac4-58482b2c7283','FinPlanProfitAsset002','isCustomizedString','finprodName','','^[\u4e00-\u9fa5\ue815-\ue864\uff01-\uff5e\uffe0-\uffe5\u3000-\u3003\u3005-\u3017\u301d-\u301e\u2010\u2013-\u2016\u2018-\u2019\u201c-\u201d\u2025-\u2026\u2030\u2032-\u2033\u2035\u203b\u00b7\u0030-\u0039\u0041-\u005a\u0061-\u007a\u2160-\u216b\u0020-\u0026\u0028-\u007B\u007D\u007E]{0,}$','Y','名称必须填写白名单中的文字。','E','com.joyintech.tams.invest.common.ChbBaseCheckLib');</v>
      </c>
    </row>
    <row r="112" spans="1:12" x14ac:dyDescent="0.15">
      <c r="A112" s="3" t="s">
        <v>514</v>
      </c>
      <c r="B112" s="3" t="s">
        <v>483</v>
      </c>
      <c r="C112" s="18" t="s">
        <v>11</v>
      </c>
      <c r="D112" s="18" t="s">
        <v>502</v>
      </c>
      <c r="E112" s="18"/>
      <c r="F112" s="19" t="s">
        <v>18</v>
      </c>
      <c r="G112" s="18" t="s">
        <v>17</v>
      </c>
      <c r="H112" s="18" t="s">
        <v>503</v>
      </c>
      <c r="I112" s="18" t="s">
        <v>10</v>
      </c>
      <c r="J112" s="18" t="s">
        <v>504</v>
      </c>
      <c r="K112" s="24" t="s">
        <v>544</v>
      </c>
      <c r="L112" s="6" t="str">
        <f t="shared" si="1"/>
        <v>insert into CHB_DATACHECK_RULE_INV values ('34506121-1e7b-5d0f-9cee-474e89b585c9','FinPlanProfitAsset002','isCustomizedString','finprodMarketId','','^[\u4e00-\u9fa5\ue815-\ue864\uff01-\uff5e\uffe0-\uffe5\u3000-\u3003\u3005-\u3017\u301d-\u301e\u2010\u2013-\u2016\u2018-\u2019\u201c-\u201d\u2025-\u2026\u2030\u2032-\u2033\u2035\u203b\u00b7\u0030-\u0039\u0041-\u005a\u0061-\u007a\u2160-\u216b\u0020-\u0026\u0028-\u007B\u007D\u007E]{0,}$','Y','代码必须填写白名单中的文字。','E','com.joyintech.tams.invest.common.ChbBaseCheckLib');</v>
      </c>
    </row>
    <row r="113" spans="1:12" x14ac:dyDescent="0.15">
      <c r="A113" s="3" t="s">
        <v>515</v>
      </c>
      <c r="B113" s="3" t="s">
        <v>483</v>
      </c>
      <c r="C113" s="18" t="s">
        <v>505</v>
      </c>
      <c r="D113" s="18" t="s">
        <v>506</v>
      </c>
      <c r="E113" s="18" t="s">
        <v>9</v>
      </c>
      <c r="F113" s="19" t="s">
        <v>507</v>
      </c>
      <c r="G113" s="18" t="s">
        <v>17</v>
      </c>
      <c r="H113" s="18" t="s">
        <v>536</v>
      </c>
      <c r="I113" s="18" t="s">
        <v>533</v>
      </c>
      <c r="J113" s="18" t="s">
        <v>508</v>
      </c>
      <c r="K113" s="24" t="s">
        <v>544</v>
      </c>
      <c r="L113" s="6" t="str">
        <f t="shared" si="1"/>
        <v>insert into CHB_DATACHECK_RULE_INV values ('6ac41519-8580-5feb-85b6-6fc6017e8597','FinPlanProfitAsset002','isValidDate','vdate','==','yyyy-MM-dd','Y','成立日必须为日期格式（YYYY-MM-DD）。','D','com.joyintech.tams.invest.common.ChbBaseCheckLib');</v>
      </c>
    </row>
    <row r="114" spans="1:12" x14ac:dyDescent="0.15">
      <c r="A114" s="3" t="s">
        <v>516</v>
      </c>
      <c r="B114" s="3" t="s">
        <v>483</v>
      </c>
      <c r="C114" s="18" t="s">
        <v>12</v>
      </c>
      <c r="D114" s="18" t="s">
        <v>506</v>
      </c>
      <c r="E114" s="18"/>
      <c r="F114" s="19"/>
      <c r="G114" s="18" t="s">
        <v>15</v>
      </c>
      <c r="H114" s="18" t="s">
        <v>537</v>
      </c>
      <c r="I114" s="18" t="s">
        <v>533</v>
      </c>
      <c r="J114" s="18" t="s">
        <v>508</v>
      </c>
      <c r="K114" s="24" t="s">
        <v>544</v>
      </c>
      <c r="L114" s="6" t="str">
        <f t="shared" si="1"/>
        <v>insert into CHB_DATACHECK_RULE_INV values ('0dd1c360-da52-5a2c-98e4-8294e1c3430c','FinPlanProfitAsset002','isNotEmpty','vdate','','','N','成立日不可以为空','D','com.joyintech.tams.invest.common.ChbBaseCheckLib');</v>
      </c>
    </row>
    <row r="115" spans="1:12" x14ac:dyDescent="0.15">
      <c r="A115" s="3" t="s">
        <v>517</v>
      </c>
      <c r="B115" s="3" t="s">
        <v>483</v>
      </c>
      <c r="C115" s="18" t="s">
        <v>509</v>
      </c>
      <c r="D115" s="18" t="s">
        <v>510</v>
      </c>
      <c r="E115" s="18" t="s">
        <v>148</v>
      </c>
      <c r="F115" s="19" t="s">
        <v>508</v>
      </c>
      <c r="G115" s="18" t="s">
        <v>17</v>
      </c>
      <c r="H115" s="18" t="s">
        <v>538</v>
      </c>
      <c r="I115" s="18" t="s">
        <v>533</v>
      </c>
      <c r="J115" s="18" t="s">
        <v>511</v>
      </c>
      <c r="K115" s="24" t="s">
        <v>544</v>
      </c>
      <c r="L115" s="6" t="str">
        <f t="shared" si="1"/>
        <v>insert into CHB_DATACHECK_RULE_INV values ('5c2a3e7e-f165-525e-863c-c9d68ee08713','FinPlanProfitAsset002','compareProperty','mdate','&gt;=','vdate','Y','终止日必须大于等于起息日。','D','com.joyintech.tams.invest.common.ChbBaseCheckLib');</v>
      </c>
    </row>
    <row r="116" spans="1:12" x14ac:dyDescent="0.15">
      <c r="A116" s="3" t="s">
        <v>518</v>
      </c>
      <c r="B116" s="3" t="s">
        <v>483</v>
      </c>
      <c r="C116" s="18" t="s">
        <v>505</v>
      </c>
      <c r="D116" s="18" t="s">
        <v>510</v>
      </c>
      <c r="E116" s="18"/>
      <c r="F116" s="19" t="s">
        <v>507</v>
      </c>
      <c r="G116" s="18" t="s">
        <v>17</v>
      </c>
      <c r="H116" s="18" t="s">
        <v>539</v>
      </c>
      <c r="I116" s="18" t="s">
        <v>533</v>
      </c>
      <c r="J116" s="18" t="s">
        <v>511</v>
      </c>
      <c r="K116" s="24" t="s">
        <v>544</v>
      </c>
      <c r="L116" s="6" t="str">
        <f t="shared" si="1"/>
        <v>insert into CHB_DATACHECK_RULE_INV values ('c4b73bb8-0c50-524d-a229-26b334be4fed','FinPlanProfitAsset002','isValidDate','mdate','','yyyy-MM-dd','Y','终止日要素必须为日期格式（YYYY-MM-DD）。','D','com.joyintech.tams.invest.common.ChbBaseCheckLib');</v>
      </c>
    </row>
    <row r="117" spans="1:12" x14ac:dyDescent="0.15">
      <c r="A117" s="3" t="s">
        <v>519</v>
      </c>
      <c r="B117" s="3" t="s">
        <v>526</v>
      </c>
      <c r="C117" s="18" t="s">
        <v>12</v>
      </c>
      <c r="D117" s="18" t="s">
        <v>510</v>
      </c>
      <c r="E117" s="18"/>
      <c r="F117" s="19"/>
      <c r="G117" s="18" t="s">
        <v>15</v>
      </c>
      <c r="H117" s="18" t="s">
        <v>540</v>
      </c>
      <c r="I117" s="18" t="s">
        <v>533</v>
      </c>
      <c r="J117" s="18" t="s">
        <v>512</v>
      </c>
      <c r="K117" s="24" t="s">
        <v>544</v>
      </c>
      <c r="L117" s="6" t="str">
        <f t="shared" si="1"/>
        <v>insert into CHB_DATACHECK_RULE_INV values ('f502404c-1bef-59eb-9966-f366ca1e2e93','FinPlanProfitAsset002','isNotEmpty','mdate','','','N','终止日不可以为空','D','com.joyintech.tams.invest.common.ChbBaseCheckLib');</v>
      </c>
    </row>
    <row r="118" spans="1:12" s="26" customFormat="1" x14ac:dyDescent="0.15">
      <c r="A118" s="24" t="s">
        <v>550</v>
      </c>
      <c r="B118" s="24" t="s">
        <v>551</v>
      </c>
      <c r="C118" s="18" t="s">
        <v>13</v>
      </c>
      <c r="D118" s="18" t="s">
        <v>502</v>
      </c>
      <c r="E118" s="18"/>
      <c r="F118" s="19" t="s">
        <v>552</v>
      </c>
      <c r="G118" s="18" t="s">
        <v>17</v>
      </c>
      <c r="H118" s="18" t="s">
        <v>553</v>
      </c>
      <c r="I118" s="18" t="s">
        <v>10</v>
      </c>
      <c r="J118" s="18" t="s">
        <v>554</v>
      </c>
      <c r="K118" s="25" t="s">
        <v>549</v>
      </c>
      <c r="L118" s="25" t="str">
        <f t="shared" si="1"/>
        <v>insert into CHB_DATACHECK_RULE_INV values ('284807E5-DF28-D920-E060-007F0100ZL26','FinPlanProfitAsset002','lessThanCharLength','finprodMarketId','','33','Y','资产代码不能过长。','E','com.joyintech.tams.invest.common.ChbBaseCheckLib');</v>
      </c>
    </row>
    <row r="119" spans="1:12" s="26" customFormat="1" x14ac:dyDescent="0.15">
      <c r="A119" s="24" t="s">
        <v>555</v>
      </c>
      <c r="B119" s="24" t="s">
        <v>546</v>
      </c>
      <c r="C119" s="24" t="s">
        <v>12</v>
      </c>
      <c r="D119" s="24" t="s">
        <v>6</v>
      </c>
      <c r="E119" s="24"/>
      <c r="F119" s="24" t="s">
        <v>16</v>
      </c>
      <c r="G119" s="24" t="s">
        <v>15</v>
      </c>
      <c r="H119" s="24" t="s">
        <v>19</v>
      </c>
      <c r="I119" s="24" t="s">
        <v>10</v>
      </c>
      <c r="J119" s="25" t="s">
        <v>556</v>
      </c>
      <c r="K119" s="25" t="s">
        <v>549</v>
      </c>
      <c r="L119" s="25" t="str">
        <f t="shared" si="1"/>
        <v>insert into CHB_DATACHECK_RULE_INV values ('284807E5-DF28-D920-E060-007F0100ZL27','FinPlanProfitAsset002','isNotEmpty','bussRepOutInvestAgrInfo.repRemark','','0','N','备注要素不可为空','E','com.joyintech.tams.invest.common.ChbBaseCheckLib');</v>
      </c>
    </row>
    <row r="120" spans="1:12" s="26" customFormat="1" ht="14.25" customHeight="1" x14ac:dyDescent="0.15">
      <c r="A120" s="24" t="s">
        <v>557</v>
      </c>
      <c r="B120" s="24" t="s">
        <v>546</v>
      </c>
      <c r="C120" s="18" t="s">
        <v>13</v>
      </c>
      <c r="D120" s="18" t="s">
        <v>499</v>
      </c>
      <c r="E120" s="18"/>
      <c r="F120" s="19" t="s">
        <v>25</v>
      </c>
      <c r="G120" s="18" t="s">
        <v>558</v>
      </c>
      <c r="H120" s="18" t="s">
        <v>559</v>
      </c>
      <c r="I120" s="18" t="s">
        <v>10</v>
      </c>
      <c r="J120" s="18" t="s">
        <v>548</v>
      </c>
      <c r="K120" s="25" t="s">
        <v>549</v>
      </c>
      <c r="L120" s="25" t="str">
        <f t="shared" si="1"/>
        <v>insert into CHB_DATACHECK_RULE_INV values ('284807E5-DF28-D920-E060-007F0100ZL28','FinPlanProfitAsset002','lessThanCharLength','finprodName','','201','Y','资产名称不能过长。','E','com.joyintech.tams.invest.common.ChbBaseCheckLib');</v>
      </c>
    </row>
    <row r="121" spans="1:12" s="8" customFormat="1" x14ac:dyDescent="0.15">
      <c r="A121" s="28" t="s">
        <v>566</v>
      </c>
      <c r="B121" s="28" t="s">
        <v>525</v>
      </c>
      <c r="C121" s="28" t="s">
        <v>12</v>
      </c>
      <c r="D121" s="28"/>
      <c r="E121" s="28"/>
      <c r="F121" s="28"/>
      <c r="G121" s="28" t="s">
        <v>15</v>
      </c>
      <c r="H121" s="28" t="s">
        <v>567</v>
      </c>
      <c r="I121" s="28" t="s">
        <v>569</v>
      </c>
      <c r="J121" s="28" t="s">
        <v>38</v>
      </c>
      <c r="K121" s="29" t="s">
        <v>549</v>
      </c>
      <c r="L121" s="8" t="s">
        <v>568</v>
      </c>
    </row>
  </sheetData>
  <autoFilter ref="A1:L120"/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76"/>
  <sheetViews>
    <sheetView workbookViewId="0">
      <selection activeCell="B10" sqref="B10"/>
    </sheetView>
  </sheetViews>
  <sheetFormatPr defaultRowHeight="13.5" x14ac:dyDescent="0.15"/>
  <cols>
    <col min="1" max="1" width="37.625" style="2" customWidth="1"/>
    <col min="2" max="2" width="38.375" style="2" customWidth="1"/>
    <col min="3" max="3" width="19.125" style="2" customWidth="1"/>
    <col min="4" max="4" width="16.875" style="2" customWidth="1"/>
    <col min="5" max="5" width="15.5" style="2" customWidth="1"/>
    <col min="6" max="6" width="33.875" style="11" customWidth="1"/>
    <col min="7" max="7" width="49.125" style="2" customWidth="1"/>
    <col min="8" max="8" width="11.75" style="2" customWidth="1"/>
    <col min="9" max="9" width="38.625" style="1" customWidth="1"/>
    <col min="10" max="16384" width="9" style="1"/>
  </cols>
  <sheetData>
    <row r="1" spans="1:10" s="5" customFormat="1" x14ac:dyDescent="0.15">
      <c r="A1" s="4" t="s">
        <v>8</v>
      </c>
      <c r="B1" s="4" t="s">
        <v>0</v>
      </c>
      <c r="C1" s="4" t="s">
        <v>1</v>
      </c>
      <c r="D1" s="4" t="s">
        <v>2</v>
      </c>
      <c r="E1" s="4" t="s">
        <v>3</v>
      </c>
      <c r="F1" s="10" t="s">
        <v>4</v>
      </c>
      <c r="G1" s="4" t="s">
        <v>6</v>
      </c>
      <c r="H1" s="4" t="s">
        <v>7</v>
      </c>
      <c r="I1" s="7" t="s">
        <v>28</v>
      </c>
      <c r="J1" s="5" t="s">
        <v>486</v>
      </c>
    </row>
    <row r="2" spans="1:10" x14ac:dyDescent="0.15">
      <c r="A2" s="3" t="s">
        <v>410</v>
      </c>
      <c r="B2" s="3" t="s">
        <v>338</v>
      </c>
      <c r="C2" s="3" t="s">
        <v>154</v>
      </c>
      <c r="D2" s="3" t="s">
        <v>231</v>
      </c>
      <c r="E2" s="3" t="s">
        <v>9</v>
      </c>
      <c r="F2" s="12" t="s">
        <v>232</v>
      </c>
      <c r="G2" s="3"/>
      <c r="H2" s="3" t="s">
        <v>10</v>
      </c>
      <c r="I2" s="3" t="s">
        <v>298</v>
      </c>
      <c r="J2" s="6" t="str">
        <f t="shared" ref="J2:J32" si="0">CONCATENATE("INSERT INTO CHB_DATACHECK_CONDITION_INV VALUES ('",A2,"','",B2,"','",C2,"','",I2,"','",E2,"','",F2,"','",G2,"','",H2,"');")</f>
        <v>INSERT INTO CHB_DATACHECK_CONDITION_INV VALUES ('784807E5-DF67-D920-E150-007F010077FD','885607E5-DF91-D920-E150-007F010077FD','inArray','repAssetType','==','1701,1702,1703,1704,1705,1706','','E');</v>
      </c>
    </row>
    <row r="3" spans="1:10" x14ac:dyDescent="0.15">
      <c r="A3" s="3" t="s">
        <v>411</v>
      </c>
      <c r="B3" s="3" t="s">
        <v>318</v>
      </c>
      <c r="C3" s="3" t="s">
        <v>154</v>
      </c>
      <c r="D3" s="3" t="s">
        <v>231</v>
      </c>
      <c r="E3" s="3" t="s">
        <v>9</v>
      </c>
      <c r="F3" s="12" t="s">
        <v>232</v>
      </c>
      <c r="G3" s="3"/>
      <c r="H3" s="3" t="s">
        <v>541</v>
      </c>
      <c r="I3" s="3" t="s">
        <v>299</v>
      </c>
      <c r="J3" s="6" t="str">
        <f t="shared" si="0"/>
        <v>INSERT INTO CHB_DATACHECK_CONDITION_INV VALUES ('784807E5-DF67-D920-E150-007F010098FD','885607E5-DF91-D920-E150-007F037077FD','inArray','repAssetType','==','1701,1702,1703,1704,1705,1706','','D');</v>
      </c>
    </row>
    <row r="4" spans="1:10" x14ac:dyDescent="0.15">
      <c r="A4" s="3" t="s">
        <v>412</v>
      </c>
      <c r="B4" s="3" t="s">
        <v>325</v>
      </c>
      <c r="C4" s="3" t="s">
        <v>154</v>
      </c>
      <c r="D4" s="3" t="s">
        <v>231</v>
      </c>
      <c r="E4" s="3" t="s">
        <v>9</v>
      </c>
      <c r="F4" s="12" t="s">
        <v>233</v>
      </c>
      <c r="G4" s="3"/>
      <c r="H4" s="3" t="s">
        <v>541</v>
      </c>
      <c r="I4" s="3" t="s">
        <v>298</v>
      </c>
      <c r="J4" s="6" t="str">
        <f t="shared" si="0"/>
        <v>INSERT INTO CHB_DATACHECK_CONDITION_INV VALUES ('784807E5-DF38-D941-E150-007F111177FD','884807E5-EF00-D135-E150-007F010077FD','inArray','repAssetType','==','1705','','D');</v>
      </c>
    </row>
    <row r="5" spans="1:10" x14ac:dyDescent="0.15">
      <c r="A5" s="3" t="s">
        <v>413</v>
      </c>
      <c r="B5" s="3" t="s">
        <v>328</v>
      </c>
      <c r="C5" s="3" t="s">
        <v>154</v>
      </c>
      <c r="D5" s="3" t="s">
        <v>231</v>
      </c>
      <c r="E5" s="3" t="s">
        <v>9</v>
      </c>
      <c r="F5" s="12" t="s">
        <v>233</v>
      </c>
      <c r="G5" s="3"/>
      <c r="H5" s="3" t="s">
        <v>541</v>
      </c>
      <c r="I5" s="3" t="s">
        <v>299</v>
      </c>
      <c r="J5" s="6" t="str">
        <f t="shared" si="0"/>
        <v>INSERT INTO CHB_DATACHECK_CONDITION_INV VALUES ('784807E5-DF38-D942-E150-007F112077FD','884807E5-EF00-D136-E150-007F010077FD','inArray','repAssetType','==','1705','','D');</v>
      </c>
    </row>
    <row r="6" spans="1:10" x14ac:dyDescent="0.15">
      <c r="A6" s="3" t="s">
        <v>414</v>
      </c>
      <c r="B6" s="3" t="s">
        <v>314</v>
      </c>
      <c r="C6" s="3" t="s">
        <v>154</v>
      </c>
      <c r="D6" s="3" t="s">
        <v>231</v>
      </c>
      <c r="E6" s="3" t="s">
        <v>9</v>
      </c>
      <c r="F6" s="12" t="s">
        <v>235</v>
      </c>
      <c r="G6" s="3"/>
      <c r="H6" s="3" t="s">
        <v>541</v>
      </c>
      <c r="I6" s="3" t="s">
        <v>298</v>
      </c>
      <c r="J6" s="6" t="str">
        <f t="shared" si="0"/>
        <v>INSERT INTO CHB_DATACHECK_CONDITION_INV VALUES ('784807E5-DF38-D920-E150-007F111177FD','884817E5-DF81-D920-E150-007F010077FD','inArray','repAssetType','==','2801,2802,2803,2804,2805,2806,2899','','D');</v>
      </c>
    </row>
    <row r="7" spans="1:10" x14ac:dyDescent="0.15">
      <c r="A7" s="3" t="s">
        <v>415</v>
      </c>
      <c r="B7" s="3" t="s">
        <v>315</v>
      </c>
      <c r="C7" s="3" t="s">
        <v>154</v>
      </c>
      <c r="D7" s="3" t="s">
        <v>231</v>
      </c>
      <c r="E7" s="3" t="s">
        <v>9</v>
      </c>
      <c r="F7" s="12" t="s">
        <v>235</v>
      </c>
      <c r="G7" s="3"/>
      <c r="H7" s="3" t="s">
        <v>541</v>
      </c>
      <c r="I7" s="3" t="s">
        <v>298</v>
      </c>
      <c r="J7" s="6" t="str">
        <f t="shared" si="0"/>
        <v>INSERT INTO CHB_DATACHECK_CONDITION_INV VALUES ('784807E5-DF38-D920-E150-007F112077FD','884827E5-DF35-D920-E150-007F010077FD','inArray','repAssetType','==','2801,2802,2803,2804,2805,2806,2899','','D');</v>
      </c>
    </row>
    <row r="8" spans="1:10" x14ac:dyDescent="0.15">
      <c r="A8" s="3" t="s">
        <v>416</v>
      </c>
      <c r="B8" s="3" t="s">
        <v>370</v>
      </c>
      <c r="C8" s="3" t="s">
        <v>154</v>
      </c>
      <c r="D8" s="3" t="s">
        <v>231</v>
      </c>
      <c r="E8" s="3" t="s">
        <v>9</v>
      </c>
      <c r="F8" s="12" t="s">
        <v>235</v>
      </c>
      <c r="G8" s="3"/>
      <c r="H8" s="3" t="s">
        <v>541</v>
      </c>
      <c r="I8" s="3" t="s">
        <v>299</v>
      </c>
      <c r="J8" s="6" t="str">
        <f t="shared" si="0"/>
        <v>INSERT INTO CHB_DATACHECK_CONDITION_INV VALUES ('553E4A49-6811-5A9E-E150-007F01006A21','443E4A59-6810-5A9E-E150-007F01006A36','inArray','repAssetType','==','2801,2802,2803,2804,2805,2806,2899','','D');</v>
      </c>
    </row>
    <row r="9" spans="1:10" x14ac:dyDescent="0.15">
      <c r="A9" s="3" t="s">
        <v>310</v>
      </c>
      <c r="B9" s="3" t="s">
        <v>310</v>
      </c>
      <c r="C9" s="3" t="s">
        <v>154</v>
      </c>
      <c r="D9" s="3" t="s">
        <v>231</v>
      </c>
      <c r="E9" s="3" t="s">
        <v>9</v>
      </c>
      <c r="F9" s="12" t="s">
        <v>232</v>
      </c>
      <c r="G9" s="3"/>
      <c r="H9" s="3" t="s">
        <v>541</v>
      </c>
      <c r="I9" s="3" t="s">
        <v>299</v>
      </c>
      <c r="J9" s="6" t="str">
        <f t="shared" si="0"/>
        <v>INSERT INTO CHB_DATACHECK_CONDITION_INV VALUES ('884807E5-DF35-D920-E150-007F010077FD','884807E5-DF35-D920-E150-007F010077FD','inArray','repAssetType','==','1701,1702,1703,1704,1705,1706','','D');</v>
      </c>
    </row>
    <row r="10" spans="1:10" x14ac:dyDescent="0.15">
      <c r="A10" s="3" t="s">
        <v>417</v>
      </c>
      <c r="B10" s="3" t="s">
        <v>407</v>
      </c>
      <c r="C10" s="3" t="s">
        <v>154</v>
      </c>
      <c r="D10" s="3" t="s">
        <v>231</v>
      </c>
      <c r="E10" s="3" t="s">
        <v>9</v>
      </c>
      <c r="F10" s="12" t="s">
        <v>235</v>
      </c>
      <c r="G10" s="3"/>
      <c r="H10" s="3" t="s">
        <v>541</v>
      </c>
      <c r="I10" s="3" t="s">
        <v>299</v>
      </c>
      <c r="J10" s="6" t="str">
        <f t="shared" si="0"/>
        <v>INSERT INTO CHB_DATACHECK_CONDITION_INV VALUES ('333E4A49-6810-5A9E-E150-007F01016A59','884807E5-DF6C-D920-E150-107F01007SFD','inArray','repAssetType','==','2801,2802,2803,2804,2805,2806,2899','','D');</v>
      </c>
    </row>
    <row r="11" spans="1:10" x14ac:dyDescent="0.15">
      <c r="A11" s="3" t="s">
        <v>418</v>
      </c>
      <c r="B11" s="3" t="s">
        <v>363</v>
      </c>
      <c r="C11" s="3" t="s">
        <v>154</v>
      </c>
      <c r="D11" s="3" t="s">
        <v>231</v>
      </c>
      <c r="E11" s="3" t="s">
        <v>9</v>
      </c>
      <c r="F11" s="12" t="s">
        <v>232</v>
      </c>
      <c r="G11" s="3"/>
      <c r="H11" s="3" t="s">
        <v>541</v>
      </c>
      <c r="I11" s="3" t="s">
        <v>299</v>
      </c>
      <c r="J11" s="6" t="str">
        <f t="shared" si="0"/>
        <v>INSERT INTO CHB_DATACHECK_CONDITION_INV VALUES ('784807E5-DF81-D920-E150-007F010077FD','884807E5-DF7C-D920-E150-007F010077FD','inArray','repAssetType','==','1701,1702,1703,1704,1705,1706','','D');</v>
      </c>
    </row>
    <row r="12" spans="1:10" x14ac:dyDescent="0.15">
      <c r="A12" s="3" t="s">
        <v>419</v>
      </c>
      <c r="B12" s="3" t="s">
        <v>311</v>
      </c>
      <c r="C12" s="3" t="s">
        <v>154</v>
      </c>
      <c r="D12" s="3" t="s">
        <v>231</v>
      </c>
      <c r="E12" s="3" t="s">
        <v>9</v>
      </c>
      <c r="F12" s="12" t="s">
        <v>232</v>
      </c>
      <c r="G12" s="3"/>
      <c r="H12" s="3" t="s">
        <v>541</v>
      </c>
      <c r="I12" s="3" t="s">
        <v>299</v>
      </c>
      <c r="J12" s="6" t="str">
        <f t="shared" si="0"/>
        <v>INSERT INTO CHB_DATACHECK_CONDITION_INV VALUES ('784807E5-DF81-D920-E188-007F010077FD','884807E5-DF7F-D920-E136-007F010077FD','inArray','repAssetType','==','1701,1702,1703,1704,1705,1706','','D');</v>
      </c>
    </row>
    <row r="13" spans="1:10" x14ac:dyDescent="0.15">
      <c r="A13" s="3" t="s">
        <v>420</v>
      </c>
      <c r="B13" s="3" t="s">
        <v>312</v>
      </c>
      <c r="C13" s="3" t="s">
        <v>154</v>
      </c>
      <c r="D13" s="3" t="s">
        <v>231</v>
      </c>
      <c r="E13" s="3" t="s">
        <v>9</v>
      </c>
      <c r="F13" s="12" t="s">
        <v>235</v>
      </c>
      <c r="G13" s="3"/>
      <c r="H13" s="3" t="s">
        <v>541</v>
      </c>
      <c r="I13" s="3" t="s">
        <v>299</v>
      </c>
      <c r="J13" s="6" t="str">
        <f t="shared" si="0"/>
        <v>INSERT INTO CHB_DATACHECK_CONDITION_INV VALUES ('784807E5-DF81-D920-E189-007F010077FD','884807E5-DF7H-D920-E136-007F010077FD','inArray','repAssetType','==','2801,2802,2803,2804,2805,2806,2899','','D');</v>
      </c>
    </row>
    <row r="14" spans="1:10" x14ac:dyDescent="0.15">
      <c r="A14" s="3" t="s">
        <v>421</v>
      </c>
      <c r="B14" s="3" t="s">
        <v>313</v>
      </c>
      <c r="C14" s="3" t="s">
        <v>154</v>
      </c>
      <c r="D14" s="3" t="s">
        <v>231</v>
      </c>
      <c r="E14" s="3" t="s">
        <v>9</v>
      </c>
      <c r="F14" s="12" t="s">
        <v>232</v>
      </c>
      <c r="G14" s="3"/>
      <c r="H14" s="3" t="s">
        <v>541</v>
      </c>
      <c r="I14" s="3" t="s">
        <v>299</v>
      </c>
      <c r="J14" s="6" t="str">
        <f t="shared" si="0"/>
        <v>INSERT INTO CHB_DATACHECK_CONDITION_INV VALUES ('784807E5-DF84-D920-E150-007F010077FD','884807E5-DF80-D920-E150-107F010077FD','inArray','repAssetType','==','1701,1702,1703,1704,1705,1706','','D');</v>
      </c>
    </row>
    <row r="15" spans="1:10" x14ac:dyDescent="0.15">
      <c r="A15" s="3" t="s">
        <v>422</v>
      </c>
      <c r="B15" s="3" t="s">
        <v>395</v>
      </c>
      <c r="C15" s="3" t="s">
        <v>154</v>
      </c>
      <c r="D15" s="3" t="s">
        <v>231</v>
      </c>
      <c r="E15" s="3" t="s">
        <v>9</v>
      </c>
      <c r="F15" s="12" t="s">
        <v>232</v>
      </c>
      <c r="G15" s="3"/>
      <c r="H15" s="3" t="s">
        <v>541</v>
      </c>
      <c r="I15" s="3" t="s">
        <v>299</v>
      </c>
      <c r="J15" s="6" t="str">
        <f t="shared" si="0"/>
        <v>INSERT INTO CHB_DATACHECK_CONDITION_INV VALUES ('784807E5-DF85-D920-E150-007F010077FD','884807E5-DF82-D920-E150-007F010077FD','inArray','repAssetType','==','1701,1702,1703,1704,1705,1706','','D');</v>
      </c>
    </row>
    <row r="16" spans="1:10" x14ac:dyDescent="0.15">
      <c r="A16" s="3" t="s">
        <v>423</v>
      </c>
      <c r="B16" s="3" t="s">
        <v>396</v>
      </c>
      <c r="C16" s="3" t="s">
        <v>154</v>
      </c>
      <c r="D16" s="3" t="s">
        <v>231</v>
      </c>
      <c r="E16" s="3" t="s">
        <v>9</v>
      </c>
      <c r="F16" s="12" t="s">
        <v>235</v>
      </c>
      <c r="G16" s="3"/>
      <c r="H16" s="3" t="s">
        <v>541</v>
      </c>
      <c r="I16" s="3" t="s">
        <v>298</v>
      </c>
      <c r="J16" s="6" t="str">
        <f t="shared" si="0"/>
        <v>INSERT INTO CHB_DATACHECK_CONDITION_INV VALUES ('333E4A49-6810-5A9E-E150-007F01006C59','884807E5-DF82-D920-E150-007FD10077FD','inArray','repAssetType','==','2801,2802,2803,2804,2805,2806,2899','','D');</v>
      </c>
    </row>
    <row r="17" spans="1:10" x14ac:dyDescent="0.15">
      <c r="A17" s="3" t="s">
        <v>424</v>
      </c>
      <c r="B17" s="3" t="s">
        <v>397</v>
      </c>
      <c r="C17" s="3" t="s">
        <v>154</v>
      </c>
      <c r="D17" s="3" t="s">
        <v>231</v>
      </c>
      <c r="E17" s="3" t="s">
        <v>9</v>
      </c>
      <c r="F17" s="12" t="s">
        <v>232</v>
      </c>
      <c r="G17" s="3"/>
      <c r="H17" s="3" t="s">
        <v>541</v>
      </c>
      <c r="I17" s="3" t="s">
        <v>299</v>
      </c>
      <c r="J17" s="6" t="str">
        <f t="shared" si="0"/>
        <v>INSERT INTO CHB_DATACHECK_CONDITION_INV VALUES ('784807E5-DF85-D920-E150-107F010077FD','884807E5-DF82-D920-E150-107F010077FD','inArray','repAssetType','==','1701,1702,1703,1704,1705,1706','','D');</v>
      </c>
    </row>
    <row r="18" spans="1:10" x14ac:dyDescent="0.15">
      <c r="A18" s="3" t="s">
        <v>425</v>
      </c>
      <c r="B18" s="3" t="s">
        <v>398</v>
      </c>
      <c r="C18" s="3" t="s">
        <v>154</v>
      </c>
      <c r="D18" s="3" t="s">
        <v>231</v>
      </c>
      <c r="E18" s="3" t="s">
        <v>9</v>
      </c>
      <c r="F18" s="12" t="s">
        <v>235</v>
      </c>
      <c r="G18" s="3"/>
      <c r="H18" s="3" t="s">
        <v>541</v>
      </c>
      <c r="I18" s="3" t="s">
        <v>298</v>
      </c>
      <c r="J18" s="6" t="str">
        <f t="shared" si="0"/>
        <v>INSERT INTO CHB_DATACHECK_CONDITION_INV VALUES ('333E4A49-6810-5A9E-E150-107F01006C59','884807E5-DF82-D920-E150-107FD10077FD','inArray','repAssetType','==','2801,2802,2803,2804,2805,2806,2899','','D');</v>
      </c>
    </row>
    <row r="19" spans="1:10" x14ac:dyDescent="0.15">
      <c r="A19" s="3" t="s">
        <v>426</v>
      </c>
      <c r="B19" s="3" t="s">
        <v>399</v>
      </c>
      <c r="C19" s="3" t="s">
        <v>154</v>
      </c>
      <c r="D19" s="3" t="s">
        <v>231</v>
      </c>
      <c r="E19" s="3" t="s">
        <v>9</v>
      </c>
      <c r="F19" s="12" t="s">
        <v>232</v>
      </c>
      <c r="G19" s="3"/>
      <c r="H19" s="3" t="s">
        <v>10</v>
      </c>
      <c r="I19" s="3" t="s">
        <v>298</v>
      </c>
      <c r="J19" s="6" t="str">
        <f t="shared" si="0"/>
        <v>INSERT INTO CHB_DATACHECK_CONDITION_INV VALUES ('784807E5-DF85-D920-E150-207F010077FD','884807E5-DF82-D920-E150-207FD10077FD','inArray','repAssetType','==','1701,1702,1703,1704,1705,1706','','E');</v>
      </c>
    </row>
    <row r="20" spans="1:10" x14ac:dyDescent="0.15">
      <c r="A20" s="3" t="s">
        <v>427</v>
      </c>
      <c r="B20" s="3" t="s">
        <v>400</v>
      </c>
      <c r="C20" s="3" t="s">
        <v>154</v>
      </c>
      <c r="D20" s="3" t="s">
        <v>231</v>
      </c>
      <c r="E20" s="3" t="s">
        <v>9</v>
      </c>
      <c r="F20" s="12" t="s">
        <v>235</v>
      </c>
      <c r="G20" s="3"/>
      <c r="H20" s="3" t="s">
        <v>10</v>
      </c>
      <c r="I20" s="3" t="s">
        <v>299</v>
      </c>
      <c r="J20" s="6" t="str">
        <f t="shared" si="0"/>
        <v>INSERT INTO CHB_DATACHECK_CONDITION_INV VALUES ('333E4A49-6810-5A9E-E150-207F01006C59','884807E5-DF82-D920-E150-307FD10077FD','inArray','repAssetType','==','2801,2802,2803,2804,2805,2806,2899','','E');</v>
      </c>
    </row>
    <row r="21" spans="1:10" x14ac:dyDescent="0.15">
      <c r="A21" s="3" t="s">
        <v>428</v>
      </c>
      <c r="B21" s="3" t="s">
        <v>331</v>
      </c>
      <c r="C21" s="3" t="s">
        <v>154</v>
      </c>
      <c r="D21" s="3" t="s">
        <v>231</v>
      </c>
      <c r="E21" s="3" t="s">
        <v>9</v>
      </c>
      <c r="F21" s="12" t="s">
        <v>232</v>
      </c>
      <c r="G21" s="3"/>
      <c r="H21" s="3" t="s">
        <v>541</v>
      </c>
      <c r="I21" s="3" t="s">
        <v>299</v>
      </c>
      <c r="J21" s="6" t="str">
        <f t="shared" si="0"/>
        <v>INSERT INTO CHB_DATACHECK_CONDITION_INV VALUES ('784807E5-DF86-D920-E150-007F010077FD','884807E5-DF83-D920-E150-007F010077FD','inArray','repAssetType','==','1701,1702,1703,1704,1705,1706','','D');</v>
      </c>
    </row>
    <row r="22" spans="1:10" x14ac:dyDescent="0.15">
      <c r="A22" s="3" t="s">
        <v>429</v>
      </c>
      <c r="B22" s="3" t="s">
        <v>332</v>
      </c>
      <c r="C22" s="3" t="s">
        <v>154</v>
      </c>
      <c r="D22" s="3" t="s">
        <v>231</v>
      </c>
      <c r="E22" s="3" t="s">
        <v>9</v>
      </c>
      <c r="F22" s="12" t="s">
        <v>235</v>
      </c>
      <c r="G22" s="3"/>
      <c r="H22" s="3" t="s">
        <v>541</v>
      </c>
      <c r="I22" s="3" t="s">
        <v>298</v>
      </c>
      <c r="J22" s="6" t="str">
        <f t="shared" si="0"/>
        <v>INSERT INTO CHB_DATACHECK_CONDITION_INV VALUES ('333E4A49-6810-5A9E-E150-107F01006A59','884807E5-DF83-D920-E150-A07F010077FD','inArray','repAssetType','==','2801,2802,2803,2804,2805,2806,2899','','D');</v>
      </c>
    </row>
    <row r="23" spans="1:10" x14ac:dyDescent="0.15">
      <c r="A23" s="3" t="s">
        <v>430</v>
      </c>
      <c r="B23" s="3" t="s">
        <v>319</v>
      </c>
      <c r="C23" s="3" t="s">
        <v>154</v>
      </c>
      <c r="D23" s="3" t="s">
        <v>231</v>
      </c>
      <c r="E23" s="3" t="s">
        <v>9</v>
      </c>
      <c r="F23" s="12" t="s">
        <v>232</v>
      </c>
      <c r="G23" s="3"/>
      <c r="H23" s="3" t="s">
        <v>541</v>
      </c>
      <c r="I23" s="3" t="s">
        <v>299</v>
      </c>
      <c r="J23" s="6" t="str">
        <f t="shared" si="0"/>
        <v>INSERT INTO CHB_DATACHECK_CONDITION_INV VALUES ('784807E5-DF87-D920-E150-007F010077FD','884807E5-DF84-D920-E150-007F010077FD','inArray','repAssetType','==','1701,1702,1703,1704,1705,1706','','D');</v>
      </c>
    </row>
    <row r="24" spans="1:10" x14ac:dyDescent="0.15">
      <c r="A24" s="3" t="s">
        <v>431</v>
      </c>
      <c r="B24" s="3" t="s">
        <v>320</v>
      </c>
      <c r="C24" s="3" t="s">
        <v>154</v>
      </c>
      <c r="D24" s="3" t="s">
        <v>231</v>
      </c>
      <c r="E24" s="3" t="s">
        <v>9</v>
      </c>
      <c r="F24" s="12" t="s">
        <v>235</v>
      </c>
      <c r="G24" s="3"/>
      <c r="H24" s="3" t="s">
        <v>541</v>
      </c>
      <c r="I24" s="3" t="s">
        <v>299</v>
      </c>
      <c r="J24" s="6" t="str">
        <f t="shared" si="0"/>
        <v>INSERT INTO CHB_DATACHECK_CONDITION_INV VALUES ('333E4A49-6810-5A9E-E150-007F01116A59','884807E5-DF84-D920-E150-007FD10077FD','inArray','repAssetType','==','2801,2802,2803,2804,2805,2806,2899','','D');</v>
      </c>
    </row>
    <row r="25" spans="1:10" x14ac:dyDescent="0.15">
      <c r="A25" s="3" t="s">
        <v>432</v>
      </c>
      <c r="B25" s="3" t="s">
        <v>366</v>
      </c>
      <c r="C25" s="3" t="s">
        <v>154</v>
      </c>
      <c r="D25" s="3" t="s">
        <v>231</v>
      </c>
      <c r="E25" s="3" t="s">
        <v>9</v>
      </c>
      <c r="F25" s="12" t="s">
        <v>232</v>
      </c>
      <c r="G25" s="3"/>
      <c r="H25" s="3" t="s">
        <v>541</v>
      </c>
      <c r="I25" s="3" t="s">
        <v>299</v>
      </c>
      <c r="J25" s="6" t="str">
        <f t="shared" si="0"/>
        <v>INSERT INTO CHB_DATACHECK_CONDITION_INV VALUES ('784807E5-DF8A-D920-E150-007F010077FD','884807E5-DF88-D920-E150-007F010077FD','inArray','repAssetType','==','1701,1702,1703,1704,1705,1706','','D');</v>
      </c>
    </row>
    <row r="26" spans="1:10" x14ac:dyDescent="0.15">
      <c r="A26" s="3" t="s">
        <v>433</v>
      </c>
      <c r="B26" s="3" t="s">
        <v>367</v>
      </c>
      <c r="C26" s="3" t="s">
        <v>154</v>
      </c>
      <c r="D26" s="3" t="s">
        <v>231</v>
      </c>
      <c r="E26" s="3" t="s">
        <v>9</v>
      </c>
      <c r="F26" s="12" t="s">
        <v>235</v>
      </c>
      <c r="G26" s="3"/>
      <c r="H26" s="3" t="s">
        <v>541</v>
      </c>
      <c r="I26" s="3" t="s">
        <v>299</v>
      </c>
      <c r="J26" s="6" t="str">
        <f t="shared" si="0"/>
        <v>INSERT INTO CHB_DATACHECK_CONDITION_INV VALUES ('784807E5-DF88-D920-E150-007F010977FD','884807E5-DF88-D920-E150-007F010877FD','inArray','repAssetType','==','2801,2802,2803,2804,2805,2806,2899','','D');</v>
      </c>
    </row>
    <row r="27" spans="1:10" x14ac:dyDescent="0.15">
      <c r="A27" s="3" t="s">
        <v>434</v>
      </c>
      <c r="B27" s="3" t="s">
        <v>368</v>
      </c>
      <c r="C27" s="3" t="s">
        <v>154</v>
      </c>
      <c r="D27" s="3" t="s">
        <v>231</v>
      </c>
      <c r="E27" s="3" t="s">
        <v>9</v>
      </c>
      <c r="F27" s="12" t="s">
        <v>235</v>
      </c>
      <c r="G27" s="3"/>
      <c r="H27" s="3" t="s">
        <v>541</v>
      </c>
      <c r="I27" s="3" t="s">
        <v>299</v>
      </c>
      <c r="J27" s="6" t="str">
        <f t="shared" si="0"/>
        <v>INSERT INTO CHB_DATACHECK_CONDITION_INV VALUES ('784807E5-DF88-D920-E150-107F010977FD','884807E5-DF88-D920-E150-107F010877FD','inArray','repAssetType','==','2801,2802,2803,2804,2805,2806,2899','','D');</v>
      </c>
    </row>
    <row r="28" spans="1:10" x14ac:dyDescent="0.15">
      <c r="A28" s="3" t="s">
        <v>435</v>
      </c>
      <c r="B28" s="3" t="s">
        <v>369</v>
      </c>
      <c r="C28" s="3" t="s">
        <v>154</v>
      </c>
      <c r="D28" s="3" t="s">
        <v>231</v>
      </c>
      <c r="E28" s="3" t="s">
        <v>9</v>
      </c>
      <c r="F28" s="12" t="s">
        <v>232</v>
      </c>
      <c r="G28" s="3"/>
      <c r="H28" s="3" t="s">
        <v>541</v>
      </c>
      <c r="I28" s="3" t="s">
        <v>299</v>
      </c>
      <c r="J28" s="6" t="str">
        <f t="shared" si="0"/>
        <v>INSERT INTO CHB_DATACHECK_CONDITION_INV VALUES ('784807E5-DF8A-D920-E150-107F010077FD','884807E5-DF88-D920-E150-207F010877FD','inArray','repAssetType','==','1701,1702,1703,1704,1705,1706','','D');</v>
      </c>
    </row>
    <row r="29" spans="1:10" x14ac:dyDescent="0.15">
      <c r="A29" s="3" t="s">
        <v>436</v>
      </c>
      <c r="B29" s="3" t="s">
        <v>371</v>
      </c>
      <c r="C29" s="3" t="s">
        <v>154</v>
      </c>
      <c r="D29" s="3" t="s">
        <v>231</v>
      </c>
      <c r="E29" s="3" t="s">
        <v>9</v>
      </c>
      <c r="F29" s="12" t="s">
        <v>232</v>
      </c>
      <c r="G29" s="3"/>
      <c r="H29" s="3" t="s">
        <v>541</v>
      </c>
      <c r="I29" s="3" t="s">
        <v>298</v>
      </c>
      <c r="J29" s="6" t="str">
        <f t="shared" si="0"/>
        <v>INSERT INTO CHB_DATACHECK_CONDITION_INV VALUES ('784807E5-DF8B-D920-E150-007F010077FD','884807E5-DF89-D920-E150-007F010077FD','inArray','repAssetType','==','1701,1702,1703,1704,1705,1706','','D');</v>
      </c>
    </row>
    <row r="30" spans="1:10" x14ac:dyDescent="0.15">
      <c r="A30" s="3" t="s">
        <v>437</v>
      </c>
      <c r="B30" s="3" t="s">
        <v>372</v>
      </c>
      <c r="C30" s="3" t="s">
        <v>154</v>
      </c>
      <c r="D30" s="3" t="s">
        <v>231</v>
      </c>
      <c r="E30" s="3" t="s">
        <v>9</v>
      </c>
      <c r="F30" s="12" t="s">
        <v>235</v>
      </c>
      <c r="G30" s="3"/>
      <c r="H30" s="3" t="s">
        <v>541</v>
      </c>
      <c r="I30" s="3" t="s">
        <v>299</v>
      </c>
      <c r="J30" s="6" t="str">
        <f t="shared" si="0"/>
        <v>INSERT INTO CHB_DATACHECK_CONDITION_INV VALUES ('553E4A49-6811-5A9E-E150-107F01006A21','884807E5-DF89-D920-E150-107F010077FD','inArray','repAssetType','==','2801,2802,2803,2804,2805,2806,2899','','D');</v>
      </c>
    </row>
    <row r="31" spans="1:10" x14ac:dyDescent="0.15">
      <c r="A31" s="3" t="s">
        <v>438</v>
      </c>
      <c r="B31" s="3" t="s">
        <v>373</v>
      </c>
      <c r="C31" s="3" t="s">
        <v>154</v>
      </c>
      <c r="D31" s="3" t="s">
        <v>231</v>
      </c>
      <c r="E31" s="3" t="s">
        <v>9</v>
      </c>
      <c r="F31" s="12" t="s">
        <v>232</v>
      </c>
      <c r="G31" s="3"/>
      <c r="H31" s="3" t="s">
        <v>541</v>
      </c>
      <c r="I31" s="3" t="s">
        <v>299</v>
      </c>
      <c r="J31" s="6" t="str">
        <f t="shared" si="0"/>
        <v>INSERT INTO CHB_DATACHECK_CONDITION_INV VALUES ('784807E5-DF8B-D920-E150-107F010077FD','884807E5-DF89-D920-E150-207F010077FD','inArray','repAssetType','==','1701,1702,1703,1704,1705,1706','','D');</v>
      </c>
    </row>
    <row r="32" spans="1:10" x14ac:dyDescent="0.15">
      <c r="A32" s="3" t="s">
        <v>439</v>
      </c>
      <c r="B32" s="3" t="s">
        <v>317</v>
      </c>
      <c r="C32" s="3" t="s">
        <v>154</v>
      </c>
      <c r="D32" s="3" t="s">
        <v>231</v>
      </c>
      <c r="E32" s="3" t="s">
        <v>9</v>
      </c>
      <c r="F32" s="12" t="s">
        <v>232</v>
      </c>
      <c r="G32" s="3"/>
      <c r="H32" s="3" t="s">
        <v>541</v>
      </c>
      <c r="I32" s="3" t="s">
        <v>299</v>
      </c>
      <c r="J32" s="6" t="str">
        <f t="shared" si="0"/>
        <v>INSERT INTO CHB_DATACHECK_CONDITION_INV VALUES ('784807E5-DF8F-D920-E150-007F010077FD','884807E5-DF90-D920-E150-007F010077FD','inArray','repAssetType','==','1701,1702,1703,1704,1705,1706','','D');</v>
      </c>
    </row>
    <row r="33" spans="1:10" x14ac:dyDescent="0.15">
      <c r="A33" s="3" t="s">
        <v>440</v>
      </c>
      <c r="B33" s="3" t="s">
        <v>337</v>
      </c>
      <c r="C33" s="3" t="s">
        <v>154</v>
      </c>
      <c r="D33" s="3" t="s">
        <v>231</v>
      </c>
      <c r="E33" s="3" t="s">
        <v>9</v>
      </c>
      <c r="F33" s="12" t="s">
        <v>232</v>
      </c>
      <c r="G33" s="3"/>
      <c r="H33" s="3" t="s">
        <v>10</v>
      </c>
      <c r="I33" s="3" t="s">
        <v>298</v>
      </c>
      <c r="J33" s="6" t="str">
        <f t="shared" ref="J33:J64" si="1">CONCATENATE("INSERT INTO CHB_DATACHECK_CONDITION_INV VALUES ('",A33,"','",B33,"','",C33,"','",I33,"','",E33,"','",F33,"','",G33,"','",H33,"');")</f>
        <v>INSERT INTO CHB_DATACHECK_CONDITION_INV VALUES ('784807E5-DF90-D920-E150-007F010077FD','884807E5-DF91-D920-E150-007F010077FD','inArray','repAssetType','==','1701,1702,1703,1704,1705,1706','','E');</v>
      </c>
    </row>
    <row r="34" spans="1:10" x14ac:dyDescent="0.15">
      <c r="A34" s="3" t="s">
        <v>441</v>
      </c>
      <c r="B34" s="3" t="s">
        <v>345</v>
      </c>
      <c r="C34" s="3" t="s">
        <v>154</v>
      </c>
      <c r="D34" s="3" t="s">
        <v>231</v>
      </c>
      <c r="E34" s="3" t="s">
        <v>9</v>
      </c>
      <c r="F34" s="12" t="s">
        <v>232</v>
      </c>
      <c r="G34" s="3"/>
      <c r="H34" s="3" t="s">
        <v>541</v>
      </c>
      <c r="I34" s="3" t="s">
        <v>298</v>
      </c>
      <c r="J34" s="6" t="str">
        <f t="shared" si="1"/>
        <v>INSERT INTO CHB_DATACHECK_CONDITION_INV VALUES ('784807E5-DF92-D920-E150-007F010077FD','884807E5-DF93-D920-E150-007F010077FD','inArray','repAssetType','==','1701,1702,1703,1704,1705,1706','','D');</v>
      </c>
    </row>
    <row r="35" spans="1:10" x14ac:dyDescent="0.15">
      <c r="A35" s="3" t="s">
        <v>442</v>
      </c>
      <c r="B35" s="3" t="s">
        <v>346</v>
      </c>
      <c r="C35" s="3" t="s">
        <v>154</v>
      </c>
      <c r="D35" s="3" t="s">
        <v>231</v>
      </c>
      <c r="E35" s="3" t="s">
        <v>9</v>
      </c>
      <c r="F35" s="12" t="s">
        <v>235</v>
      </c>
      <c r="G35" s="3"/>
      <c r="H35" s="3" t="s">
        <v>541</v>
      </c>
      <c r="I35" s="3" t="s">
        <v>299</v>
      </c>
      <c r="J35" s="6" t="str">
        <f t="shared" si="1"/>
        <v>INSERT INTO CHB_DATACHECK_CONDITION_INV VALUES ('784807E5-DF92-D920-E150-007F610077FD','884807E5-DF93-D920-E150-007F030077FD','inArray','repAssetType','==','2801,2802,2803,2804,2805,2806,2899','','D');</v>
      </c>
    </row>
    <row r="36" spans="1:10" x14ac:dyDescent="0.15">
      <c r="A36" s="3" t="s">
        <v>443</v>
      </c>
      <c r="B36" s="3" t="s">
        <v>347</v>
      </c>
      <c r="C36" s="3" t="s">
        <v>154</v>
      </c>
      <c r="D36" s="3" t="s">
        <v>231</v>
      </c>
      <c r="E36" s="3" t="s">
        <v>9</v>
      </c>
      <c r="F36" s="12" t="s">
        <v>235</v>
      </c>
      <c r="G36" s="3"/>
      <c r="H36" s="3" t="s">
        <v>541</v>
      </c>
      <c r="I36" s="3" t="s">
        <v>298</v>
      </c>
      <c r="J36" s="6" t="str">
        <f t="shared" si="1"/>
        <v>INSERT INTO CHB_DATACHECK_CONDITION_INV VALUES ('784807E5-DF92-D920-E150-107F610077FD','884807E5-DF93-D920-E150-107F010077FD','inArray','repAssetType','==','2801,2802,2803,2804,2805,2806,2899','','D');</v>
      </c>
    </row>
    <row r="37" spans="1:10" x14ac:dyDescent="0.15">
      <c r="A37" s="3" t="s">
        <v>444</v>
      </c>
      <c r="B37" s="3" t="s">
        <v>348</v>
      </c>
      <c r="C37" s="3" t="s">
        <v>154</v>
      </c>
      <c r="D37" s="3" t="s">
        <v>231</v>
      </c>
      <c r="E37" s="3" t="s">
        <v>9</v>
      </c>
      <c r="F37" s="12" t="s">
        <v>232</v>
      </c>
      <c r="G37" s="3"/>
      <c r="H37" s="3" t="s">
        <v>541</v>
      </c>
      <c r="I37" s="3" t="s">
        <v>298</v>
      </c>
      <c r="J37" s="6" t="str">
        <f t="shared" si="1"/>
        <v>INSERT INTO CHB_DATACHECK_CONDITION_INV VALUES ('784807E5-DF92-D920-E150-107F010077FD','884807E5-DF93-D920-E150-107F030077FD','inArray','repAssetType','==','1701,1702,1703,1704,1705,1706','','D');</v>
      </c>
    </row>
    <row r="38" spans="1:10" x14ac:dyDescent="0.15">
      <c r="A38" s="3" t="s">
        <v>445</v>
      </c>
      <c r="B38" s="3" t="s">
        <v>401</v>
      </c>
      <c r="C38" s="3" t="s">
        <v>154</v>
      </c>
      <c r="D38" s="3" t="s">
        <v>231</v>
      </c>
      <c r="E38" s="3" t="s">
        <v>9</v>
      </c>
      <c r="F38" s="12" t="s">
        <v>232</v>
      </c>
      <c r="G38" s="3"/>
      <c r="H38" s="3" t="s">
        <v>541</v>
      </c>
      <c r="I38" s="3" t="s">
        <v>299</v>
      </c>
      <c r="J38" s="6" t="str">
        <f t="shared" si="1"/>
        <v>INSERT INTO CHB_DATACHECK_CONDITION_INV VALUES ('784807E5-DF93-D920-E150-007F010077FD','884807E5-DF95-D920-E150-007F010077FD','inArray','repAssetType','==','1701,1702,1703,1704,1705,1706','','D');</v>
      </c>
    </row>
    <row r="39" spans="1:10" x14ac:dyDescent="0.15">
      <c r="A39" s="3" t="s">
        <v>446</v>
      </c>
      <c r="B39" s="3" t="s">
        <v>402</v>
      </c>
      <c r="C39" s="3" t="s">
        <v>154</v>
      </c>
      <c r="D39" s="3" t="s">
        <v>231</v>
      </c>
      <c r="E39" s="3" t="s">
        <v>9</v>
      </c>
      <c r="F39" s="12" t="s">
        <v>235</v>
      </c>
      <c r="G39" s="3"/>
      <c r="H39" s="3" t="s">
        <v>541</v>
      </c>
      <c r="I39" s="3" t="s">
        <v>298</v>
      </c>
      <c r="J39" s="6" t="str">
        <f t="shared" si="1"/>
        <v>INSERT INTO CHB_DATACHECK_CONDITION_INV VALUES ('784807E5-DF92-D920-E150-007F610677FD','884807E5-DF95-D920-E150-007F710077FD','inArray','repAssetType','==','2801,2802,2803,2804,2805,2806,2899','','D');</v>
      </c>
    </row>
    <row r="40" spans="1:10" x14ac:dyDescent="0.15">
      <c r="A40" s="3" t="s">
        <v>447</v>
      </c>
      <c r="B40" s="3" t="s">
        <v>403</v>
      </c>
      <c r="C40" s="3" t="s">
        <v>154</v>
      </c>
      <c r="D40" s="3" t="s">
        <v>231</v>
      </c>
      <c r="E40" s="3" t="s">
        <v>9</v>
      </c>
      <c r="F40" s="12" t="s">
        <v>235</v>
      </c>
      <c r="G40" s="3"/>
      <c r="H40" s="3" t="s">
        <v>541</v>
      </c>
      <c r="I40" s="3" t="s">
        <v>299</v>
      </c>
      <c r="J40" s="6" t="str">
        <f t="shared" si="1"/>
        <v>INSERT INTO CHB_DATACHECK_CONDITION_INV VALUES ('784807E5-DF92-D920-E150-107F610677FD','884807E5-DF95-D920-E150-107F010077FD','inArray','repAssetType','==','2801,2802,2803,2804,2805,2806,2899','','D');</v>
      </c>
    </row>
    <row r="41" spans="1:10" x14ac:dyDescent="0.15">
      <c r="A41" s="3" t="s">
        <v>448</v>
      </c>
      <c r="B41" s="3" t="s">
        <v>404</v>
      </c>
      <c r="C41" s="3" t="s">
        <v>154</v>
      </c>
      <c r="D41" s="3" t="s">
        <v>231</v>
      </c>
      <c r="E41" s="3" t="s">
        <v>9</v>
      </c>
      <c r="F41" s="12" t="s">
        <v>232</v>
      </c>
      <c r="G41" s="3"/>
      <c r="H41" s="3" t="s">
        <v>541</v>
      </c>
      <c r="I41" s="3" t="s">
        <v>299</v>
      </c>
      <c r="J41" s="6" t="str">
        <f t="shared" si="1"/>
        <v>INSERT INTO CHB_DATACHECK_CONDITION_INV VALUES ('784807E5-DF93-D920-E150-107F010077FD','884807E5-DF95-D920-E150-107F710077FD','inArray','repAssetType','==','1701,1702,1703,1704,1705,1706','','D');</v>
      </c>
    </row>
    <row r="42" spans="1:10" x14ac:dyDescent="0.15">
      <c r="A42" s="3" t="s">
        <v>449</v>
      </c>
      <c r="B42" s="3" t="s">
        <v>389</v>
      </c>
      <c r="C42" s="3" t="s">
        <v>154</v>
      </c>
      <c r="D42" s="3" t="s">
        <v>231</v>
      </c>
      <c r="E42" s="3" t="s">
        <v>9</v>
      </c>
      <c r="F42" s="12" t="s">
        <v>232</v>
      </c>
      <c r="G42" s="3"/>
      <c r="H42" s="3" t="s">
        <v>541</v>
      </c>
      <c r="I42" s="3" t="s">
        <v>299</v>
      </c>
      <c r="J42" s="6" t="str">
        <f t="shared" si="1"/>
        <v>INSERT INTO CHB_DATACHECK_CONDITION_INV VALUES ('784807E5-DF94-D920-E150-007F010077FD','884807E5-DF97-D920-E150-007F010077FD','inArray','repAssetType','==','1701,1702,1703,1704,1705,1706','','D');</v>
      </c>
    </row>
    <row r="43" spans="1:10" x14ac:dyDescent="0.15">
      <c r="A43" s="3" t="s">
        <v>450</v>
      </c>
      <c r="B43" s="3" t="s">
        <v>390</v>
      </c>
      <c r="C43" s="3" t="s">
        <v>154</v>
      </c>
      <c r="D43" s="3" t="s">
        <v>231</v>
      </c>
      <c r="E43" s="3" t="s">
        <v>9</v>
      </c>
      <c r="F43" s="12" t="s">
        <v>235</v>
      </c>
      <c r="G43" s="3"/>
      <c r="H43" s="3" t="s">
        <v>541</v>
      </c>
      <c r="I43" s="3" t="s">
        <v>299</v>
      </c>
      <c r="J43" s="6" t="str">
        <f t="shared" si="1"/>
        <v>INSERT INTO CHB_DATACHECK_CONDITION_INV VALUES ('784807E5-DF92-D920-E150-007F910077FD','884807E5-DF97-D920-E150-007F910077FD','inArray','repAssetType','==','2801,2802,2803,2804,2805,2806,2899','','D');</v>
      </c>
    </row>
    <row r="44" spans="1:10" x14ac:dyDescent="0.15">
      <c r="A44" s="3" t="s">
        <v>451</v>
      </c>
      <c r="B44" s="3" t="s">
        <v>391</v>
      </c>
      <c r="C44" s="3" t="s">
        <v>154</v>
      </c>
      <c r="D44" s="3" t="s">
        <v>231</v>
      </c>
      <c r="E44" s="3" t="s">
        <v>9</v>
      </c>
      <c r="F44" s="12" t="s">
        <v>232</v>
      </c>
      <c r="G44" s="3"/>
      <c r="H44" s="3" t="s">
        <v>541</v>
      </c>
      <c r="I44" s="3" t="s">
        <v>299</v>
      </c>
      <c r="J44" s="6" t="str">
        <f t="shared" si="1"/>
        <v>INSERT INTO CHB_DATACHECK_CONDITION_INV VALUES ('784807E5-DF94-D920-E150-107F010077FD','884807E5-DF97-D920-E150-107F010077FD','inArray','repAssetType','==','1701,1702,1703,1704,1705,1706','','D');</v>
      </c>
    </row>
    <row r="45" spans="1:10" x14ac:dyDescent="0.15">
      <c r="A45" s="3" t="s">
        <v>452</v>
      </c>
      <c r="B45" s="3" t="s">
        <v>392</v>
      </c>
      <c r="C45" s="3" t="s">
        <v>154</v>
      </c>
      <c r="D45" s="3" t="s">
        <v>231</v>
      </c>
      <c r="E45" s="3" t="s">
        <v>9</v>
      </c>
      <c r="F45" s="12" t="s">
        <v>235</v>
      </c>
      <c r="G45" s="3"/>
      <c r="H45" s="3" t="s">
        <v>541</v>
      </c>
      <c r="I45" s="3" t="s">
        <v>298</v>
      </c>
      <c r="J45" s="6" t="str">
        <f t="shared" si="1"/>
        <v>INSERT INTO CHB_DATACHECK_CONDITION_INV VALUES ('784807E5-DF92-D920-E150-107F910077FD','884807E5-DF97-D920-E150-107F910077FD','inArray','repAssetType','==','2801,2802,2803,2804,2805,2806,2899','','D');</v>
      </c>
    </row>
    <row r="46" spans="1:10" x14ac:dyDescent="0.15">
      <c r="A46" s="3" t="s">
        <v>453</v>
      </c>
      <c r="B46" s="3" t="s">
        <v>304</v>
      </c>
      <c r="C46" s="3" t="s">
        <v>154</v>
      </c>
      <c r="D46" s="3" t="s">
        <v>231</v>
      </c>
      <c r="E46" s="3" t="s">
        <v>9</v>
      </c>
      <c r="F46" s="12" t="s">
        <v>232</v>
      </c>
      <c r="G46" s="3"/>
      <c r="H46" s="3" t="s">
        <v>541</v>
      </c>
      <c r="I46" s="3" t="s">
        <v>299</v>
      </c>
      <c r="J46" s="6" t="str">
        <f t="shared" si="1"/>
        <v>INSERT INTO CHB_DATACHECK_CONDITION_INV VALUES ('784807E5-DF95-D920-E150-007F010077FD','884807E5-DF99-D920-E150-007F010077FD','inArray','repAssetType','==','1701,1702,1703,1704,1705,1706','','D');</v>
      </c>
    </row>
    <row r="47" spans="1:10" x14ac:dyDescent="0.15">
      <c r="A47" s="3" t="s">
        <v>454</v>
      </c>
      <c r="B47" s="3" t="s">
        <v>305</v>
      </c>
      <c r="C47" s="3" t="s">
        <v>154</v>
      </c>
      <c r="D47" s="3" t="s">
        <v>231</v>
      </c>
      <c r="E47" s="3" t="s">
        <v>9</v>
      </c>
      <c r="F47" s="12" t="s">
        <v>235</v>
      </c>
      <c r="G47" s="3"/>
      <c r="H47" s="3" t="s">
        <v>541</v>
      </c>
      <c r="I47" s="3" t="s">
        <v>298</v>
      </c>
      <c r="J47" s="6" t="str">
        <f t="shared" si="1"/>
        <v>INSERT INTO CHB_DATACHECK_CONDITION_INV VALUES ('784807E5-DF92-D920-E150-007FD10077FD','884807E5-DF99-D920-E150-007FX10077FD','inArray','repAssetType','==','2801,2802,2803,2804,2805,2806,2899','','D');</v>
      </c>
    </row>
    <row r="48" spans="1:10" x14ac:dyDescent="0.15">
      <c r="A48" s="3" t="s">
        <v>455</v>
      </c>
      <c r="B48" s="3" t="s">
        <v>306</v>
      </c>
      <c r="C48" s="3" t="s">
        <v>154</v>
      </c>
      <c r="D48" s="3" t="s">
        <v>231</v>
      </c>
      <c r="E48" s="3" t="s">
        <v>9</v>
      </c>
      <c r="F48" s="12" t="s">
        <v>232</v>
      </c>
      <c r="G48" s="3"/>
      <c r="H48" s="3" t="s">
        <v>541</v>
      </c>
      <c r="I48" s="3" t="s">
        <v>299</v>
      </c>
      <c r="J48" s="6" t="str">
        <f t="shared" si="1"/>
        <v>INSERT INTO CHB_DATACHECK_CONDITION_INV VALUES ('784807E5-DF95-D920-E150-107F010077FD','884807E5-DF99-D920-E150-107F010077FD','inArray','repAssetType','==','1701,1702,1703,1704,1705,1706','','D');</v>
      </c>
    </row>
    <row r="49" spans="1:10" x14ac:dyDescent="0.15">
      <c r="A49" s="3" t="s">
        <v>456</v>
      </c>
      <c r="B49" s="3" t="s">
        <v>307</v>
      </c>
      <c r="C49" s="3" t="s">
        <v>154</v>
      </c>
      <c r="D49" s="3" t="s">
        <v>231</v>
      </c>
      <c r="E49" s="3" t="s">
        <v>9</v>
      </c>
      <c r="F49" s="12" t="s">
        <v>235</v>
      </c>
      <c r="G49" s="3"/>
      <c r="H49" s="3" t="s">
        <v>541</v>
      </c>
      <c r="I49" s="3" t="s">
        <v>298</v>
      </c>
      <c r="J49" s="6" t="str">
        <f t="shared" si="1"/>
        <v>INSERT INTO CHB_DATACHECK_CONDITION_INV VALUES ('784807E5-DF92-D920-E150-107FD10077FD','884807E5-DF99-D920-E150-107FX10077FD','inArray','repAssetType','==','2801,2802,2803,2804,2805,2806,2899','','D');</v>
      </c>
    </row>
    <row r="50" spans="1:10" x14ac:dyDescent="0.15">
      <c r="A50" s="3" t="s">
        <v>457</v>
      </c>
      <c r="B50" s="3" t="s">
        <v>357</v>
      </c>
      <c r="C50" s="3" t="s">
        <v>154</v>
      </c>
      <c r="D50" s="3" t="s">
        <v>231</v>
      </c>
      <c r="E50" s="3" t="s">
        <v>9</v>
      </c>
      <c r="F50" s="12" t="s">
        <v>232</v>
      </c>
      <c r="G50" s="3"/>
      <c r="H50" s="3" t="s">
        <v>541</v>
      </c>
      <c r="I50" s="3" t="s">
        <v>299</v>
      </c>
      <c r="J50" s="6" t="str">
        <f t="shared" si="1"/>
        <v>INSERT INTO CHB_DATACHECK_CONDITION_INV VALUES ('784807E5-DF96-D920-E150-007F010077FD','884807E5-DF9B-D920-E150-007F010077FD','inArray','repAssetType','==','1701,1702,1703,1704,1705,1706','','D');</v>
      </c>
    </row>
    <row r="51" spans="1:10" x14ac:dyDescent="0.15">
      <c r="A51" s="3" t="s">
        <v>458</v>
      </c>
      <c r="B51" s="3" t="s">
        <v>358</v>
      </c>
      <c r="C51" s="3" t="s">
        <v>154</v>
      </c>
      <c r="D51" s="3" t="s">
        <v>231</v>
      </c>
      <c r="E51" s="3" t="s">
        <v>9</v>
      </c>
      <c r="F51" s="12" t="s">
        <v>232</v>
      </c>
      <c r="G51" s="3"/>
      <c r="H51" s="3" t="s">
        <v>541</v>
      </c>
      <c r="I51" s="3" t="s">
        <v>299</v>
      </c>
      <c r="J51" s="6" t="str">
        <f t="shared" si="1"/>
        <v>INSERT INTO CHB_DATACHECK_CONDITION_INV VALUES ('784807E5-DF96-D920-E150-107F010077FD','884807E5-DF9B-D920-E150-107F010077FD','inArray','repAssetType','==','1701,1702,1703,1704,1705,1706','','D');</v>
      </c>
    </row>
    <row r="52" spans="1:10" x14ac:dyDescent="0.15">
      <c r="A52" s="3" t="s">
        <v>459</v>
      </c>
      <c r="B52" s="3" t="s">
        <v>359</v>
      </c>
      <c r="C52" s="3" t="s">
        <v>154</v>
      </c>
      <c r="D52" s="3" t="s">
        <v>231</v>
      </c>
      <c r="E52" s="3" t="s">
        <v>9</v>
      </c>
      <c r="F52" s="12" t="s">
        <v>235</v>
      </c>
      <c r="G52" s="3"/>
      <c r="H52" s="3" t="s">
        <v>541</v>
      </c>
      <c r="I52" s="3" t="s">
        <v>298</v>
      </c>
      <c r="J52" s="6" t="str">
        <f t="shared" si="1"/>
        <v>INSERT INTO CHB_DATACHECK_CONDITION_INV VALUES ('784807E5-DF92-D920-E150-007FV10077FD','884807E5-DF9B-D922-E150-007F010077FD','inArray','repAssetType','==','2801,2802,2803,2804,2805,2806,2899','','D');</v>
      </c>
    </row>
    <row r="53" spans="1:10" x14ac:dyDescent="0.15">
      <c r="A53" s="3" t="s">
        <v>460</v>
      </c>
      <c r="B53" s="3" t="s">
        <v>360</v>
      </c>
      <c r="C53" s="3" t="s">
        <v>154</v>
      </c>
      <c r="D53" s="3" t="s">
        <v>231</v>
      </c>
      <c r="E53" s="3" t="s">
        <v>9</v>
      </c>
      <c r="F53" s="12" t="s">
        <v>235</v>
      </c>
      <c r="G53" s="3"/>
      <c r="H53" s="3" t="s">
        <v>541</v>
      </c>
      <c r="I53" s="3" t="s">
        <v>298</v>
      </c>
      <c r="J53" s="6" t="str">
        <f t="shared" si="1"/>
        <v>INSERT INTO CHB_DATACHECK_CONDITION_INV VALUES ('784807E5-DF92-D920-E150-107FV10077FD','884807E5-DF9B-D922-E150-107F010077FD','inArray','repAssetType','==','2801,2802,2803,2804,2805,2806,2899','','D');</v>
      </c>
    </row>
    <row r="54" spans="1:10" x14ac:dyDescent="0.15">
      <c r="A54" s="3" t="s">
        <v>461</v>
      </c>
      <c r="B54" s="3" t="s">
        <v>375</v>
      </c>
      <c r="C54" s="3" t="s">
        <v>154</v>
      </c>
      <c r="D54" s="3" t="s">
        <v>231</v>
      </c>
      <c r="E54" s="3" t="s">
        <v>9</v>
      </c>
      <c r="F54" s="12" t="s">
        <v>232</v>
      </c>
      <c r="G54" s="3"/>
      <c r="H54" s="3" t="s">
        <v>10</v>
      </c>
      <c r="I54" s="3" t="s">
        <v>299</v>
      </c>
      <c r="J54" s="6" t="str">
        <f t="shared" si="1"/>
        <v>INSERT INTO CHB_DATACHECK_CONDITION_INV VALUES ('775807E5-DF98-D920-E150-007F010077FD','884807E5-DF9E-D920-E150-007F010077FD','inArray','repAssetType','==','1701,1702,1703,1704,1705,1706','','E');</v>
      </c>
    </row>
    <row r="55" spans="1:10" x14ac:dyDescent="0.15">
      <c r="A55" s="3" t="s">
        <v>462</v>
      </c>
      <c r="B55" s="3" t="s">
        <v>376</v>
      </c>
      <c r="C55" s="3" t="s">
        <v>154</v>
      </c>
      <c r="D55" s="3" t="s">
        <v>231</v>
      </c>
      <c r="E55" s="3" t="s">
        <v>9</v>
      </c>
      <c r="F55" s="12" t="s">
        <v>232</v>
      </c>
      <c r="G55" s="3"/>
      <c r="H55" s="3" t="s">
        <v>10</v>
      </c>
      <c r="I55" s="3" t="s">
        <v>298</v>
      </c>
      <c r="J55" s="6" t="str">
        <f t="shared" si="1"/>
        <v>INSERT INTO CHB_DATACHECK_CONDITION_INV VALUES ('775807E5-DF99-D920-E150-007F010077FD','884807E5-DF9F-D920-E150-007F010077FD','inArray','repAssetType','==','1701,1702,1703,1704,1705,1706','','E');</v>
      </c>
    </row>
    <row r="56" spans="1:10" x14ac:dyDescent="0.15">
      <c r="A56" s="3" t="s">
        <v>463</v>
      </c>
      <c r="B56" s="3" t="s">
        <v>377</v>
      </c>
      <c r="C56" s="3" t="s">
        <v>154</v>
      </c>
      <c r="D56" s="3" t="s">
        <v>231</v>
      </c>
      <c r="E56" s="3" t="s">
        <v>9</v>
      </c>
      <c r="F56" s="12" t="s">
        <v>232</v>
      </c>
      <c r="G56" s="3"/>
      <c r="H56" s="3" t="s">
        <v>10</v>
      </c>
      <c r="I56" s="3" t="s">
        <v>298</v>
      </c>
      <c r="J56" s="6" t="str">
        <f t="shared" si="1"/>
        <v>INSERT INTO CHB_DATACHECK_CONDITION_INV VALUES ('767807E5-DF9A-D920-E150-007F010077FD','884807E5-DFA0-D920-E150-007F010077FD','inArray','repAssetType','==','1701,1702,1703,1704,1705,1706','','E');</v>
      </c>
    </row>
    <row r="57" spans="1:10" x14ac:dyDescent="0.15">
      <c r="A57" s="3" t="s">
        <v>464</v>
      </c>
      <c r="B57" s="3" t="s">
        <v>378</v>
      </c>
      <c r="C57" s="3" t="s">
        <v>154</v>
      </c>
      <c r="D57" s="3" t="s">
        <v>231</v>
      </c>
      <c r="E57" s="3" t="s">
        <v>9</v>
      </c>
      <c r="F57" s="12" t="s">
        <v>232</v>
      </c>
      <c r="G57" s="3"/>
      <c r="H57" s="3" t="s">
        <v>10</v>
      </c>
      <c r="I57" s="3" t="s">
        <v>299</v>
      </c>
      <c r="J57" s="6" t="str">
        <f t="shared" si="1"/>
        <v>INSERT INTO CHB_DATACHECK_CONDITION_INV VALUES ('773807E5-DFA0-D920-E150-007F010077FD','884807E5-DFA1-D920-E150-007F010077FD','inArray','repAssetType','==','1701,1702,1703,1704,1705,1706','','E');</v>
      </c>
    </row>
    <row r="58" spans="1:10" x14ac:dyDescent="0.15">
      <c r="A58" s="3" t="s">
        <v>465</v>
      </c>
      <c r="B58" s="3" t="s">
        <v>379</v>
      </c>
      <c r="C58" s="3" t="s">
        <v>154</v>
      </c>
      <c r="D58" s="3" t="s">
        <v>231</v>
      </c>
      <c r="E58" s="3" t="s">
        <v>9</v>
      </c>
      <c r="F58" s="12" t="s">
        <v>232</v>
      </c>
      <c r="G58" s="3"/>
      <c r="H58" s="3" t="s">
        <v>10</v>
      </c>
      <c r="I58" s="3" t="s">
        <v>299</v>
      </c>
      <c r="J58" s="6" t="str">
        <f t="shared" si="1"/>
        <v>INSERT INTO CHB_DATACHECK_CONDITION_INV VALUES ('776807E5-DFA1-D920-E150-007F010077FD','884807E5-DFA2-D920-E150-007F010077FD','inArray','repAssetType','==','1701,1702,1703,1704,1705,1706','','E');</v>
      </c>
    </row>
    <row r="59" spans="1:10" x14ac:dyDescent="0.15">
      <c r="A59" s="3" t="s">
        <v>466</v>
      </c>
      <c r="B59" s="3" t="s">
        <v>382</v>
      </c>
      <c r="C59" s="3" t="s">
        <v>147</v>
      </c>
      <c r="D59" s="3" t="s">
        <v>186</v>
      </c>
      <c r="E59" s="3" t="s">
        <v>237</v>
      </c>
      <c r="F59" s="3" t="s">
        <v>16</v>
      </c>
      <c r="G59" s="3" t="s">
        <v>239</v>
      </c>
      <c r="H59" s="3" t="s">
        <v>10</v>
      </c>
      <c r="I59" s="13" t="s">
        <v>111</v>
      </c>
      <c r="J59" s="6" t="str">
        <f t="shared" si="1"/>
        <v>INSERT INTO CHB_DATACHECK_CONDITION_INV VALUES ('784807E5-DF9A-D920-E150-117F010077FD','443E4A49-6810-5A9E-E150-117F01006A13','compareValueAsNumber','bussRepOutInvestAgrInfo.repTradeSumRate','&gt;','0','当交易相关合计费率不为0时','E');</v>
      </c>
    </row>
    <row r="60" spans="1:10" x14ac:dyDescent="0.15">
      <c r="A60" s="3" t="s">
        <v>467</v>
      </c>
      <c r="B60" s="3" t="s">
        <v>377</v>
      </c>
      <c r="C60" s="3" t="s">
        <v>147</v>
      </c>
      <c r="D60" s="3" t="s">
        <v>186</v>
      </c>
      <c r="E60" s="3" t="s">
        <v>237</v>
      </c>
      <c r="F60" s="3" t="s">
        <v>16</v>
      </c>
      <c r="G60" s="3" t="s">
        <v>239</v>
      </c>
      <c r="H60" s="3" t="s">
        <v>10</v>
      </c>
      <c r="I60" s="13" t="s">
        <v>79</v>
      </c>
      <c r="J60" s="6" t="str">
        <f t="shared" si="1"/>
        <v>INSERT INTO CHB_DATACHECK_CONDITION_INV VALUES ('784807E5-DF9A-D920-E150-007F010077FD','884807E5-DFA0-D920-E150-007F010077FD','compareValueAsNumber','bussRepAssetMngProdInfo.repTradeFeeRate','&gt;','0','当交易相关合计费率不为0时','E');</v>
      </c>
    </row>
    <row r="61" spans="1:10" x14ac:dyDescent="0.15">
      <c r="A61" s="3" t="s">
        <v>468</v>
      </c>
      <c r="B61" s="3" t="s">
        <v>384</v>
      </c>
      <c r="C61" s="3" t="s">
        <v>147</v>
      </c>
      <c r="D61" s="3" t="s">
        <v>192</v>
      </c>
      <c r="E61" s="3" t="s">
        <v>237</v>
      </c>
      <c r="F61" s="3" t="s">
        <v>16</v>
      </c>
      <c r="G61" s="3" t="s">
        <v>242</v>
      </c>
      <c r="H61" s="3" t="s">
        <v>10</v>
      </c>
      <c r="I61" s="13" t="s">
        <v>113</v>
      </c>
      <c r="J61" s="6" t="str">
        <f t="shared" si="1"/>
        <v>INSERT INTO CHB_DATACHECK_CONDITION_INV VALUES ('784807E5-DFA1-D920-E150-117F010077FD','884807E5-DF7A-D920-E150-117F010077FD','compareValueAsNumber','bussRepOutInvestAgrInfo.repOtherSumRate','&gt;','0','当其他合计费率不为0时','E');</v>
      </c>
    </row>
    <row r="62" spans="1:10" x14ac:dyDescent="0.15">
      <c r="A62" s="3" t="s">
        <v>469</v>
      </c>
      <c r="B62" s="3" t="s">
        <v>379</v>
      </c>
      <c r="C62" s="3" t="s">
        <v>147</v>
      </c>
      <c r="D62" s="3" t="s">
        <v>192</v>
      </c>
      <c r="E62" s="3" t="s">
        <v>237</v>
      </c>
      <c r="F62" s="3" t="s">
        <v>16</v>
      </c>
      <c r="G62" s="3" t="s">
        <v>242</v>
      </c>
      <c r="H62" s="3" t="s">
        <v>10</v>
      </c>
      <c r="I62" s="13" t="s">
        <v>81</v>
      </c>
      <c r="J62" s="6" t="str">
        <f t="shared" si="1"/>
        <v>INSERT INTO CHB_DATACHECK_CONDITION_INV VALUES ('784807E5-DFA1-D920-E150-007F010077FD','884807E5-DFA2-D920-E150-007F010077FD','compareValueAsNumber','bussRepAssetMngProdInfo.repOtherFeeRate','&gt;','0','当其他合计费率不为0时','E');</v>
      </c>
    </row>
    <row r="63" spans="1:10" x14ac:dyDescent="0.15">
      <c r="A63" s="3" t="s">
        <v>470</v>
      </c>
      <c r="B63" s="3" t="s">
        <v>381</v>
      </c>
      <c r="C63" s="3" t="s">
        <v>147</v>
      </c>
      <c r="D63" s="3" t="s">
        <v>183</v>
      </c>
      <c r="E63" s="3" t="s">
        <v>237</v>
      </c>
      <c r="F63" s="3" t="s">
        <v>16</v>
      </c>
      <c r="G63" s="3" t="s">
        <v>238</v>
      </c>
      <c r="H63" s="3" t="s">
        <v>10</v>
      </c>
      <c r="I63" s="13" t="s">
        <v>110</v>
      </c>
      <c r="J63" s="6" t="str">
        <f t="shared" si="1"/>
        <v>INSERT INTO CHB_DATACHECK_CONDITION_INV VALUES ('784807E5-DF99-D920-E150-117F010077FD','884807E5-DF1E-D920-E150-117F010077FD','compareValueAsNumber','bussRepOutInvestAgrInfo.repTrustRate','&gt;','0','当托管费率不为0时','E');</v>
      </c>
    </row>
    <row r="64" spans="1:10" x14ac:dyDescent="0.15">
      <c r="A64" s="3" t="s">
        <v>471</v>
      </c>
      <c r="B64" s="3" t="s">
        <v>495</v>
      </c>
      <c r="C64" s="3" t="s">
        <v>23</v>
      </c>
      <c r="D64" s="3" t="s">
        <v>135</v>
      </c>
      <c r="E64" s="3" t="s">
        <v>9</v>
      </c>
      <c r="F64" s="3" t="s">
        <v>236</v>
      </c>
      <c r="G64" s="3" t="s">
        <v>244</v>
      </c>
      <c r="H64" s="3" t="s">
        <v>541</v>
      </c>
      <c r="I64" s="3" t="s">
        <v>300</v>
      </c>
      <c r="J64" s="6" t="str">
        <f t="shared" si="1"/>
        <v>INSERT INTO CHB_DATACHECK_CONDITION_INV VALUES ('784807E5-DF8E-D920-E150-007F010077FD','884807E5-DF8F-D920-E150-007F010077FD','compareValue','bussRepAssetMngProdInfo.repYieldFlag','==','02','是否有预期收益率为否','D');</v>
      </c>
    </row>
    <row r="65" spans="1:10" x14ac:dyDescent="0.15">
      <c r="A65" s="3" t="s">
        <v>472</v>
      </c>
      <c r="B65" s="3" t="s">
        <v>496</v>
      </c>
      <c r="C65" s="3" t="s">
        <v>23</v>
      </c>
      <c r="D65" s="3" t="s">
        <v>135</v>
      </c>
      <c r="E65" s="3" t="s">
        <v>9</v>
      </c>
      <c r="F65" s="3" t="s">
        <v>236</v>
      </c>
      <c r="G65" s="3" t="s">
        <v>244</v>
      </c>
      <c r="H65" s="3" t="s">
        <v>541</v>
      </c>
      <c r="I65" s="3" t="s">
        <v>301</v>
      </c>
      <c r="J65" s="6" t="str">
        <f t="shared" ref="J65:J76" si="2">CONCATENATE("INSERT INTO CHB_DATACHECK_CONDITION_INV VALUES ('",A65,"','",B65,"','",C65,"','",I65,"','",E65,"','",F65,"','",G65,"','",H65,"');")</f>
        <v>INSERT INTO CHB_DATACHECK_CONDITION_INV VALUES ('784807F5-DF8E-D920-E150-007F010077FD','884807E5-DF8F-D922-E150-007F010077FD','compareValue','bussRepOutInvestAgrInfo.repContainExpectedYield','==','02','是否有预期收益率为否','D');</v>
      </c>
    </row>
    <row r="66" spans="1:10" x14ac:dyDescent="0.15">
      <c r="A66" s="3" t="s">
        <v>473</v>
      </c>
      <c r="B66" s="3" t="s">
        <v>487</v>
      </c>
      <c r="C66" s="3" t="s">
        <v>23</v>
      </c>
      <c r="D66" s="3" t="s">
        <v>135</v>
      </c>
      <c r="E66" s="3" t="s">
        <v>9</v>
      </c>
      <c r="F66" s="3" t="s">
        <v>26</v>
      </c>
      <c r="G66" s="3" t="s">
        <v>243</v>
      </c>
      <c r="H66" s="3" t="s">
        <v>541</v>
      </c>
      <c r="I66" s="3" t="s">
        <v>300</v>
      </c>
      <c r="J66" s="6" t="str">
        <f t="shared" si="2"/>
        <v>INSERT INTO CHB_DATACHECK_CONDITION_INV VALUES ('784807E5-DF8C-D920-E150-007F010077FD','884807E5-DF8A-D920-E150-007F010077FD','compareValue','bussRepAssetMngProdInfo.repYieldFlag','==','01','是否有预期收益率为是','D');</v>
      </c>
    </row>
    <row r="67" spans="1:10" x14ac:dyDescent="0.15">
      <c r="A67" s="3" t="s">
        <v>474</v>
      </c>
      <c r="B67" s="3" t="s">
        <v>376</v>
      </c>
      <c r="C67" s="3" t="s">
        <v>147</v>
      </c>
      <c r="D67" s="3" t="s">
        <v>183</v>
      </c>
      <c r="E67" s="3" t="s">
        <v>237</v>
      </c>
      <c r="F67" s="3" t="s">
        <v>16</v>
      </c>
      <c r="G67" s="3" t="s">
        <v>238</v>
      </c>
      <c r="H67" s="3" t="s">
        <v>10</v>
      </c>
      <c r="I67" s="13" t="s">
        <v>78</v>
      </c>
      <c r="J67" s="6" t="str">
        <f t="shared" si="2"/>
        <v>INSERT INTO CHB_DATACHECK_CONDITION_INV VALUES ('784807E5-DF99-D920-E150-007F010077FD','884807E5-DF9F-D920-E150-007F010077FD','compareValueAsNumber','bussRepAssetMngProdInfo.repTruFeeRate','&gt;','0','当托管费率不为0时','E');</v>
      </c>
    </row>
    <row r="68" spans="1:10" x14ac:dyDescent="0.15">
      <c r="A68" s="3" t="s">
        <v>475</v>
      </c>
      <c r="B68" s="3" t="s">
        <v>383</v>
      </c>
      <c r="C68" s="3" t="s">
        <v>147</v>
      </c>
      <c r="D68" s="3" t="s">
        <v>189</v>
      </c>
      <c r="E68" s="3" t="s">
        <v>237</v>
      </c>
      <c r="F68" s="3" t="s">
        <v>16</v>
      </c>
      <c r="G68" s="3" t="s">
        <v>241</v>
      </c>
      <c r="H68" s="3" t="s">
        <v>10</v>
      </c>
      <c r="I68" s="13" t="s">
        <v>112</v>
      </c>
      <c r="J68" s="6" t="str">
        <f t="shared" si="2"/>
        <v>INSERT INTO CHB_DATACHECK_CONDITION_INV VALUES ('784807E5-DFA0-D920-E150-117F010077FD','884807E5-DF79-D920-E150-117F010077FD','compareValueAsNumber','bussRepOutInvestAgrInfo.repIntermediarySumRate','&gt;','0','当中介服务机构合计费率不为0时','E');</v>
      </c>
    </row>
    <row r="69" spans="1:10" x14ac:dyDescent="0.15">
      <c r="A69" s="3" t="s">
        <v>476</v>
      </c>
      <c r="B69" s="3" t="s">
        <v>378</v>
      </c>
      <c r="C69" s="3" t="s">
        <v>147</v>
      </c>
      <c r="D69" s="3" t="s">
        <v>189</v>
      </c>
      <c r="E69" s="3" t="s">
        <v>237</v>
      </c>
      <c r="F69" s="3" t="s">
        <v>16</v>
      </c>
      <c r="G69" s="3" t="s">
        <v>241</v>
      </c>
      <c r="H69" s="3" t="s">
        <v>10</v>
      </c>
      <c r="I69" s="13" t="s">
        <v>80</v>
      </c>
      <c r="J69" s="6" t="str">
        <f t="shared" si="2"/>
        <v>INSERT INTO CHB_DATACHECK_CONDITION_INV VALUES ('784807E5-DFA0-D920-E150-007F010077FD','884807E5-DFA1-D920-E150-007F010077FD','compareValueAsNumber','bussRepAssetMngProdInfo.repAgencyFeeRate','&gt;','0','当中介服务机构合计费率不为0时','E');</v>
      </c>
    </row>
    <row r="70" spans="1:10" x14ac:dyDescent="0.15">
      <c r="A70" s="3" t="s">
        <v>477</v>
      </c>
      <c r="B70" s="3" t="s">
        <v>380</v>
      </c>
      <c r="C70" s="3" t="s">
        <v>147</v>
      </c>
      <c r="D70" s="3" t="s">
        <v>179</v>
      </c>
      <c r="E70" s="3" t="s">
        <v>237</v>
      </c>
      <c r="F70" s="3" t="s">
        <v>16</v>
      </c>
      <c r="G70" s="3" t="s">
        <v>240</v>
      </c>
      <c r="H70" s="3" t="s">
        <v>10</v>
      </c>
      <c r="I70" s="13" t="s">
        <v>109</v>
      </c>
      <c r="J70" s="6" t="str">
        <f t="shared" si="2"/>
        <v>INSERT INTO CHB_DATACHECK_CONDITION_INV VALUES ('784807E5-DF98-D920-E150-117F010077FD','884807E5-DF35-D981-E151-117F01007914','compareValueAsNumber','bussRepOutInvestAgrInfo.repManagementRate','&gt;','0','管理费率不为0','E');</v>
      </c>
    </row>
    <row r="71" spans="1:10" x14ac:dyDescent="0.15">
      <c r="A71" s="3" t="s">
        <v>478</v>
      </c>
      <c r="B71" s="3" t="s">
        <v>375</v>
      </c>
      <c r="C71" s="3" t="s">
        <v>147</v>
      </c>
      <c r="D71" s="3" t="s">
        <v>179</v>
      </c>
      <c r="E71" s="3" t="s">
        <v>237</v>
      </c>
      <c r="F71" s="3" t="s">
        <v>16</v>
      </c>
      <c r="G71" s="3" t="s">
        <v>240</v>
      </c>
      <c r="H71" s="3" t="s">
        <v>10</v>
      </c>
      <c r="I71" s="13" t="s">
        <v>77</v>
      </c>
      <c r="J71" s="6" t="str">
        <f t="shared" si="2"/>
        <v>INSERT INTO CHB_DATACHECK_CONDITION_INV VALUES ('784807E5-DF98-D920-E150-007F010077FD','884807E5-DF9E-D920-E150-007F010077FD','compareValueAsNumber','bussRepAssetMngProdInfo.repMgrFeeRate','&gt;','0','管理费率不为0','E');</v>
      </c>
    </row>
    <row r="72" spans="1:10" x14ac:dyDescent="0.15">
      <c r="A72" s="3" t="s">
        <v>479</v>
      </c>
      <c r="B72" s="3" t="s">
        <v>497</v>
      </c>
      <c r="C72" s="3" t="s">
        <v>23</v>
      </c>
      <c r="D72" s="3" t="s">
        <v>135</v>
      </c>
      <c r="E72" s="3" t="s">
        <v>9</v>
      </c>
      <c r="F72" s="3" t="s">
        <v>236</v>
      </c>
      <c r="G72" s="3" t="s">
        <v>244</v>
      </c>
      <c r="H72" s="3" t="s">
        <v>541</v>
      </c>
      <c r="I72" s="3" t="s">
        <v>300</v>
      </c>
      <c r="J72" s="6" t="str">
        <f t="shared" si="2"/>
        <v>INSERT INTO CHB_DATACHECK_CONDITION_INV VALUES ('784807E5-DF8D-D920-E150-007F010077FD','884807E5-DF8C-D920-E150-007F010077FD','compareValue','bussRepAssetMngProdInfo.repYieldFlag','==','02','是否有预期收益率为否','D');</v>
      </c>
    </row>
    <row r="73" spans="1:10" x14ac:dyDescent="0.15">
      <c r="A73" s="3" t="s">
        <v>480</v>
      </c>
      <c r="B73" s="3" t="s">
        <v>494</v>
      </c>
      <c r="C73" s="3" t="s">
        <v>23</v>
      </c>
      <c r="D73" s="3" t="s">
        <v>135</v>
      </c>
      <c r="E73" s="3" t="s">
        <v>9</v>
      </c>
      <c r="F73" s="3" t="s">
        <v>26</v>
      </c>
      <c r="G73" s="3" t="s">
        <v>243</v>
      </c>
      <c r="H73" s="3" t="s">
        <v>541</v>
      </c>
      <c r="I73" s="3" t="s">
        <v>301</v>
      </c>
      <c r="J73" s="6" t="str">
        <f t="shared" si="2"/>
        <v>INSERT INTO CHB_DATACHECK_CONDITION_INV VALUES ('784707E5-DF8C-D920-E150-007F010077FD','884807E5-DF8A-D921-E150-007F010077FD','compareValue','bussRepOutInvestAgrInfo.repContainExpectedYield','==','01','是否有预期收益率为是','D');</v>
      </c>
    </row>
    <row r="74" spans="1:10" x14ac:dyDescent="0.15">
      <c r="A74" s="3" t="s">
        <v>481</v>
      </c>
      <c r="B74" s="3" t="s">
        <v>498</v>
      </c>
      <c r="C74" s="3" t="s">
        <v>23</v>
      </c>
      <c r="D74" s="3" t="s">
        <v>135</v>
      </c>
      <c r="E74" s="3" t="s">
        <v>9</v>
      </c>
      <c r="F74" s="3" t="s">
        <v>236</v>
      </c>
      <c r="G74" s="3" t="s">
        <v>244</v>
      </c>
      <c r="H74" s="3" t="s">
        <v>541</v>
      </c>
      <c r="I74" s="3" t="s">
        <v>301</v>
      </c>
      <c r="J74" s="6" t="str">
        <f t="shared" si="2"/>
        <v>INSERT INTO CHB_DATACHECK_CONDITION_INV VALUES ('784707E5-DF8D-D920-E150-007F010077FD','884807E5-DF8C-D921-E150-007F010077FD','compareValue','bussRepOutInvestAgrInfo.repContainExpectedYield','==','02','是否有预期收益率为否','D');</v>
      </c>
    </row>
    <row r="75" spans="1:10" x14ac:dyDescent="0.15">
      <c r="A75" s="3" t="s">
        <v>482</v>
      </c>
      <c r="B75" s="3" t="s">
        <v>374</v>
      </c>
      <c r="C75" s="3" t="s">
        <v>23</v>
      </c>
      <c r="D75" s="3" t="s">
        <v>161</v>
      </c>
      <c r="E75" s="3" t="s">
        <v>9</v>
      </c>
      <c r="F75" s="3" t="s">
        <v>24</v>
      </c>
      <c r="G75" s="3" t="s">
        <v>563</v>
      </c>
      <c r="H75" s="3" t="s">
        <v>10</v>
      </c>
      <c r="I75" s="3" t="s">
        <v>303</v>
      </c>
      <c r="J75" s="6" t="str">
        <f t="shared" si="2"/>
        <v>INSERT INTO CHB_DATACHECK_CONDITION_INV VALUES ('784807E5-DF97-D920-E150-007F010077FD','884807E5-DF9D-D920-E150-007F010077FD','compareValue','bussRepAssetMngProdInfo.repPlanProp','==','99','资管计划属性选择“99 其他”场合','E');</v>
      </c>
    </row>
    <row r="76" spans="1:10" s="27" customFormat="1" x14ac:dyDescent="0.15">
      <c r="A76" s="24" t="s">
        <v>560</v>
      </c>
      <c r="B76" s="24" t="s">
        <v>555</v>
      </c>
      <c r="C76" s="24" t="s">
        <v>23</v>
      </c>
      <c r="D76" s="24"/>
      <c r="E76" s="24" t="s">
        <v>9</v>
      </c>
      <c r="F76" s="24" t="s">
        <v>24</v>
      </c>
      <c r="G76" s="24" t="s">
        <v>564</v>
      </c>
      <c r="H76" s="24" t="s">
        <v>10</v>
      </c>
      <c r="I76" s="24" t="s">
        <v>562</v>
      </c>
      <c r="J76" s="25" t="str">
        <f t="shared" si="2"/>
        <v>INSERT INTO CHB_DATACHECK_CONDITION_INV VALUES ('284807E5-DF28-D920-E060-007F0100ZY27','284807E5-DF28-D920-E060-007F0100ZL27','compareValue','bussRepOutInvestAgrInfo.repTrustInvestAttribute','==','99','委外投资属性选择“99 其他”场合','E');</v>
      </c>
    </row>
  </sheetData>
  <autoFilter ref="A1:J76"/>
  <phoneticPr fontId="2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4"/>
  <sheetViews>
    <sheetView topLeftCell="B1" workbookViewId="0">
      <selection activeCell="D1" sqref="D1:D14"/>
    </sheetView>
  </sheetViews>
  <sheetFormatPr defaultRowHeight="13.5" x14ac:dyDescent="0.15"/>
  <cols>
    <col min="1" max="1" width="26.75" customWidth="1"/>
    <col min="2" max="2" width="21.125" customWidth="1"/>
    <col min="3" max="3" width="26" customWidth="1"/>
    <col min="4" max="4" width="96.5" customWidth="1"/>
  </cols>
  <sheetData>
    <row r="1" spans="1:4" x14ac:dyDescent="0.15">
      <c r="A1" s="4" t="s">
        <v>520</v>
      </c>
      <c r="B1" s="4" t="s">
        <v>521</v>
      </c>
      <c r="C1" s="4" t="s">
        <v>522</v>
      </c>
      <c r="D1" s="20" t="s">
        <v>528</v>
      </c>
    </row>
    <row r="2" spans="1:4" x14ac:dyDescent="0.15">
      <c r="A2" s="6" t="s">
        <v>525</v>
      </c>
      <c r="B2" s="21">
        <v>1701</v>
      </c>
      <c r="C2" s="6" t="s">
        <v>523</v>
      </c>
      <c r="D2" t="str">
        <f>CONCATENATE("insert into CHB_DATACHECK_REP_TYPE_INV values ('",A2,"','",B2,"','",C2,"');")</f>
        <v>insert into CHB_DATACHECK_REP_TYPE_INV values ('FinPlanProfitAsset002','1701','bussRepAssetMngProdInfo');</v>
      </c>
    </row>
    <row r="3" spans="1:4" x14ac:dyDescent="0.15">
      <c r="A3" s="6" t="s">
        <v>525</v>
      </c>
      <c r="B3" s="21">
        <v>1702</v>
      </c>
      <c r="C3" s="6" t="s">
        <v>523</v>
      </c>
      <c r="D3" t="str">
        <f t="shared" ref="D3:D14" si="0">CONCATENATE("insert into CHB_DATACHECK_REP_TYPE_INV values ('",A3,"','",B3,"','",C3,"');")</f>
        <v>insert into CHB_DATACHECK_REP_TYPE_INV values ('FinPlanProfitAsset002','1702','bussRepAssetMngProdInfo');</v>
      </c>
    </row>
    <row r="4" spans="1:4" x14ac:dyDescent="0.15">
      <c r="A4" s="6" t="s">
        <v>525</v>
      </c>
      <c r="B4" s="21">
        <v>1703</v>
      </c>
      <c r="C4" s="6" t="s">
        <v>523</v>
      </c>
      <c r="D4" t="str">
        <f t="shared" si="0"/>
        <v>insert into CHB_DATACHECK_REP_TYPE_INV values ('FinPlanProfitAsset002','1703','bussRepAssetMngProdInfo');</v>
      </c>
    </row>
    <row r="5" spans="1:4" x14ac:dyDescent="0.15">
      <c r="A5" s="6" t="s">
        <v>525</v>
      </c>
      <c r="B5" s="21">
        <v>1704</v>
      </c>
      <c r="C5" s="6" t="s">
        <v>523</v>
      </c>
      <c r="D5" t="str">
        <f t="shared" si="0"/>
        <v>insert into CHB_DATACHECK_REP_TYPE_INV values ('FinPlanProfitAsset002','1704','bussRepAssetMngProdInfo');</v>
      </c>
    </row>
    <row r="6" spans="1:4" x14ac:dyDescent="0.15">
      <c r="A6" s="6" t="s">
        <v>525</v>
      </c>
      <c r="B6" s="21">
        <v>1705</v>
      </c>
      <c r="C6" s="6" t="s">
        <v>523</v>
      </c>
      <c r="D6" t="str">
        <f t="shared" si="0"/>
        <v>insert into CHB_DATACHECK_REP_TYPE_INV values ('FinPlanProfitAsset002','1705','bussRepAssetMngProdInfo');</v>
      </c>
    </row>
    <row r="7" spans="1:4" x14ac:dyDescent="0.15">
      <c r="A7" s="6" t="s">
        <v>527</v>
      </c>
      <c r="B7" s="21">
        <v>1706</v>
      </c>
      <c r="C7" s="6" t="s">
        <v>523</v>
      </c>
      <c r="D7" t="str">
        <f t="shared" si="0"/>
        <v>insert into CHB_DATACHECK_REP_TYPE_INV values ('FinPlanProfitAsset002','1706','bussRepAssetMngProdInfo');</v>
      </c>
    </row>
    <row r="8" spans="1:4" x14ac:dyDescent="0.15">
      <c r="A8" s="6" t="s">
        <v>525</v>
      </c>
      <c r="B8" s="21">
        <v>2801</v>
      </c>
      <c r="C8" s="6" t="s">
        <v>524</v>
      </c>
      <c r="D8" t="str">
        <f t="shared" si="0"/>
        <v>insert into CHB_DATACHECK_REP_TYPE_INV values ('FinPlanProfitAsset002','2801','bussRepOutInvestAgrInfo');</v>
      </c>
    </row>
    <row r="9" spans="1:4" x14ac:dyDescent="0.15">
      <c r="A9" s="6" t="s">
        <v>525</v>
      </c>
      <c r="B9" s="21">
        <v>2802</v>
      </c>
      <c r="C9" s="6" t="s">
        <v>524</v>
      </c>
      <c r="D9" t="str">
        <f t="shared" si="0"/>
        <v>insert into CHB_DATACHECK_REP_TYPE_INV values ('FinPlanProfitAsset002','2802','bussRepOutInvestAgrInfo');</v>
      </c>
    </row>
    <row r="10" spans="1:4" x14ac:dyDescent="0.15">
      <c r="A10" s="6" t="s">
        <v>525</v>
      </c>
      <c r="B10" s="21">
        <v>2803</v>
      </c>
      <c r="C10" s="6" t="s">
        <v>524</v>
      </c>
      <c r="D10" t="str">
        <f t="shared" si="0"/>
        <v>insert into CHB_DATACHECK_REP_TYPE_INV values ('FinPlanProfitAsset002','2803','bussRepOutInvestAgrInfo');</v>
      </c>
    </row>
    <row r="11" spans="1:4" x14ac:dyDescent="0.15">
      <c r="A11" s="6" t="s">
        <v>525</v>
      </c>
      <c r="B11" s="21">
        <v>2804</v>
      </c>
      <c r="C11" s="6" t="s">
        <v>524</v>
      </c>
      <c r="D11" t="str">
        <f t="shared" si="0"/>
        <v>insert into CHB_DATACHECK_REP_TYPE_INV values ('FinPlanProfitAsset002','2804','bussRepOutInvestAgrInfo');</v>
      </c>
    </row>
    <row r="12" spans="1:4" x14ac:dyDescent="0.15">
      <c r="A12" s="6" t="s">
        <v>525</v>
      </c>
      <c r="B12" s="21">
        <v>2805</v>
      </c>
      <c r="C12" s="6" t="s">
        <v>524</v>
      </c>
      <c r="D12" t="str">
        <f t="shared" si="0"/>
        <v>insert into CHB_DATACHECK_REP_TYPE_INV values ('FinPlanProfitAsset002','2805','bussRepOutInvestAgrInfo');</v>
      </c>
    </row>
    <row r="13" spans="1:4" x14ac:dyDescent="0.15">
      <c r="A13" s="6" t="s">
        <v>525</v>
      </c>
      <c r="B13" s="21">
        <v>2806</v>
      </c>
      <c r="C13" s="6" t="s">
        <v>524</v>
      </c>
      <c r="D13" t="str">
        <f t="shared" si="0"/>
        <v>insert into CHB_DATACHECK_REP_TYPE_INV values ('FinPlanProfitAsset002','2806','bussRepOutInvestAgrInfo');</v>
      </c>
    </row>
    <row r="14" spans="1:4" x14ac:dyDescent="0.15">
      <c r="A14" s="6" t="s">
        <v>525</v>
      </c>
      <c r="B14" s="21">
        <v>2899</v>
      </c>
      <c r="C14" s="6" t="s">
        <v>524</v>
      </c>
      <c r="D14" t="str">
        <f t="shared" si="0"/>
        <v>insert into CHB_DATACHECK_REP_TYPE_INV values ('FinPlanProfitAsset002','2899','bussRepOutInvestAgrInfo');</v>
      </c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6"/>
  <sheetViews>
    <sheetView workbookViewId="0"/>
  </sheetViews>
  <sheetFormatPr defaultRowHeight="13.5" x14ac:dyDescent="0.15"/>
  <cols>
    <col min="1" max="1" width="57.625" customWidth="1"/>
    <col min="2" max="2" width="60.125" customWidth="1"/>
    <col min="3" max="3" width="37" customWidth="1"/>
  </cols>
  <sheetData>
    <row r="1" spans="1:3" x14ac:dyDescent="0.15">
      <c r="A1" t="s">
        <v>245</v>
      </c>
      <c r="B1" t="s">
        <v>88</v>
      </c>
      <c r="C1" t="s">
        <v>117</v>
      </c>
    </row>
    <row r="2" spans="1:3" x14ac:dyDescent="0.15">
      <c r="A2" t="s">
        <v>258</v>
      </c>
      <c r="B2" t="s">
        <v>40</v>
      </c>
      <c r="C2" t="s">
        <v>39</v>
      </c>
    </row>
    <row r="3" spans="1:3" x14ac:dyDescent="0.15">
      <c r="A3" t="s">
        <v>269</v>
      </c>
      <c r="B3" t="s">
        <v>118</v>
      </c>
      <c r="C3" t="s">
        <v>41</v>
      </c>
    </row>
    <row r="4" spans="1:3" x14ac:dyDescent="0.15">
      <c r="A4" t="s">
        <v>253</v>
      </c>
      <c r="B4" t="s">
        <v>43</v>
      </c>
      <c r="C4" t="s">
        <v>42</v>
      </c>
    </row>
    <row r="5" spans="1:3" x14ac:dyDescent="0.15">
      <c r="A5" t="s">
        <v>265</v>
      </c>
      <c r="B5" t="s">
        <v>90</v>
      </c>
      <c r="C5" t="s">
        <v>44</v>
      </c>
    </row>
    <row r="6" spans="1:3" x14ac:dyDescent="0.15">
      <c r="A6" t="s">
        <v>68</v>
      </c>
      <c r="B6" t="s">
        <v>46</v>
      </c>
      <c r="C6" t="s">
        <v>45</v>
      </c>
    </row>
    <row r="7" spans="1:3" x14ac:dyDescent="0.15">
      <c r="A7" t="s">
        <v>270</v>
      </c>
      <c r="B7" t="s">
        <v>47</v>
      </c>
      <c r="C7" t="s">
        <v>29</v>
      </c>
    </row>
    <row r="8" spans="1:3" x14ac:dyDescent="0.15">
      <c r="A8" t="s">
        <v>255</v>
      </c>
      <c r="B8" t="s">
        <v>119</v>
      </c>
      <c r="C8" t="s">
        <v>48</v>
      </c>
    </row>
    <row r="9" spans="1:3" x14ac:dyDescent="0.15">
      <c r="A9" t="s">
        <v>246</v>
      </c>
      <c r="B9" t="s">
        <v>120</v>
      </c>
      <c r="C9" t="s">
        <v>49</v>
      </c>
    </row>
    <row r="10" spans="1:3" x14ac:dyDescent="0.15">
      <c r="A10" t="s">
        <v>261</v>
      </c>
      <c r="B10" t="s">
        <v>51</v>
      </c>
      <c r="C10" t="s">
        <v>50</v>
      </c>
    </row>
    <row r="11" spans="1:3" x14ac:dyDescent="0.15">
      <c r="A11" t="s">
        <v>259</v>
      </c>
      <c r="B11" t="s">
        <v>121</v>
      </c>
      <c r="C11" t="s">
        <v>52</v>
      </c>
    </row>
    <row r="12" spans="1:3" x14ac:dyDescent="0.15">
      <c r="A12" t="s">
        <v>272</v>
      </c>
      <c r="B12" t="s">
        <v>122</v>
      </c>
      <c r="C12" t="s">
        <v>53</v>
      </c>
    </row>
    <row r="13" spans="1:3" x14ac:dyDescent="0.15">
      <c r="A13" t="s">
        <v>264</v>
      </c>
      <c r="B13" t="s">
        <v>123</v>
      </c>
      <c r="C13" t="s">
        <v>54</v>
      </c>
    </row>
    <row r="14" spans="1:3" s="8" customFormat="1" x14ac:dyDescent="0.15">
      <c r="A14" s="8" t="s">
        <v>76</v>
      </c>
      <c r="B14" s="8" t="s">
        <v>124</v>
      </c>
    </row>
    <row r="15" spans="1:3" x14ac:dyDescent="0.15">
      <c r="A15" t="s">
        <v>263</v>
      </c>
      <c r="B15" t="s">
        <v>94</v>
      </c>
      <c r="C15" t="s">
        <v>55</v>
      </c>
    </row>
    <row r="16" spans="1:3" x14ac:dyDescent="0.15">
      <c r="A16" t="s">
        <v>279</v>
      </c>
      <c r="B16" t="s">
        <v>125</v>
      </c>
      <c r="C16" t="s">
        <v>56</v>
      </c>
    </row>
    <row r="17" spans="1:3" x14ac:dyDescent="0.15">
      <c r="A17" t="s">
        <v>277</v>
      </c>
      <c r="B17" t="s">
        <v>126</v>
      </c>
      <c r="C17" t="s">
        <v>58</v>
      </c>
    </row>
    <row r="18" spans="1:3" x14ac:dyDescent="0.15">
      <c r="A18" t="s">
        <v>281</v>
      </c>
      <c r="B18" t="s">
        <v>95</v>
      </c>
      <c r="C18" t="s">
        <v>59</v>
      </c>
    </row>
    <row r="19" spans="1:3" x14ac:dyDescent="0.15">
      <c r="A19" t="s">
        <v>278</v>
      </c>
      <c r="B19" t="s">
        <v>96</v>
      </c>
      <c r="C19" t="s">
        <v>60</v>
      </c>
    </row>
    <row r="20" spans="1:3" x14ac:dyDescent="0.15">
      <c r="A20" t="s">
        <v>275</v>
      </c>
      <c r="B20" t="s">
        <v>127</v>
      </c>
      <c r="C20" t="s">
        <v>61</v>
      </c>
    </row>
    <row r="21" spans="1:3" x14ac:dyDescent="0.15">
      <c r="A21" t="s">
        <v>267</v>
      </c>
      <c r="B21" t="s">
        <v>128</v>
      </c>
      <c r="C21" t="s">
        <v>62</v>
      </c>
    </row>
    <row r="22" spans="1:3" x14ac:dyDescent="0.15">
      <c r="A22" t="s">
        <v>84</v>
      </c>
      <c r="B22" t="s">
        <v>129</v>
      </c>
      <c r="C22" t="s">
        <v>62</v>
      </c>
    </row>
    <row r="23" spans="1:3" x14ac:dyDescent="0.15">
      <c r="A23" t="s">
        <v>257</v>
      </c>
      <c r="B23" t="s">
        <v>31</v>
      </c>
      <c r="C23" t="s">
        <v>35</v>
      </c>
    </row>
    <row r="24" spans="1:3" s="8" customFormat="1" x14ac:dyDescent="0.15">
      <c r="A24" s="8" t="s">
        <v>85</v>
      </c>
      <c r="B24" s="8" t="s">
        <v>34</v>
      </c>
    </row>
    <row r="25" spans="1:3" x14ac:dyDescent="0.15">
      <c r="A25" t="s">
        <v>273</v>
      </c>
      <c r="B25" t="s">
        <v>130</v>
      </c>
      <c r="C25" t="s">
        <v>36</v>
      </c>
    </row>
    <row r="26" spans="1:3" x14ac:dyDescent="0.15">
      <c r="A26" t="s">
        <v>86</v>
      </c>
      <c r="B26" t="s">
        <v>32</v>
      </c>
      <c r="C26" t="s">
        <v>62</v>
      </c>
    </row>
    <row r="27" spans="1:3" x14ac:dyDescent="0.15">
      <c r="A27" t="s">
        <v>249</v>
      </c>
      <c r="B27" t="s">
        <v>63</v>
      </c>
      <c r="C27" t="s">
        <v>63</v>
      </c>
    </row>
    <row r="29" spans="1:3" x14ac:dyDescent="0.15">
      <c r="A29" t="s">
        <v>99</v>
      </c>
      <c r="B29" t="s">
        <v>88</v>
      </c>
      <c r="C29" t="s">
        <v>117</v>
      </c>
    </row>
    <row r="30" spans="1:3" x14ac:dyDescent="0.15">
      <c r="A30" t="s">
        <v>247</v>
      </c>
      <c r="B30" t="s">
        <v>134</v>
      </c>
      <c r="C30" t="s">
        <v>89</v>
      </c>
    </row>
    <row r="31" spans="1:3" x14ac:dyDescent="0.15">
      <c r="A31" t="s">
        <v>252</v>
      </c>
      <c r="B31" t="s">
        <v>43</v>
      </c>
      <c r="C31" t="s">
        <v>42</v>
      </c>
    </row>
    <row r="32" spans="1:3" x14ac:dyDescent="0.15">
      <c r="A32" t="s">
        <v>266</v>
      </c>
      <c r="B32" t="s">
        <v>90</v>
      </c>
      <c r="C32" t="s">
        <v>44</v>
      </c>
    </row>
    <row r="33" spans="1:3" x14ac:dyDescent="0.15">
      <c r="A33" t="s">
        <v>103</v>
      </c>
      <c r="B33" t="s">
        <v>30</v>
      </c>
      <c r="C33" t="s">
        <v>45</v>
      </c>
    </row>
    <row r="34" spans="1:3" x14ac:dyDescent="0.15">
      <c r="A34" t="s">
        <v>271</v>
      </c>
      <c r="B34" t="s">
        <v>47</v>
      </c>
      <c r="C34" t="s">
        <v>29</v>
      </c>
    </row>
    <row r="35" spans="1:3" x14ac:dyDescent="0.15">
      <c r="A35" t="s">
        <v>256</v>
      </c>
      <c r="B35" t="s">
        <v>92</v>
      </c>
      <c r="C35" t="s">
        <v>91</v>
      </c>
    </row>
    <row r="36" spans="1:3" x14ac:dyDescent="0.15">
      <c r="A36" t="s">
        <v>251</v>
      </c>
      <c r="B36" t="s">
        <v>93</v>
      </c>
      <c r="C36" t="s">
        <v>49</v>
      </c>
    </row>
    <row r="37" spans="1:3" x14ac:dyDescent="0.15">
      <c r="A37" t="s">
        <v>262</v>
      </c>
      <c r="B37" t="s">
        <v>51</v>
      </c>
      <c r="C37" t="s">
        <v>50</v>
      </c>
    </row>
    <row r="38" spans="1:3" x14ac:dyDescent="0.15">
      <c r="A38" t="s">
        <v>260</v>
      </c>
      <c r="B38" t="s">
        <v>121</v>
      </c>
      <c r="C38" t="s">
        <v>52</v>
      </c>
    </row>
    <row r="39" spans="1:3" x14ac:dyDescent="0.15">
      <c r="A39" t="s">
        <v>282</v>
      </c>
      <c r="B39" t="s">
        <v>94</v>
      </c>
      <c r="C39" t="s">
        <v>55</v>
      </c>
    </row>
    <row r="40" spans="1:3" x14ac:dyDescent="0.15">
      <c r="A40" t="s">
        <v>280</v>
      </c>
      <c r="B40" t="s">
        <v>57</v>
      </c>
      <c r="C40" t="s">
        <v>56</v>
      </c>
    </row>
    <row r="41" spans="1:3" x14ac:dyDescent="0.15">
      <c r="A41" t="s">
        <v>248</v>
      </c>
      <c r="B41" t="s">
        <v>131</v>
      </c>
      <c r="C41" t="s">
        <v>58</v>
      </c>
    </row>
    <row r="42" spans="1:3" x14ac:dyDescent="0.15">
      <c r="A42" t="s">
        <v>276</v>
      </c>
      <c r="B42" t="s">
        <v>132</v>
      </c>
      <c r="C42" t="s">
        <v>59</v>
      </c>
    </row>
    <row r="43" spans="1:3" x14ac:dyDescent="0.15">
      <c r="A43" t="s">
        <v>250</v>
      </c>
      <c r="B43" t="s">
        <v>96</v>
      </c>
      <c r="C43" t="s">
        <v>60</v>
      </c>
    </row>
    <row r="44" spans="1:3" x14ac:dyDescent="0.15">
      <c r="A44" t="s">
        <v>274</v>
      </c>
      <c r="B44" t="s">
        <v>133</v>
      </c>
      <c r="C44" t="s">
        <v>97</v>
      </c>
    </row>
    <row r="45" spans="1:3" x14ac:dyDescent="0.15">
      <c r="A45" t="s">
        <v>268</v>
      </c>
      <c r="B45" t="s">
        <v>98</v>
      </c>
      <c r="C45" t="s">
        <v>62</v>
      </c>
    </row>
    <row r="46" spans="1:3" x14ac:dyDescent="0.15">
      <c r="A46" t="s">
        <v>254</v>
      </c>
      <c r="B46" t="s">
        <v>33</v>
      </c>
      <c r="C46" t="s">
        <v>33</v>
      </c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6"/>
  <sheetViews>
    <sheetView workbookViewId="0">
      <selection activeCell="D11" sqref="D11"/>
    </sheetView>
  </sheetViews>
  <sheetFormatPr defaultRowHeight="13.5" x14ac:dyDescent="0.15"/>
  <cols>
    <col min="1" max="1" width="37.625" style="2" customWidth="1"/>
    <col min="2" max="2" width="49.125" style="2" customWidth="1"/>
  </cols>
  <sheetData>
    <row r="1" spans="1:2" x14ac:dyDescent="0.15">
      <c r="A1" s="4" t="s">
        <v>8</v>
      </c>
      <c r="B1" s="4" t="s">
        <v>6</v>
      </c>
    </row>
    <row r="2" spans="1:2" x14ac:dyDescent="0.15">
      <c r="A2" s="3" t="s">
        <v>410</v>
      </c>
      <c r="B2" s="3" t="s">
        <v>230</v>
      </c>
    </row>
    <row r="3" spans="1:2" x14ac:dyDescent="0.15">
      <c r="A3" s="3" t="s">
        <v>411</v>
      </c>
      <c r="B3" s="3" t="s">
        <v>230</v>
      </c>
    </row>
    <row r="4" spans="1:2" x14ac:dyDescent="0.15">
      <c r="A4" s="3" t="s">
        <v>412</v>
      </c>
      <c r="B4" s="3" t="s">
        <v>234</v>
      </c>
    </row>
    <row r="5" spans="1:2" x14ac:dyDescent="0.15">
      <c r="A5" s="3" t="s">
        <v>413</v>
      </c>
      <c r="B5" s="3" t="s">
        <v>234</v>
      </c>
    </row>
    <row r="6" spans="1:2" x14ac:dyDescent="0.15">
      <c r="A6" s="3" t="s">
        <v>414</v>
      </c>
      <c r="B6" s="3" t="s">
        <v>229</v>
      </c>
    </row>
    <row r="7" spans="1:2" x14ac:dyDescent="0.15">
      <c r="A7" s="3" t="s">
        <v>415</v>
      </c>
      <c r="B7" s="3" t="s">
        <v>229</v>
      </c>
    </row>
    <row r="8" spans="1:2" x14ac:dyDescent="0.15">
      <c r="A8" s="3" t="s">
        <v>416</v>
      </c>
      <c r="B8" s="3" t="s">
        <v>229</v>
      </c>
    </row>
    <row r="9" spans="1:2" x14ac:dyDescent="0.15">
      <c r="A9" s="3" t="s">
        <v>310</v>
      </c>
      <c r="B9" s="3" t="s">
        <v>230</v>
      </c>
    </row>
    <row r="10" spans="1:2" x14ac:dyDescent="0.15">
      <c r="A10" s="3" t="s">
        <v>417</v>
      </c>
      <c r="B10" s="3" t="s">
        <v>229</v>
      </c>
    </row>
    <row r="11" spans="1:2" x14ac:dyDescent="0.15">
      <c r="A11" s="3" t="s">
        <v>418</v>
      </c>
      <c r="B11" s="3" t="s">
        <v>230</v>
      </c>
    </row>
    <row r="12" spans="1:2" x14ac:dyDescent="0.15">
      <c r="A12" s="3" t="s">
        <v>419</v>
      </c>
      <c r="B12" s="3" t="s">
        <v>230</v>
      </c>
    </row>
    <row r="13" spans="1:2" x14ac:dyDescent="0.15">
      <c r="A13" s="3" t="s">
        <v>420</v>
      </c>
      <c r="B13" s="3" t="s">
        <v>229</v>
      </c>
    </row>
    <row r="14" spans="1:2" x14ac:dyDescent="0.15">
      <c r="A14" s="3" t="s">
        <v>421</v>
      </c>
      <c r="B14" s="3" t="s">
        <v>230</v>
      </c>
    </row>
    <row r="15" spans="1:2" x14ac:dyDescent="0.15">
      <c r="A15" s="3" t="s">
        <v>422</v>
      </c>
      <c r="B15" s="3" t="s">
        <v>230</v>
      </c>
    </row>
    <row r="16" spans="1:2" x14ac:dyDescent="0.15">
      <c r="A16" s="3" t="s">
        <v>423</v>
      </c>
      <c r="B16" s="3" t="s">
        <v>229</v>
      </c>
    </row>
    <row r="17" spans="1:2" x14ac:dyDescent="0.15">
      <c r="A17" s="3" t="s">
        <v>424</v>
      </c>
      <c r="B17" s="3" t="s">
        <v>230</v>
      </c>
    </row>
    <row r="18" spans="1:2" x14ac:dyDescent="0.15">
      <c r="A18" s="3" t="s">
        <v>425</v>
      </c>
      <c r="B18" s="3" t="s">
        <v>229</v>
      </c>
    </row>
    <row r="19" spans="1:2" x14ac:dyDescent="0.15">
      <c r="A19" s="3" t="s">
        <v>426</v>
      </c>
      <c r="B19" s="3" t="s">
        <v>230</v>
      </c>
    </row>
    <row r="20" spans="1:2" x14ac:dyDescent="0.15">
      <c r="A20" s="3" t="s">
        <v>427</v>
      </c>
      <c r="B20" s="3" t="s">
        <v>229</v>
      </c>
    </row>
    <row r="21" spans="1:2" x14ac:dyDescent="0.15">
      <c r="A21" s="3" t="s">
        <v>428</v>
      </c>
      <c r="B21" s="3" t="s">
        <v>230</v>
      </c>
    </row>
    <row r="22" spans="1:2" x14ac:dyDescent="0.15">
      <c r="A22" s="3" t="s">
        <v>429</v>
      </c>
      <c r="B22" s="3" t="s">
        <v>229</v>
      </c>
    </row>
    <row r="23" spans="1:2" x14ac:dyDescent="0.15">
      <c r="A23" s="3" t="s">
        <v>430</v>
      </c>
      <c r="B23" s="3" t="s">
        <v>230</v>
      </c>
    </row>
    <row r="24" spans="1:2" x14ac:dyDescent="0.15">
      <c r="A24" s="3" t="s">
        <v>431</v>
      </c>
      <c r="B24" s="3" t="s">
        <v>229</v>
      </c>
    </row>
    <row r="25" spans="1:2" x14ac:dyDescent="0.15">
      <c r="A25" s="3" t="s">
        <v>432</v>
      </c>
      <c r="B25" s="3" t="s">
        <v>230</v>
      </c>
    </row>
    <row r="26" spans="1:2" x14ac:dyDescent="0.15">
      <c r="A26" s="3" t="s">
        <v>433</v>
      </c>
      <c r="B26" s="3" t="s">
        <v>229</v>
      </c>
    </row>
    <row r="27" spans="1:2" x14ac:dyDescent="0.15">
      <c r="A27" s="3" t="s">
        <v>434</v>
      </c>
      <c r="B27" s="3" t="s">
        <v>229</v>
      </c>
    </row>
    <row r="28" spans="1:2" x14ac:dyDescent="0.15">
      <c r="A28" s="3" t="s">
        <v>435</v>
      </c>
      <c r="B28" s="3" t="s">
        <v>230</v>
      </c>
    </row>
    <row r="29" spans="1:2" x14ac:dyDescent="0.15">
      <c r="A29" s="3" t="s">
        <v>436</v>
      </c>
      <c r="B29" s="3" t="s">
        <v>230</v>
      </c>
    </row>
    <row r="30" spans="1:2" x14ac:dyDescent="0.15">
      <c r="A30" s="3" t="s">
        <v>437</v>
      </c>
      <c r="B30" s="3" t="s">
        <v>229</v>
      </c>
    </row>
    <row r="31" spans="1:2" x14ac:dyDescent="0.15">
      <c r="A31" s="3" t="s">
        <v>438</v>
      </c>
      <c r="B31" s="3" t="s">
        <v>230</v>
      </c>
    </row>
    <row r="32" spans="1:2" x14ac:dyDescent="0.15">
      <c r="A32" s="3" t="s">
        <v>439</v>
      </c>
      <c r="B32" s="3" t="s">
        <v>230</v>
      </c>
    </row>
    <row r="33" spans="1:2" x14ac:dyDescent="0.15">
      <c r="A33" s="3" t="s">
        <v>440</v>
      </c>
      <c r="B33" s="3" t="s">
        <v>230</v>
      </c>
    </row>
    <row r="34" spans="1:2" x14ac:dyDescent="0.15">
      <c r="A34" s="3" t="s">
        <v>441</v>
      </c>
      <c r="B34" s="3" t="s">
        <v>230</v>
      </c>
    </row>
    <row r="35" spans="1:2" x14ac:dyDescent="0.15">
      <c r="A35" s="3" t="s">
        <v>442</v>
      </c>
      <c r="B35" s="3" t="s">
        <v>229</v>
      </c>
    </row>
    <row r="36" spans="1:2" x14ac:dyDescent="0.15">
      <c r="A36" s="3" t="s">
        <v>443</v>
      </c>
      <c r="B36" s="3" t="s">
        <v>229</v>
      </c>
    </row>
    <row r="37" spans="1:2" x14ac:dyDescent="0.15">
      <c r="A37" s="3" t="s">
        <v>444</v>
      </c>
      <c r="B37" s="3" t="s">
        <v>230</v>
      </c>
    </row>
    <row r="38" spans="1:2" x14ac:dyDescent="0.15">
      <c r="A38" s="3" t="s">
        <v>445</v>
      </c>
      <c r="B38" s="3" t="s">
        <v>230</v>
      </c>
    </row>
    <row r="39" spans="1:2" x14ac:dyDescent="0.15">
      <c r="A39" s="3" t="s">
        <v>446</v>
      </c>
      <c r="B39" s="3" t="s">
        <v>229</v>
      </c>
    </row>
    <row r="40" spans="1:2" x14ac:dyDescent="0.15">
      <c r="A40" s="3" t="s">
        <v>447</v>
      </c>
      <c r="B40" s="3" t="s">
        <v>229</v>
      </c>
    </row>
    <row r="41" spans="1:2" x14ac:dyDescent="0.15">
      <c r="A41" s="3" t="s">
        <v>448</v>
      </c>
      <c r="B41" s="3" t="s">
        <v>230</v>
      </c>
    </row>
    <row r="42" spans="1:2" x14ac:dyDescent="0.15">
      <c r="A42" s="3" t="s">
        <v>449</v>
      </c>
      <c r="B42" s="3" t="s">
        <v>230</v>
      </c>
    </row>
    <row r="43" spans="1:2" x14ac:dyDescent="0.15">
      <c r="A43" s="3" t="s">
        <v>450</v>
      </c>
      <c r="B43" s="3" t="s">
        <v>229</v>
      </c>
    </row>
    <row r="44" spans="1:2" x14ac:dyDescent="0.15">
      <c r="A44" s="3" t="s">
        <v>451</v>
      </c>
      <c r="B44" s="3" t="s">
        <v>230</v>
      </c>
    </row>
    <row r="45" spans="1:2" x14ac:dyDescent="0.15">
      <c r="A45" s="3" t="s">
        <v>452</v>
      </c>
      <c r="B45" s="3" t="s">
        <v>229</v>
      </c>
    </row>
    <row r="46" spans="1:2" x14ac:dyDescent="0.15">
      <c r="A46" s="3" t="s">
        <v>453</v>
      </c>
      <c r="B46" s="3" t="s">
        <v>230</v>
      </c>
    </row>
    <row r="47" spans="1:2" x14ac:dyDescent="0.15">
      <c r="A47" s="3" t="s">
        <v>454</v>
      </c>
      <c r="B47" s="3" t="s">
        <v>229</v>
      </c>
    </row>
    <row r="48" spans="1:2" x14ac:dyDescent="0.15">
      <c r="A48" s="3" t="s">
        <v>455</v>
      </c>
      <c r="B48" s="3" t="s">
        <v>230</v>
      </c>
    </row>
    <row r="49" spans="1:2" x14ac:dyDescent="0.15">
      <c r="A49" s="3" t="s">
        <v>456</v>
      </c>
      <c r="B49" s="3" t="s">
        <v>229</v>
      </c>
    </row>
    <row r="50" spans="1:2" x14ac:dyDescent="0.15">
      <c r="A50" s="3" t="s">
        <v>457</v>
      </c>
      <c r="B50" s="3" t="s">
        <v>230</v>
      </c>
    </row>
    <row r="51" spans="1:2" x14ac:dyDescent="0.15">
      <c r="A51" s="3" t="s">
        <v>458</v>
      </c>
      <c r="B51" s="3" t="s">
        <v>230</v>
      </c>
    </row>
    <row r="52" spans="1:2" x14ac:dyDescent="0.15">
      <c r="A52" s="3" t="s">
        <v>459</v>
      </c>
      <c r="B52" s="3" t="s">
        <v>229</v>
      </c>
    </row>
    <row r="53" spans="1:2" x14ac:dyDescent="0.15">
      <c r="A53" s="3" t="s">
        <v>460</v>
      </c>
      <c r="B53" s="3" t="s">
        <v>229</v>
      </c>
    </row>
    <row r="54" spans="1:2" x14ac:dyDescent="0.15">
      <c r="A54" s="3" t="s">
        <v>461</v>
      </c>
      <c r="B54" s="3" t="s">
        <v>230</v>
      </c>
    </row>
    <row r="55" spans="1:2" x14ac:dyDescent="0.15">
      <c r="A55" s="3" t="s">
        <v>462</v>
      </c>
      <c r="B55" s="3" t="s">
        <v>230</v>
      </c>
    </row>
    <row r="56" spans="1:2" x14ac:dyDescent="0.15">
      <c r="A56" s="3" t="s">
        <v>463</v>
      </c>
      <c r="B56" s="3" t="s">
        <v>230</v>
      </c>
    </row>
    <row r="57" spans="1:2" x14ac:dyDescent="0.15">
      <c r="A57" s="3" t="s">
        <v>464</v>
      </c>
      <c r="B57" s="3" t="s">
        <v>230</v>
      </c>
    </row>
    <row r="58" spans="1:2" x14ac:dyDescent="0.15">
      <c r="A58" s="3" t="s">
        <v>465</v>
      </c>
      <c r="B58" s="3" t="s">
        <v>230</v>
      </c>
    </row>
    <row r="59" spans="1:2" x14ac:dyDescent="0.15">
      <c r="A59" s="3" t="s">
        <v>466</v>
      </c>
      <c r="B59" s="3" t="s">
        <v>239</v>
      </c>
    </row>
    <row r="60" spans="1:2" x14ac:dyDescent="0.15">
      <c r="A60" s="3" t="s">
        <v>467</v>
      </c>
      <c r="B60" s="3" t="s">
        <v>239</v>
      </c>
    </row>
    <row r="61" spans="1:2" x14ac:dyDescent="0.15">
      <c r="A61" s="3" t="s">
        <v>468</v>
      </c>
      <c r="B61" s="3" t="s">
        <v>242</v>
      </c>
    </row>
    <row r="62" spans="1:2" x14ac:dyDescent="0.15">
      <c r="A62" s="3" t="s">
        <v>469</v>
      </c>
      <c r="B62" s="3" t="s">
        <v>242</v>
      </c>
    </row>
    <row r="63" spans="1:2" x14ac:dyDescent="0.15">
      <c r="A63" s="3" t="s">
        <v>470</v>
      </c>
      <c r="B63" s="3" t="s">
        <v>238</v>
      </c>
    </row>
    <row r="64" spans="1:2" x14ac:dyDescent="0.15">
      <c r="A64" s="3" t="s">
        <v>471</v>
      </c>
      <c r="B64" s="3" t="s">
        <v>244</v>
      </c>
    </row>
    <row r="65" spans="1:2" x14ac:dyDescent="0.15">
      <c r="A65" s="3" t="s">
        <v>472</v>
      </c>
      <c r="B65" s="3" t="s">
        <v>244</v>
      </c>
    </row>
    <row r="66" spans="1:2" x14ac:dyDescent="0.15">
      <c r="A66" s="3" t="s">
        <v>473</v>
      </c>
      <c r="B66" s="3" t="s">
        <v>243</v>
      </c>
    </row>
    <row r="67" spans="1:2" x14ac:dyDescent="0.15">
      <c r="A67" s="3" t="s">
        <v>474</v>
      </c>
      <c r="B67" s="3" t="s">
        <v>238</v>
      </c>
    </row>
    <row r="68" spans="1:2" x14ac:dyDescent="0.15">
      <c r="A68" s="3" t="s">
        <v>475</v>
      </c>
      <c r="B68" s="3" t="s">
        <v>241</v>
      </c>
    </row>
    <row r="69" spans="1:2" x14ac:dyDescent="0.15">
      <c r="A69" s="3" t="s">
        <v>476</v>
      </c>
      <c r="B69" s="3" t="s">
        <v>241</v>
      </c>
    </row>
    <row r="70" spans="1:2" x14ac:dyDescent="0.15">
      <c r="A70" s="3" t="s">
        <v>477</v>
      </c>
      <c r="B70" s="3" t="s">
        <v>240</v>
      </c>
    </row>
    <row r="71" spans="1:2" x14ac:dyDescent="0.15">
      <c r="A71" s="3" t="s">
        <v>478</v>
      </c>
      <c r="B71" s="3" t="s">
        <v>240</v>
      </c>
    </row>
    <row r="72" spans="1:2" x14ac:dyDescent="0.15">
      <c r="A72" s="3" t="s">
        <v>479</v>
      </c>
      <c r="B72" s="3" t="s">
        <v>244</v>
      </c>
    </row>
    <row r="73" spans="1:2" x14ac:dyDescent="0.15">
      <c r="A73" s="3" t="s">
        <v>480</v>
      </c>
      <c r="B73" s="3" t="s">
        <v>243</v>
      </c>
    </row>
    <row r="74" spans="1:2" x14ac:dyDescent="0.15">
      <c r="A74" s="3" t="s">
        <v>481</v>
      </c>
      <c r="B74" s="3" t="s">
        <v>244</v>
      </c>
    </row>
    <row r="75" spans="1:2" x14ac:dyDescent="0.15">
      <c r="A75" s="3" t="s">
        <v>482</v>
      </c>
      <c r="B75" s="3" t="s">
        <v>302</v>
      </c>
    </row>
    <row r="76" spans="1:2" x14ac:dyDescent="0.15">
      <c r="A76" s="24" t="s">
        <v>560</v>
      </c>
      <c r="B76" s="24" t="s">
        <v>561</v>
      </c>
    </row>
  </sheetData>
  <phoneticPr fontId="2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规则配置表</vt:lpstr>
      <vt:lpstr>规则条件表</vt:lpstr>
      <vt:lpstr>资产负债分类表</vt:lpstr>
      <vt:lpstr>Sheet2</vt:lpstr>
      <vt:lpstr>前置条件备份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2021-01-11T02:49:20Z</dcterms:modified>
</cp:coreProperties>
</file>