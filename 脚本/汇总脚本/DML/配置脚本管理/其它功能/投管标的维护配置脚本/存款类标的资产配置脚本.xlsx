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1"/>
  </bookViews>
  <sheets>
    <sheet name="规则配置表" sheetId="1" r:id="rId1"/>
    <sheet name="规则条件表" sheetId="2" r:id="rId2"/>
    <sheet name="页面与rule表关系对应" sheetId="5" r:id="rId3"/>
    <sheet name="抽取rule对应的数据" sheetId="6" r:id="rId4"/>
    <sheet name="前置条件备份" sheetId="7" r:id="rId5"/>
  </sheets>
  <definedNames>
    <definedName name="_xlnm._FilterDatabase" localSheetId="0" hidden="1">规则配置表!$A$1:$L$1</definedName>
    <definedName name="_xlnm._FilterDatabase" localSheetId="1" hidden="1">规则条件表!$A$1:$I$36</definedName>
  </definedNames>
  <calcPr calcId="152511"/>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2" i="1"/>
  <c r="J36" i="2" l="1"/>
  <c r="J35" i="2"/>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2" i="2" l="1"/>
</calcChain>
</file>

<file path=xl/comments1.xml><?xml version="1.0" encoding="utf-8"?>
<comments xmlns="http://schemas.openxmlformats.org/spreadsheetml/2006/main">
  <authors>
    <author>作者</author>
  </authors>
  <commentList>
    <comment ref="I4" authorId="0" shapeId="0">
      <text>
        <r>
          <rPr>
            <b/>
            <sz val="9"/>
            <color indexed="81"/>
            <rFont val="宋体"/>
            <family val="3"/>
            <charset val="134"/>
          </rPr>
          <t>作者:</t>
        </r>
        <r>
          <rPr>
            <sz val="9"/>
            <color indexed="81"/>
            <rFont val="宋体"/>
            <family val="3"/>
            <charset val="134"/>
          </rPr>
          <t xml:space="preserve">
资产类别为 1002，存借款必须为空，但投管页面不可为空；</t>
        </r>
      </text>
    </comment>
    <comment ref="I5" authorId="0" shapeId="0">
      <text>
        <r>
          <rPr>
            <b/>
            <sz val="9"/>
            <color indexed="81"/>
            <rFont val="宋体"/>
            <family val="3"/>
            <charset val="134"/>
          </rPr>
          <t>作者:</t>
        </r>
        <r>
          <rPr>
            <sz val="9"/>
            <color indexed="81"/>
            <rFont val="宋体"/>
            <family val="3"/>
            <charset val="134"/>
          </rPr>
          <t xml:space="preserve">
资产类别为1107时，提示存借款机构为空，但投管页面上是必填项</t>
        </r>
      </text>
    </comment>
    <comment ref="I6" authorId="0" shapeId="0">
      <text>
        <r>
          <rPr>
            <b/>
            <sz val="9"/>
            <color indexed="81"/>
            <rFont val="宋体"/>
            <family val="3"/>
            <charset val="134"/>
          </rPr>
          <t>作者:</t>
        </r>
        <r>
          <rPr>
            <sz val="9"/>
            <color indexed="81"/>
            <rFont val="宋体"/>
            <family val="3"/>
            <charset val="134"/>
          </rPr>
          <t xml:space="preserve">
资产类别为 1004，存借款必须为空，但投管页面不可为空；</t>
        </r>
      </text>
    </comment>
  </commentList>
</comments>
</file>

<file path=xl/comments2.xml><?xml version="1.0" encoding="utf-8"?>
<comments xmlns="http://schemas.openxmlformats.org/spreadsheetml/2006/main">
  <authors>
    <author>作者</author>
  </authors>
  <commentList>
    <comment ref="H2" authorId="0" shapeId="0">
      <text>
        <r>
          <rPr>
            <b/>
            <sz val="9"/>
            <color indexed="81"/>
            <rFont val="宋体"/>
            <family val="3"/>
            <charset val="134"/>
          </rPr>
          <t>作者:</t>
        </r>
        <r>
          <rPr>
            <sz val="9"/>
            <color indexed="81"/>
            <rFont val="宋体"/>
            <family val="3"/>
            <charset val="134"/>
          </rPr>
          <t xml:space="preserve">
资产类别为1107时，提示存借款机构为空，但投管页面上是必填项</t>
        </r>
      </text>
    </comment>
    <comment ref="H17" authorId="0" shapeId="0">
      <text>
        <r>
          <rPr>
            <b/>
            <sz val="9"/>
            <color indexed="81"/>
            <rFont val="宋体"/>
            <family val="3"/>
            <charset val="134"/>
          </rPr>
          <t>作者:</t>
        </r>
        <r>
          <rPr>
            <sz val="9"/>
            <color indexed="81"/>
            <rFont val="宋体"/>
            <family val="3"/>
            <charset val="134"/>
          </rPr>
          <t xml:space="preserve">
资产类别为 1002，存借款必须为空，但投管页面不可为空；</t>
        </r>
      </text>
    </comment>
    <comment ref="H25" authorId="0" shapeId="0">
      <text>
        <r>
          <rPr>
            <b/>
            <sz val="9"/>
            <color indexed="81"/>
            <rFont val="宋体"/>
            <family val="3"/>
            <charset val="134"/>
          </rPr>
          <t>作者:</t>
        </r>
        <r>
          <rPr>
            <sz val="9"/>
            <color indexed="81"/>
            <rFont val="宋体"/>
            <family val="3"/>
            <charset val="134"/>
          </rPr>
          <t xml:space="preserve">
资产类别为 1004，存借款必须为空，但投管页面不可为空；</t>
        </r>
      </text>
    </comment>
  </commentList>
</comments>
</file>

<file path=xl/sharedStrings.xml><?xml version="1.0" encoding="utf-8"?>
<sst xmlns="http://schemas.openxmlformats.org/spreadsheetml/2006/main" count="1154" uniqueCount="371">
  <si>
    <t>CHECKRULEID</t>
  </si>
  <si>
    <t>DATATYPE</t>
  </si>
  <si>
    <t>CHECKMETHOD</t>
  </si>
  <si>
    <t>SRCPROPERTY</t>
  </si>
  <si>
    <t>COMPARETO</t>
  </si>
  <si>
    <t>OBJVALUE</t>
  </si>
  <si>
    <t>NULLABLE</t>
  </si>
  <si>
    <t>REMARK</t>
  </si>
  <si>
    <t>STATUS</t>
  </si>
  <si>
    <t>备注</t>
  </si>
  <si>
    <t>CHECKCONDITIONID</t>
  </si>
  <si>
    <t>inArray</t>
  </si>
  <si>
    <t>==</t>
  </si>
  <si>
    <t>E</t>
  </si>
  <si>
    <t>isCustomizedString</t>
  </si>
  <si>
    <t>资产/负债类别</t>
  </si>
  <si>
    <t>资产/负债类别不在值域范围内</t>
  </si>
  <si>
    <t>交易流通场所</t>
  </si>
  <si>
    <t>交易流通场所不在值域范围内</t>
  </si>
  <si>
    <t>isNotEmpty</t>
  </si>
  <si>
    <t>lessThanCharLength</t>
  </si>
  <si>
    <t>inDatadict</t>
  </si>
  <si>
    <t>ASSET_TYPE2</t>
  </si>
  <si>
    <t>TRADE_MARKET</t>
  </si>
  <si>
    <t>N</t>
  </si>
  <si>
    <t>Y</t>
  </si>
  <si>
    <t>^[\u4e00-\u9fa5\ue815-\ue864\uff01-\uff5e\uffe0-\uffe5\u3000-\u3003\u3005-\u3017\u301d-\u301e\u2010\u2013-\u2016\u2018-\u2019\u201c-\u201d\u2025-\u2026\u2030\u2032-\u2033\u2035\u203b\u00b7\u0030-\u0039\u0041-\u005a\u0061-\u007a\u2160-\u216b\u0020-\u0026\u0028-\u007B\u007D\u007E]{0,}$</t>
  </si>
  <si>
    <t>备注要素不可为空</t>
  </si>
  <si>
    <t>备注不能超过256字符</t>
  </si>
  <si>
    <t>备注必须填写白名单中的文字。</t>
  </si>
  <si>
    <t>交易流通场所要素必填</t>
  </si>
  <si>
    <t>SVR_TRADE_MARKET</t>
  </si>
  <si>
    <t>compareValue</t>
  </si>
  <si>
    <t>!=</t>
  </si>
  <si>
    <t>HTML-NAME</t>
  </si>
  <si>
    <t>html页面名称</t>
    <phoneticPr fontId="2" type="noConversion"/>
  </si>
  <si>
    <t>rule表中名称</t>
    <phoneticPr fontId="2" type="noConversion"/>
  </si>
  <si>
    <t>name</t>
    <phoneticPr fontId="2" type="noConversion"/>
  </si>
  <si>
    <t>交易流通场所</t>
    <phoneticPr fontId="2" type="noConversion"/>
  </si>
  <si>
    <t>资产负债类别</t>
  </si>
  <si>
    <t>当资产/负债类别不为本行/他行存款时</t>
  </si>
  <si>
    <t>当交易流通场所为其他交易流通场所时</t>
  </si>
  <si>
    <t>1002,1003</t>
  </si>
  <si>
    <t>ASSET_TYPE</t>
  </si>
  <si>
    <t>SELECT</t>
  </si>
  <si>
    <t xml:space="preserve">    *</t>
  </si>
  <si>
    <t>FROM</t>
  </si>
  <si>
    <t>WHERE</t>
  </si>
  <si>
    <t xml:space="preserve">    (</t>
  </si>
  <si>
    <t xml:space="preserve">        SELECT</t>
  </si>
  <si>
    <t xml:space="preserve">        FROM</t>
  </si>
  <si>
    <t xml:space="preserve">    CHB_DATACHECK_CONDITION</t>
  </si>
  <si>
    <t xml:space="preserve">    CHB_DATACHECK_CONDITION.CHECKRULEID IN</t>
  </si>
  <si>
    <t xml:space="preserve">            CHB_DATACHECK_RULE.CHECKRULEID</t>
  </si>
  <si>
    <t xml:space="preserve">            CHB_DATACHECK_RULE</t>
  </si>
  <si>
    <t xml:space="preserve">        WHERE</t>
  </si>
  <si>
    <t xml:space="preserve">            CHB_DATACHECK_RULE.DATATYPE = 'CHB_ASSET_INFO_SUB'</t>
  </si>
  <si>
    <t xml:space="preserve">        AND CHB_DATACHECK_RULE.STATUS = 'E')</t>
  </si>
  <si>
    <t>AND status = 'E'</t>
  </si>
  <si>
    <t>AND CHB_DATACHECK_CONDITION.SRCPROPERTY = 'ASSET_TYPE2'</t>
  </si>
  <si>
    <t>AND (( (</t>
  </si>
  <si>
    <t xml:space="preserve">        AND CHB_DATACHECK_CONDITION.COMPARETO = '==')</t>
  </si>
  <si>
    <t xml:space="preserve">    OR  (</t>
  </si>
  <si>
    <t xml:space="preserve">            CHB_DATACHECK_CONDITION.COMPARETO = '!='))</t>
  </si>
  <si>
    <t>AND (</t>
  </si>
  <si>
    <t>UNION ALL</t>
  </si>
  <si>
    <t>AND CHB_DATACHECK_CONDITION.SRCPROPERTY NOT IN ('ASSET_TYPE',</t>
  </si>
  <si>
    <t xml:space="preserve">                                                'ASSET_TYPE2')</t>
  </si>
  <si>
    <t>CHB_DATACHECK_RULE</t>
  </si>
  <si>
    <t>CHB_DATACHECK_CONDITION</t>
  </si>
  <si>
    <t>HTML-NAME</t>
    <phoneticPr fontId="2" type="noConversion"/>
  </si>
  <si>
    <t>bussRepDepositInfoDto.repAssetType</t>
    <phoneticPr fontId="2" type="noConversion"/>
  </si>
  <si>
    <t>bussRepDepositInfoDto.repDepoType</t>
  </si>
  <si>
    <t>bussRepDepositInfoDto.repTradeMarket</t>
  </si>
  <si>
    <t>bussRepDepositInfoDto.repTargetType</t>
  </si>
  <si>
    <t>结构性存款挂钩标的</t>
  </si>
  <si>
    <t>bussRepDepositInfoDto.repTarget</t>
  </si>
  <si>
    <t>bussRepDepositInfoDto.repRemark</t>
  </si>
  <si>
    <t>存款类型</t>
    <phoneticPr fontId="2" type="noConversion"/>
  </si>
  <si>
    <t>存款类型</t>
    <phoneticPr fontId="2" type="noConversion"/>
  </si>
  <si>
    <t>结构性存款挂钩标的类别</t>
    <phoneticPr fontId="2" type="noConversion"/>
  </si>
  <si>
    <t>结构性存款挂钩标的类别</t>
    <phoneticPr fontId="2" type="noConversion"/>
  </si>
  <si>
    <t>结构性存款挂钩标的</t>
    <phoneticPr fontId="2" type="noConversion"/>
  </si>
  <si>
    <t xml:space="preserve">            OR  instr(CHB_DATACHECK_CONDITION.OBJVALUE, '1003') &gt; 0</t>
  </si>
  <si>
    <t xml:space="preserve">            OR  instr(CHB_DATACHECK_CONDITION.OBJVALUE, '1004') &gt; 0</t>
  </si>
  <si>
    <t xml:space="preserve">            OR  instr(CHB_DATACHECK_CONDITION.OBJVALUE, '1005') &gt; 0</t>
  </si>
  <si>
    <t xml:space="preserve">                instr(CHB_DATACHECK_CONDITION.OBJVALUE, '1002') &gt; 0</t>
  </si>
  <si>
    <t xml:space="preserve">            OR  instr(CHB_DATACHECK_CONDITION.OBJVALUE, '1107') &gt; 0)</t>
  </si>
  <si>
    <t>TARGET_TYPE</t>
  </si>
  <si>
    <t>TARGET</t>
  </si>
  <si>
    <t>DEPO_TYPE</t>
  </si>
  <si>
    <t>&lt;</t>
  </si>
  <si>
    <t>SVR_TARGET_TYPE</t>
  </si>
  <si>
    <t>SVR_DEPO_TYPE</t>
  </si>
  <si>
    <t>结构性存款挂钩标的类别要素不可为空。</t>
  </si>
  <si>
    <t>结构性存款挂钩标的类别要素必须为空。</t>
  </si>
  <si>
    <t>结构性存款挂钩标的要素不可为空。</t>
  </si>
  <si>
    <t>结构性存款挂钩标的要素必须为空。</t>
  </si>
  <si>
    <t>存款类型要素必填。</t>
  </si>
  <si>
    <t>存款类型要素必须为空。</t>
  </si>
  <si>
    <t>结构性存款挂钩标的要素过长（最大长256字节）。</t>
  </si>
  <si>
    <t>结构性存款挂钩标的必须填写白名单中的文字。</t>
  </si>
  <si>
    <t>结构性存款挂钩标的类别不在值域范围内并且结构性存款挂钩标的类别的多选选项不可重复。</t>
  </si>
  <si>
    <t>存款类型要素必须在值域范围内。</t>
  </si>
  <si>
    <t>FinDepositTarget002</t>
  </si>
  <si>
    <t>FinDepositTarget002</t>
    <phoneticPr fontId="2" type="noConversion"/>
  </si>
  <si>
    <t xml:space="preserve"> delete from CHB_DATACHECK_RULE_INV where page_id = 'FinDepositTarget002';</t>
    <phoneticPr fontId="2" type="noConversion"/>
  </si>
  <si>
    <t>1901,1902,1107,1108</t>
  </si>
  <si>
    <t>1002,1003,1004,1005</t>
  </si>
  <si>
    <t>1003</t>
  </si>
  <si>
    <t>1002</t>
  </si>
  <si>
    <t>1005</t>
  </si>
  <si>
    <t>1004</t>
  </si>
  <si>
    <t>当资产/负债类别为拆放同业及买入返售/同业拆入及卖出回购时</t>
  </si>
  <si>
    <t>当资产/负债类别为本行/他行存款||大额存单时</t>
  </si>
  <si>
    <t>当资产/负债类别为他行存款时</t>
  </si>
  <si>
    <t>当资产/负债类别为本行存款时</t>
  </si>
  <si>
    <t>当资产/负债类别为他行发行的大额存单时</t>
  </si>
  <si>
    <t>当资产/负债类别为本行发行的大额存单时</t>
  </si>
  <si>
    <t>当资产/负债类别为本行/他行存款时</t>
  </si>
  <si>
    <t>当“存款类型”要素选择“06 结构性存款”时</t>
  </si>
  <si>
    <t>当“存款类型”要素不选择“06 结构性存款”时</t>
  </si>
  <si>
    <t>delete from CHB_DATACHECK_CONDITION_INV where checkruleid in (select checkruleid from CHB_DATACHECK_RULE_INV where page_id = 'FinDepositTarget002');</t>
    <phoneticPr fontId="2" type="noConversion"/>
  </si>
  <si>
    <t>06</t>
  </si>
  <si>
    <t xml:space="preserve">        remark LIKE'%资产/负债类别%'</t>
  </si>
  <si>
    <t>OR remark LIKE'%存款类型%'</t>
  </si>
  <si>
    <t>OR remark LIKE'%交易流通场所%'</t>
  </si>
  <si>
    <t>OR remark LIKE'%结构性存款挂钩标的类别%'</t>
  </si>
  <si>
    <t>OR remark LIKE'%结构性存款挂钩标的%'</t>
  </si>
  <si>
    <t xml:space="preserve">    CHB_DATACHECK_CONDITION.STATUS = 'E'</t>
  </si>
  <si>
    <t>AND CHB_DATACHECK_CONDITION.CHECKRULEID IN</t>
  </si>
  <si>
    <t>AND CHB_DATACHECK_CONDITION.SRCPROPERTY = 'ASSET_TYPE'</t>
  </si>
  <si>
    <t xml:space="preserve">                instr(CHB_DATACHECK_CONDITION.OBJVALUE, '01') &gt; 0</t>
  </si>
  <si>
    <t xml:space="preserve">            OR  instr(CHB_DATACHECK_CONDITION.OBJVALUE, '02') &gt; 0)</t>
  </si>
  <si>
    <t>OR remark LIKE'%备注%')</t>
  </si>
  <si>
    <t>当资产/负债类别不为本行/他行存款||大额存单时</t>
  </si>
  <si>
    <t>ASSET_YIELD</t>
  </si>
  <si>
    <t>BANK_NAME</t>
  </si>
  <si>
    <t>0</t>
  </si>
  <si>
    <t>isNumber2</t>
  </si>
  <si>
    <t>compareValueAsNumber</t>
  </si>
  <si>
    <t>&gt;=</t>
  </si>
  <si>
    <t>isValidDate</t>
  </si>
  <si>
    <t>VDATE</t>
  </si>
  <si>
    <t>yyyy-MM-dd</t>
  </si>
  <si>
    <t>起息日必须为日期格式（YYYY-MM-DD）</t>
  </si>
  <si>
    <t>起息日（现金及银行存款）不可以为空</t>
  </si>
  <si>
    <t>MDATE</t>
  </si>
  <si>
    <t>到期日（现金及银行存款）不可以为空</t>
  </si>
  <si>
    <t>compareProperty</t>
  </si>
  <si>
    <t>到期日必须大于等于起息日。</t>
  </si>
  <si>
    <t>到期日要素必填且必须为日期格式（YYYY-MM-DD）。</t>
  </si>
  <si>
    <t>年利率%不可以为空。</t>
  </si>
  <si>
    <t>8,5</t>
  </si>
  <si>
    <t>年利率%以百分数形式表示时必须为n(8,5)格式。</t>
  </si>
  <si>
    <t>年利率%必须大于等于0。</t>
  </si>
  <si>
    <t>BASIS</t>
  </si>
  <si>
    <t>计息基础要素必须在值域范围内</t>
  </si>
  <si>
    <t>计息基础要素不可为空。</t>
  </si>
  <si>
    <t>mdate</t>
    <phoneticPr fontId="2" type="noConversion"/>
  </si>
  <si>
    <t>起息日必须为日期格式（YYYY-MM-DD）。</t>
  </si>
  <si>
    <t>计息基础要素不可为空，且必须在值域范围内</t>
  </si>
  <si>
    <t>起息日（拆放同业及买入返售/同业拆入及卖出回购）不可以为空</t>
  </si>
  <si>
    <t>到期日（拆放同业及买入返售/同业拆入及卖出回购）不可以为空</t>
  </si>
  <si>
    <t>99</t>
  </si>
  <si>
    <t xml:space="preserve">    CHB_DATACHECK_RULE</t>
  </si>
  <si>
    <t xml:space="preserve">    EXISTS</t>
  </si>
  <si>
    <t xml:space="preserve">          1</t>
  </si>
  <si>
    <t xml:space="preserve">       (</t>
  </si>
  <si>
    <t xml:space="preserve">       SELECT</t>
  </si>
  <si>
    <t xml:space="preserve">    ) t</t>
  </si>
  <si>
    <t xml:space="preserve">      　CHB_DATACHECK_RULE.CHECKRULEID = t.CHECKRULEID )</t>
  </si>
  <si>
    <t xml:space="preserve">        AND CHB_DATACHECK_RULE.DATATYPE = 'CHB_ASSET_INFO_SUB'</t>
  </si>
  <si>
    <t xml:space="preserve">        AND CHB_DATACHECK_RULE.STATUS = 'E'</t>
  </si>
  <si>
    <t xml:space="preserve">        AND (</t>
  </si>
  <si>
    <t xml:space="preserve"> remark LIKE'%资产/负债类别%'</t>
  </si>
  <si>
    <t xml:space="preserve">    CHB_DATACHECK_RULE.DATATYPE = 'CHB_ASSET_INFO_SUB'</t>
  </si>
  <si>
    <t>AND CHB_DATACHECK_RULE.STATUS = 'E'</t>
  </si>
  <si>
    <t>AND NOT EXISTS</t>
  </si>
  <si>
    <t xml:space="preserve">            CHB_DATACHECK_CONDITION</t>
  </si>
  <si>
    <t xml:space="preserve">            CHB_DATACHECK_RULE.CHECKRULEID = CHB_DATACHECK_CONDITION.CHECKRULEID)</t>
  </si>
  <si>
    <t>　　　　　AND (</t>
  </si>
  <si>
    <t xml:space="preserve">         remark LIKE'%资产/负债类别%'</t>
  </si>
  <si>
    <t>bussRepDepositInfoDto.repAssetType</t>
    <phoneticPr fontId="2" type="noConversion"/>
  </si>
  <si>
    <t>2fa47113-b502-4121-af33-dbb93cc7a756</t>
  </si>
  <si>
    <t>5b8fa2a5-5099-4cac-87c3-126719f90b5f</t>
  </si>
  <si>
    <t>27de4050-c1c5-4023-af75-d3b4654e675d</t>
  </si>
  <si>
    <t>b4916153-07eb-4ecc-9294-26f344c56c7f</t>
  </si>
  <si>
    <t>721e0110-7a0c-41e9-9b1f-8ab91424ad40</t>
  </si>
  <si>
    <t>492c3afc-21b5-493a-ad0b-ca965090a9eb</t>
  </si>
  <si>
    <t>6f661ba2-2c84-4c8e-a833-19f3cb98ccf2</t>
  </si>
  <si>
    <t>b24374c1-457d-4a08-aa6c-80cecd67b88f</t>
  </si>
  <si>
    <t>fa77e3c6-b9e0-46f5-81f0-76b2c4169d9e</t>
  </si>
  <si>
    <t>03004d35-7d82-423f-9718-1e85a99ccf16</t>
  </si>
  <si>
    <t>03fa04ea-ee96-41e2-b3e4-fe85d2b2a601</t>
  </si>
  <si>
    <t>31237b52-8a90-48eb-988b-28fbcc7d76c3</t>
  </si>
  <si>
    <t>3d6afc06-4811-4534-bc94-d93ae5297e56</t>
  </si>
  <si>
    <t>0f2c479e-b464-436a-bad5-bf05fcf3d94e</t>
  </si>
  <si>
    <t>5e0e30dd-68b9-4f10-948b-6e155b2808c7</t>
  </si>
  <si>
    <t>0fab8b82-be00-4ce6-9181-491cc1ff6399</t>
  </si>
  <si>
    <t>d7931362-865f-4611-a994-a0efe06c9782</t>
  </si>
  <si>
    <t>ca81dd8d-d292-4b4f-ac7a-dfff2d8cebf5</t>
  </si>
  <si>
    <t>81771963-0ebf-4d36-9559-5b1ca2b90f48</t>
  </si>
  <si>
    <t>894f5b85-6cb9-4d88-a4b2-c9bbbc5e3b6f</t>
  </si>
  <si>
    <t>58fc729b-9d42-4601-8987-a73c872d21c8</t>
  </si>
  <si>
    <t>08c4c56a-22ec-4303-a639-cbccc693bb33</t>
  </si>
  <si>
    <t>7e7a29b5-6e37-4549-8523-7bc826c67a1f</t>
  </si>
  <si>
    <t>d1c38750-6083-4c8d-aeea-95bd211a0edc</t>
  </si>
  <si>
    <t>ac8309bf-410c-4991-8f7a-44b1c506d70c</t>
  </si>
  <si>
    <t>ab7f7454-c6e5-47f9-8e4a-c9a0f5aa0fe5</t>
  </si>
  <si>
    <t>7e9928e8-a5a9-4ce9-a970-f0f12dc4c61d</t>
  </si>
  <si>
    <t>81e8c15d-e8d6-448f-b864-80ec59ddafd2</t>
  </si>
  <si>
    <t>99cde5c6-6e34-406e-a4de-510e289b31c2</t>
  </si>
  <si>
    <t>5d600cc5-ee5a-41cc-9026-9482992b22f0</t>
  </si>
  <si>
    <t>7cd82428-a93c-4a28-a995-9c0f4023bcd7</t>
  </si>
  <si>
    <t>85b7cfce-504a-4064-a79d-510d342976a6</t>
  </si>
  <si>
    <t>5203cacc-490b-4874-87f0-a054a71f4976</t>
  </si>
  <si>
    <t>4f7dee08-ae4b-47bf-b2cd-f895f2478e53</t>
  </si>
  <si>
    <t>d55b236c-917c-4c1c-ac15-e7b4d1e08b35</t>
  </si>
  <si>
    <t>cbf6df8f-bf8b-418c-8173-dd793026553b</t>
  </si>
  <si>
    <t>a9854a88-31b0-4d6c-8854-dce60309b244</t>
  </si>
  <si>
    <t>9480764b-3dce-4ae1-9882-6f6a2580090d</t>
  </si>
  <si>
    <t>9f3d55ee-5a71-47c8-9f5d-2ff13fcb552f</t>
  </si>
  <si>
    <t>13d5b455-156b-41b4-8248-7119103af3e8</t>
  </si>
  <si>
    <t>47160b61-1640-41c1-8374-31b2e0dd6edf</t>
  </si>
  <si>
    <t>ed6c6dd4-872c-46b1-b853-1d0e59985305</t>
  </si>
  <si>
    <t>61b231d4-fb98-44d3-ba05-2332722d46e9</t>
  </si>
  <si>
    <t>c6d43b48-4947-47cf-9e5e-6ec5eb2c561c</t>
  </si>
  <si>
    <t>ea632d75-2390-48df-af68-530adbad9874</t>
  </si>
  <si>
    <t>067f5ec0-6d32-40c3-94f9-cf2a3f5b9463</t>
  </si>
  <si>
    <t>b0129e92-ff6b-4b4a-b4ea-f35795649450</t>
  </si>
  <si>
    <t>716d621e-cf1e-4d33-b111-3621bcf339d8</t>
  </si>
  <si>
    <t>833d5cc0-39b9-4a10-a0fa-e7d11e9f5665</t>
  </si>
  <si>
    <t>aae202a6-1478-40a4-96ef-3d0664b7a752</t>
  </si>
  <si>
    <t>d1590181-8bf4-461f-8707-b0fcc37081b0</t>
  </si>
  <si>
    <t>0b77d0ae-c9eb-4d8d-916e-5b19eaa465e6</t>
  </si>
  <si>
    <t>4aa8e379-5f9d-42b1-b735-e1be9deef53a</t>
  </si>
  <si>
    <t>1267feb5-fab0-4589-baf9-90489ce6f24a</t>
  </si>
  <si>
    <t>9289ced0-e594-4172-95d8-85aefe03989c</t>
  </si>
  <si>
    <t>f04d67df-4be8-4e1c-bfb7-7cc650204709</t>
  </si>
  <si>
    <t>bussRepDepositInfoDto.repAssetType</t>
    <phoneticPr fontId="2" type="noConversion"/>
  </si>
  <si>
    <t>issuer</t>
  </si>
  <si>
    <t>vdate</t>
  </si>
  <si>
    <t>finInterestFactorDto.loadRate</t>
  </si>
  <si>
    <t>finInterestFactorDto.basis</t>
  </si>
  <si>
    <t>SVR_ASSET_TYPE_SECOND_LEVEL</t>
    <phoneticPr fontId="2" type="noConversion"/>
  </si>
  <si>
    <t>vdate</t>
    <phoneticPr fontId="2" type="noConversion"/>
  </si>
  <si>
    <t>e44b4794-84e8-418d-8eff-062fd85f3f4d</t>
    <phoneticPr fontId="2" type="noConversion"/>
  </si>
  <si>
    <t>884807E5-DF1B-D920-E050-007F010077FD</t>
    <phoneticPr fontId="2" type="noConversion"/>
  </si>
  <si>
    <t>d4add872-0ae7-4387-8d96-01134e2521df</t>
    <phoneticPr fontId="2" type="noConversion"/>
  </si>
  <si>
    <t>D</t>
    <phoneticPr fontId="2" type="noConversion"/>
  </si>
  <si>
    <t>a9854a88-31b0-4d6c-8854-dce60309b244</t>
    <phoneticPr fontId="2" type="noConversion"/>
  </si>
  <si>
    <t>8d13539d-62cd-45f4-9271-7396ebd20a81</t>
    <phoneticPr fontId="2" type="noConversion"/>
  </si>
  <si>
    <t>de4ae59a-3fbd-4a74-895a-8a7e6ec496b4</t>
    <phoneticPr fontId="2" type="noConversion"/>
  </si>
  <si>
    <t>13d5b455-156b-41b4-8248-7119103af3e8</t>
    <phoneticPr fontId="2" type="noConversion"/>
  </si>
  <si>
    <t>D</t>
    <phoneticPr fontId="2" type="noConversion"/>
  </si>
  <si>
    <t>D</t>
    <phoneticPr fontId="2" type="noConversion"/>
  </si>
  <si>
    <t>4aa8e379-5f9d-42b1-b735-e1be9deef53a</t>
    <phoneticPr fontId="2" type="noConversion"/>
  </si>
  <si>
    <t>0b77d0ae-c9eb-4d8d-916e-5b19eaa465e6</t>
    <phoneticPr fontId="2" type="noConversion"/>
  </si>
  <si>
    <t>1267feb5-fab0-4589-baf9-90489ce6f24a</t>
    <phoneticPr fontId="2" type="noConversion"/>
  </si>
  <si>
    <t>aae202a6-1478-40a4-96ef-3d0664b7a752</t>
    <phoneticPr fontId="2" type="noConversion"/>
  </si>
  <si>
    <t>d1590181-8bf4-461f-8707-b0fcc37081b0</t>
    <phoneticPr fontId="2" type="noConversion"/>
  </si>
  <si>
    <t>cb7d9611-6c7d-4249-bb81-ddf21cefdfc5</t>
    <phoneticPr fontId="2" type="noConversion"/>
  </si>
  <si>
    <t>9289ced0-e594-4172-95d8-85aefe03989c</t>
    <phoneticPr fontId="2" type="noConversion"/>
  </si>
  <si>
    <t>81622834-6a13-46b6-a496-3322b033be1c</t>
    <phoneticPr fontId="2" type="noConversion"/>
  </si>
  <si>
    <t>2dba178a-9744-448e-9e3e-93ec9674ac74</t>
    <phoneticPr fontId="2" type="noConversion"/>
  </si>
  <si>
    <t>47160b61-1640-41c1-8374-31b2e0dd6edf</t>
    <phoneticPr fontId="2" type="noConversion"/>
  </si>
  <si>
    <t>b0129e92-ff6b-4b4a-b4ea-f35795649450</t>
    <phoneticPr fontId="2" type="noConversion"/>
  </si>
  <si>
    <t>ed6c6dd4-872c-46b1-b853-1d0e59985305</t>
    <phoneticPr fontId="2" type="noConversion"/>
  </si>
  <si>
    <t>c6d43b48-4947-47cf-9e5e-6ec5eb2c561c</t>
    <phoneticPr fontId="2" type="noConversion"/>
  </si>
  <si>
    <t>9480764b-3dce-4ae1-9882-6f6a2580090d</t>
    <phoneticPr fontId="2" type="noConversion"/>
  </si>
  <si>
    <t>ea632d75-2390-48df-af68-530adbad9874</t>
    <phoneticPr fontId="2" type="noConversion"/>
  </si>
  <si>
    <t>9f3d55ee-5a71-47c8-9f5d-2ff13fcb552f</t>
    <phoneticPr fontId="2" type="noConversion"/>
  </si>
  <si>
    <t>bussRepDepositInfoDto.repDepoType</t>
    <phoneticPr fontId="2" type="noConversion"/>
  </si>
  <si>
    <t>103E4A49-6810-5A9E-E050-007F01006A57</t>
    <phoneticPr fontId="2" type="noConversion"/>
  </si>
  <si>
    <t>833d5cc0-39b9-4a10-a0fa-e7d11e9f5665</t>
    <phoneticPr fontId="2" type="noConversion"/>
  </si>
  <si>
    <t>716d621e-cf1e-4d33-b111-3621bcf339d8</t>
    <phoneticPr fontId="2" type="noConversion"/>
  </si>
  <si>
    <t>E</t>
    <phoneticPr fontId="2" type="noConversion"/>
  </si>
  <si>
    <t>D</t>
    <phoneticPr fontId="2" type="noConversion"/>
  </si>
  <si>
    <t>D</t>
    <phoneticPr fontId="2" type="noConversion"/>
  </si>
  <si>
    <t>7c35f75f-dd70-4994-bb5d-ec0db27b2cd7</t>
    <phoneticPr fontId="2" type="noConversion"/>
  </si>
  <si>
    <t>06dc98c5-fe51-4b88-af9c-ffb31a8f162f</t>
    <phoneticPr fontId="2" type="noConversion"/>
  </si>
  <si>
    <t>52827f80-e677-4b63-8798-6c667365bb04</t>
    <phoneticPr fontId="2" type="noConversion"/>
  </si>
  <si>
    <t>8d13539d-62cd-45f4-9271-7396ebd20a81</t>
    <phoneticPr fontId="2" type="noConversion"/>
  </si>
  <si>
    <t>5f9b5770-9582-4f61-9e58-748c24556430</t>
    <phoneticPr fontId="2" type="noConversion"/>
  </si>
  <si>
    <t>7ed035b4-a369-4241-9226-20c2f87265cb</t>
    <phoneticPr fontId="2" type="noConversion"/>
  </si>
  <si>
    <t>e44b4794-84e8-418d-8eff-062fd85f3f4d</t>
    <phoneticPr fontId="2" type="noConversion"/>
  </si>
  <si>
    <t>5400938f-1cc1-4f80-8b8e-557f94fe11f9</t>
    <phoneticPr fontId="2" type="noConversion"/>
  </si>
  <si>
    <t>存/借款机构要素不可为空。</t>
    <phoneticPr fontId="2" type="noConversion"/>
  </si>
  <si>
    <t>存/借款机构要素必须为空。</t>
    <phoneticPr fontId="2" type="noConversion"/>
  </si>
  <si>
    <t>BASIS</t>
    <phoneticPr fontId="2" type="noConversion"/>
  </si>
  <si>
    <t>bussRepDlRepoInfoDto.repRemark</t>
    <phoneticPr fontId="2" type="noConversion"/>
  </si>
  <si>
    <t>bussRepDlRepoInfoDto.repTradeMarket</t>
    <phoneticPr fontId="2" type="noConversion"/>
  </si>
  <si>
    <t>2dba178a-9744-448e-9e3e-93ec9674ac84</t>
    <phoneticPr fontId="2" type="noConversion"/>
  </si>
  <si>
    <t>FinDepositTarget002</t>
    <phoneticPr fontId="2" type="noConversion"/>
  </si>
  <si>
    <t>bussRepDlRepoInfoDto.repTradeMarket</t>
  </si>
  <si>
    <t>bussRepDlRepoInfoDto.repAssetType</t>
    <phoneticPr fontId="2" type="noConversion"/>
  </si>
  <si>
    <t>zlc38750-6083-4c8d-aeea-95bd211a0001</t>
    <phoneticPr fontId="2" type="noConversion"/>
  </si>
  <si>
    <t>bussRepDepositInfoDto.repAssetType</t>
    <phoneticPr fontId="2" type="noConversion"/>
  </si>
  <si>
    <t>zlc38750-6083-4c8d-aeea-95bd211a0002</t>
    <phoneticPr fontId="2" type="noConversion"/>
  </si>
  <si>
    <t>81622834-6a13-46b6-a496-3322b033be2c</t>
    <phoneticPr fontId="2" type="noConversion"/>
  </si>
  <si>
    <t>1107</t>
    <phoneticPr fontId="2" type="noConversion"/>
  </si>
  <si>
    <t>当资产/负债类别为拆放同业时</t>
    <phoneticPr fontId="2" type="noConversion"/>
  </si>
  <si>
    <t>bussRepDlRepoInfoDto.repAssetType</t>
    <phoneticPr fontId="2" type="noConversion"/>
  </si>
  <si>
    <t>953f725a-b93e-4499-b302-db92f2019aec</t>
    <phoneticPr fontId="2" type="noConversion"/>
  </si>
  <si>
    <t>d4add872-0ae7-4387-8d96-01134e2521df</t>
    <phoneticPr fontId="2" type="noConversion"/>
  </si>
  <si>
    <t>067f5ec0-6d32-40c3-94f9-cf2a3f5b9463</t>
    <phoneticPr fontId="2" type="noConversion"/>
  </si>
  <si>
    <t>d55b236c-917c-4c1c-ac15-e7b4d1e08b35</t>
    <phoneticPr fontId="2" type="noConversion"/>
  </si>
  <si>
    <t>17c64f58-a2fe-436e-a77a-e5296e5388e2</t>
    <phoneticPr fontId="2" type="noConversion"/>
  </si>
  <si>
    <t>D</t>
    <phoneticPr fontId="2" type="noConversion"/>
  </si>
  <si>
    <t>D</t>
    <phoneticPr fontId="2" type="noConversion"/>
  </si>
  <si>
    <t>D</t>
    <phoneticPr fontId="2" type="noConversion"/>
  </si>
  <si>
    <t>7c35f75f-dd70-4994-bb5d-ec0db27b4cd7</t>
    <phoneticPr fontId="2" type="noConversion"/>
  </si>
  <si>
    <t>06dc98c5-fe51-4b88-af9c-ffb31a8f362f</t>
    <phoneticPr fontId="2" type="noConversion"/>
  </si>
  <si>
    <t>81622834-6a13-46b6-a496-3322b033be2c</t>
    <phoneticPr fontId="2" type="noConversion"/>
  </si>
  <si>
    <t>5f9b5770-9582-4f61-9e58-748c24556430</t>
    <phoneticPr fontId="2" type="noConversion"/>
  </si>
  <si>
    <t>D</t>
    <phoneticPr fontId="2" type="noConversion"/>
  </si>
  <si>
    <t>953f725a-b93e-4499-b302-db92f2019aec</t>
    <phoneticPr fontId="2" type="noConversion"/>
  </si>
  <si>
    <t>5400938f-1cc1-4f80-8b8e-557f94fe11f9</t>
    <phoneticPr fontId="2" type="noConversion"/>
  </si>
  <si>
    <t>de4ae59a-3fbd-4a74-895a-8a7e6ec496b4</t>
    <phoneticPr fontId="2" type="noConversion"/>
  </si>
  <si>
    <t>61b231d4-fb98-44d3-ba05-2332722d46e9</t>
    <phoneticPr fontId="2" type="noConversion"/>
  </si>
  <si>
    <t>52827f80-e677-4b63-8798-6c667365bb04</t>
    <phoneticPr fontId="2" type="noConversion"/>
  </si>
  <si>
    <t>7ed035b4-a369-4241-9226-20c2f87265cb</t>
    <phoneticPr fontId="2" type="noConversion"/>
  </si>
  <si>
    <t>CHECKCLASS</t>
    <phoneticPr fontId="2" type="noConversion"/>
  </si>
  <si>
    <t>com.joyintech.tams.invest.common.ChbBaseCheckLib</t>
  </si>
  <si>
    <t>D</t>
    <phoneticPr fontId="2" type="noConversion"/>
  </si>
  <si>
    <t>4f7dee08-ae4b-47bf-b2cd-f895f2478e53</t>
    <phoneticPr fontId="2" type="noConversion"/>
  </si>
  <si>
    <t>cbf6df8f-bf8b-418c-8173-dd793026553b</t>
    <phoneticPr fontId="2" type="noConversion"/>
  </si>
  <si>
    <t>D</t>
    <phoneticPr fontId="2" type="noConversion"/>
  </si>
  <si>
    <t>f04d67df-4be8-4e1c-bfb7-7cc650204709</t>
    <phoneticPr fontId="2" type="noConversion"/>
  </si>
  <si>
    <t>284807E5-DF28-D920-E060-007F0100ZY14</t>
  </si>
  <si>
    <t>ASSET_CODE</t>
  </si>
  <si>
    <t>^[\u0020-\u0026-\u0028-\u007B-\u007D-\u007E-\u2000-\u2040-\u2160-\u216B-\u3000-\u301F-\uFF00-\uFF65-\uFFE0-\uFFEF]{0,}$</t>
  </si>
  <si>
    <t>资产代码只能含有白名单内的阿拉伯数字，英文字母，半角符号，全角符号。</t>
  </si>
  <si>
    <t>finprodMarketId</t>
  </si>
  <si>
    <t>insert into CHB_DATACHECK_RULE_INV values ('284807E5-DF28-D920-E060-007F0100ZY14','FinDepositTarget002','isCustomizedString','finprodMarketId','','^[\u0020-\u0026-\u0028-\u007B-\u007D-\u007E-\u2000-\u2040-\u2160-\u216B-\u3000-\u301F-\uFF00-\uFF65-\uFFE0-\uFFEF]{0,}$','Y','资产代码只能含有白名单内的阿拉伯数字，英文字母，半角符号，全角符号。','E','com.joyintech.tams.invest.common.ChbBaseCheckLib');</t>
  </si>
  <si>
    <t>284807E5-DF28-D920-E060-007F0100ZY15</t>
  </si>
  <si>
    <t>资产代码过长</t>
  </si>
  <si>
    <t>insert into CHB_DATACHECK_RULE_INV values ('284807E5-DF28-D920-E060-007F0100ZY15','FinDepositTarget002','lessThanCharLength','finprodMarketId','','41','Y','资产代码过长','E','com.joyintech.tams.invest.common.ChbBaseCheckLib');</t>
  </si>
  <si>
    <t>284807E5-DF28-D920-E060-007F0100ZY16</t>
  </si>
  <si>
    <t>ASSET_NAME</t>
  </si>
  <si>
    <t>资产名称必须填写白名单中的文字。</t>
  </si>
  <si>
    <t>finprodName</t>
  </si>
  <si>
    <t>insert into CHB_DATACHECK_RULE_INV values ('284807E5-DF28-D920-E060-007F0100ZY16','FinDepositTarget002','isCustomizedString','finprodName','','^[\u4e00-\u9fa5\ue815-\ue864\uff01-\uff5e\uffe0-\uffe5\u3000-\u3003\u3005-\u3017\u301d-\u301e\u2010\u2013-\u2016\u2018-\u2019\u201c-\u201d\u2025-\u2026\u2030\u2032-\u2033\u2035\u203b\u00b7\u0030-\u0039\u0041-\u005a\u0061-\u007a\u2160-\u216b\u0020-\u0026\u0028-\u007B\u007D\u007E]{0,}$','Y','资产名称必须填写白名单中的文字。','E','com.joyintech.tams.invest.common.ChbBaseCheckLib');</t>
  </si>
  <si>
    <t>284807E5-DF28-D920-E060-007F0100ZY17</t>
  </si>
  <si>
    <t>资产名称不能过长。</t>
  </si>
  <si>
    <t>insert into CHB_DATACHECK_RULE_INV values ('284807E5-DF28-D920-E060-007F0100ZY17','FinDepositTarget002','lessThanCharLength','finprodName','','201','Y','资产名称不能过长。','E','com.joyintech.tams.invest.common.ChbBaseCheckLib');</t>
  </si>
  <si>
    <t>284807E5-DF28-D920-E060-007F0100ZY18</t>
  </si>
  <si>
    <t>15,2</t>
  </si>
  <si>
    <t>存款本金必须为n(15,2)格式。</t>
  </si>
  <si>
    <t>issueAmt</t>
  </si>
  <si>
    <t>insert into CHB_DATACHECK_RULE_INV values ('284807E5-DF28-D920-E060-007F0100ZY18','FinDepositTarget002','isNumber2','issueAmt','','15,2','Y','存款本金必须为n(15,2)格式。','E','com.joyintech.tams.invest.common.ChbBaseCheckLib');</t>
  </si>
  <si>
    <t>D</t>
    <phoneticPr fontId="2" type="noConversion"/>
  </si>
  <si>
    <t>D</t>
    <phoneticPr fontId="2" type="noConversion"/>
  </si>
  <si>
    <t>D</t>
    <phoneticPr fontId="2" type="noConversion"/>
  </si>
  <si>
    <t>284807E5-DF28-D920-E060-007F0100ZL35</t>
  </si>
  <si>
    <t>资产/负债类别要素必填</t>
  </si>
  <si>
    <t>bussRepDlRepoInfoDto.repAssetType</t>
  </si>
  <si>
    <t>insert into CHB_DATACHECK_RULE_INV values ('284807E5-DF28-D920-E060-007F0100ZL35','FinDepositTarget002','isNotEmpty','bussRepDlRepoInfoDto.repAssetType','','','N','资产/负债类别要素必填','E','com.joyintech.tams.invest.common.ChbBaseCheckLib');</t>
  </si>
  <si>
    <t>284807E5-DF28-D920-E060-007F0100ZL36</t>
  </si>
  <si>
    <t>bussRepDepositInfoDto.repAssetType</t>
  </si>
  <si>
    <t>insert into CHB_DATACHECK_RULE_INV values ('284807E5-DF28-D920-E060-007F0100ZL36','FinDepositTarget002','isNotEmpty','bussRepDepositInfoDto.repAssetType','','','N','资产/负债类别要素必填','E','com.joyintech.tams.invest.common.ChbBaseCheckLib');</t>
  </si>
  <si>
    <t>284807E5-DF28-D920-E060-007F0100ZY35</t>
  </si>
  <si>
    <t>D01</t>
  </si>
  <si>
    <t>当资产三级分类为同业借款时</t>
  </si>
  <si>
    <t>type10</t>
  </si>
  <si>
    <t>INSERT INTO CHB_DATACHECK_CONDITION_INV VALUES ('284807E5-DF28-D920-E060-007F0100ZY35','284807E5-DF28-D920-E060-007F0100ZL35','inArray','type10','==','D01','当资产三级分类为同业借款时','E');</t>
  </si>
  <si>
    <t>284807E5-DF28-D920-E060-007F0100ZY36</t>
  </si>
  <si>
    <t>D001,D002,D003</t>
  </si>
  <si>
    <t>当资产三级分类为存放本行/存放他行/活期存放时</t>
  </si>
  <si>
    <t>INSERT INTO CHB_DATACHECK_CONDITION_INV VALUES ('284807E5-DF28-D920-E060-007F0100ZY36','284807E5-DF28-D920-E060-007F0100ZL36','inArray','type10','==','D001,D002,D003','当资产三级分类为存放本行/存放他行/活期存放时','E');</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</si>
</sst>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宋体"/>
      <family val="2"/>
      <scheme val="minor"/>
    </font>
    <font>
      <sz val="10"/>
      <color theme="1"/>
      <name val="宋体"/>
      <family val="3"/>
      <charset val="134"/>
      <scheme val="minor"/>
    </font>
    <font>
      <sz val="9"/>
      <name val="宋体"/>
      <family val="3"/>
      <charset val="134"/>
      <scheme val="minor"/>
    </font>
    <font>
      <b/>
      <sz val="10"/>
      <color theme="1"/>
      <name val="宋体"/>
      <family val="3"/>
      <charset val="134"/>
      <scheme val="minor"/>
    </font>
    <font>
      <b/>
      <sz val="11"/>
      <color theme="1"/>
      <name val="宋体"/>
      <family val="3"/>
      <charset val="134"/>
      <scheme val="minor"/>
    </font>
    <font>
      <sz val="9"/>
      <color rgb="FF222222"/>
      <name val="Consolas"/>
      <family val="3"/>
    </font>
    <font>
      <sz val="11"/>
      <color rgb="FFFF0000"/>
      <name val="宋体"/>
      <family val="3"/>
      <charset val="134"/>
      <scheme val="minor"/>
    </font>
    <font>
      <sz val="11"/>
      <name val="宋体"/>
      <family val="2"/>
      <scheme val="minor"/>
    </font>
    <font>
      <sz val="11"/>
      <name val="宋体"/>
      <family val="3"/>
      <charset val="134"/>
      <scheme val="minor"/>
    </font>
    <font>
      <sz val="9"/>
      <color indexed="81"/>
      <name val="宋体"/>
      <family val="3"/>
      <charset val="134"/>
    </font>
    <font>
      <b/>
      <sz val="9"/>
      <color indexed="81"/>
      <name val="宋体"/>
      <family val="3"/>
      <charset val="134"/>
    </font>
  </fonts>
  <fills count="3">
    <fill>
      <patternFill patternType="none"/>
    </fill>
    <fill>
      <patternFill patternType="gray125"/>
    </fill>
    <fill>
      <patternFill patternType="solid">
        <fgColor theme="8"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6">
    <xf numFmtId="0" fontId="0" fillId="0" borderId="0" xfId="0"/>
    <xf numFmtId="0" fontId="0" fillId="0" borderId="1" xfId="0" applyBorder="1" applyAlignment="1">
      <alignment vertical="center"/>
    </xf>
    <xf numFmtId="0" fontId="4" fillId="0" borderId="1" xfId="0" applyFont="1" applyBorder="1" applyAlignment="1">
      <alignment horizontal="center" vertical="center"/>
    </xf>
    <xf numFmtId="0" fontId="0" fillId="0" borderId="1" xfId="0" applyBorder="1"/>
    <xf numFmtId="0" fontId="4" fillId="0" borderId="1" xfId="0" applyFont="1" applyBorder="1" applyAlignment="1">
      <alignment horizontal="center"/>
    </xf>
    <xf numFmtId="0" fontId="4" fillId="0" borderId="0" xfId="0" applyFont="1" applyFill="1" applyAlignment="1">
      <alignment horizontal="center"/>
    </xf>
    <xf numFmtId="0" fontId="5" fillId="0" borderId="0" xfId="0" applyFont="1"/>
    <xf numFmtId="49" fontId="4" fillId="0" borderId="1" xfId="0" applyNumberFormat="1" applyFont="1" applyBorder="1" applyAlignment="1">
      <alignment horizontal="center" vertical="center"/>
    </xf>
    <xf numFmtId="49" fontId="0" fillId="0" borderId="1" xfId="0" applyNumberFormat="1" applyBorder="1" applyAlignment="1">
      <alignment vertical="center"/>
    </xf>
    <xf numFmtId="0" fontId="3" fillId="0" borderId="1" xfId="0" applyFont="1" applyBorder="1" applyAlignment="1">
      <alignment horizontal="center"/>
    </xf>
    <xf numFmtId="0" fontId="1" fillId="0" borderId="1" xfId="0" applyFont="1" applyBorder="1"/>
    <xf numFmtId="0" fontId="4" fillId="0" borderId="0" xfId="0" applyFont="1"/>
    <xf numFmtId="0" fontId="4" fillId="0" borderId="0" xfId="0" applyFont="1" applyAlignment="1">
      <alignment horizontal="left"/>
    </xf>
    <xf numFmtId="49" fontId="0" fillId="0" borderId="0" xfId="0" applyNumberFormat="1"/>
    <xf numFmtId="0" fontId="0" fillId="2" borderId="1" xfId="0" applyFill="1" applyBorder="1"/>
    <xf numFmtId="0" fontId="0" fillId="2" borderId="1" xfId="0" applyFill="1" applyBorder="1" applyAlignment="1">
      <alignment vertical="center"/>
    </xf>
    <xf numFmtId="0" fontId="0" fillId="2" borderId="0" xfId="0" applyFill="1"/>
    <xf numFmtId="0" fontId="1" fillId="2" borderId="1" xfId="0" applyFont="1" applyFill="1" applyBorder="1"/>
    <xf numFmtId="49" fontId="1" fillId="2" borderId="1" xfId="0" applyNumberFormat="1" applyFont="1" applyFill="1" applyBorder="1"/>
    <xf numFmtId="0" fontId="6" fillId="2" borderId="0" xfId="0" applyFont="1" applyFill="1"/>
    <xf numFmtId="49" fontId="0" fillId="2" borderId="1" xfId="0" applyNumberFormat="1" applyFill="1" applyBorder="1" applyAlignment="1">
      <alignment vertical="center"/>
    </xf>
    <xf numFmtId="0" fontId="7" fillId="2" borderId="1" xfId="0" applyFont="1" applyFill="1" applyBorder="1" applyAlignment="1">
      <alignment vertical="center"/>
    </xf>
    <xf numFmtId="0" fontId="8" fillId="2" borderId="1" xfId="0" applyFont="1" applyFill="1" applyBorder="1" applyAlignment="1">
      <alignment vertical="center"/>
    </xf>
    <xf numFmtId="0" fontId="0" fillId="0" borderId="0" xfId="0" applyBorder="1"/>
    <xf numFmtId="0" fontId="0" fillId="0" borderId="2" xfId="0" applyBorder="1"/>
    <xf numFmtId="0" fontId="4" fillId="0" borderId="1" xfId="0" applyFont="1" applyBorder="1" applyAlignment="1">
      <alignment horizontal="left"/>
    </xf>
  </cellXfs>
  <cellStyles count="1">
    <cellStyle name="常规"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52"/>
  <sheetViews>
    <sheetView topLeftCell="A40" workbookViewId="0">
      <selection activeCell="I51" sqref="I51:I52"/>
    </sheetView>
  </sheetViews>
  <sheetFormatPr defaultRowHeight="13.5"/>
  <cols>
    <col min="1" max="1" width="37.5" style="3" customWidth="1"/>
    <col min="2" max="2" width="20.125" style="3" customWidth="1"/>
    <col min="3" max="3" width="17.75" style="3" customWidth="1"/>
    <col min="4" max="4" width="18.375" style="3" customWidth="1"/>
    <col min="5" max="5" width="14.625" style="3" customWidth="1"/>
    <col min="6" max="6" width="16.125" style="3" customWidth="1"/>
    <col min="7" max="7" width="14.125" style="3" customWidth="1"/>
    <col min="8" max="8" width="17.5" style="3" customWidth="1"/>
    <col min="9" max="9" width="9" style="3"/>
    <col min="10" max="10" width="17.875" style="3" customWidth="1"/>
    <col min="11" max="11" width="17.875" style="23" customWidth="1"/>
  </cols>
  <sheetData>
    <row r="1" spans="1:12" s="5" customFormat="1">
      <c r="A1" s="2" t="s">
        <v>0</v>
      </c>
      <c r="B1" s="2" t="s">
        <v>1</v>
      </c>
      <c r="C1" s="2" t="s">
        <v>2</v>
      </c>
      <c r="D1" s="2" t="s">
        <v>3</v>
      </c>
      <c r="E1" s="2" t="s">
        <v>4</v>
      </c>
      <c r="F1" s="2" t="s">
        <v>5</v>
      </c>
      <c r="G1" s="2" t="s">
        <v>6</v>
      </c>
      <c r="H1" s="2" t="s">
        <v>7</v>
      </c>
      <c r="I1" s="2" t="s">
        <v>8</v>
      </c>
      <c r="J1" s="4" t="s">
        <v>70</v>
      </c>
      <c r="K1" s="4" t="s">
        <v>323</v>
      </c>
      <c r="L1" s="25" t="s">
        <v>106</v>
      </c>
    </row>
    <row r="2" spans="1:12" s="16" customFormat="1">
      <c r="A2" s="15" t="s">
        <v>315</v>
      </c>
      <c r="B2" s="15" t="s">
        <v>104</v>
      </c>
      <c r="C2" s="17" t="s">
        <v>19</v>
      </c>
      <c r="D2" s="17" t="s">
        <v>137</v>
      </c>
      <c r="E2" s="17"/>
      <c r="F2" s="18"/>
      <c r="G2" s="17" t="s">
        <v>24</v>
      </c>
      <c r="H2" s="21" t="s">
        <v>288</v>
      </c>
      <c r="I2" s="17" t="s">
        <v>255</v>
      </c>
      <c r="J2" s="14" t="s">
        <v>241</v>
      </c>
      <c r="K2" s="14" t="s">
        <v>324</v>
      </c>
      <c r="L2" s="14" t="str">
        <f>CONCATENATE("insert into CHB_DATACHECK_RULE_INV values ('",A2,"','",B2,"','",C2,"','",J2,"','",E2,"','",F2,"','",G2,"','",H2,"','",I2,"','",K2,"');")</f>
        <v>insert into CHB_DATACHECK_RULE_INV values ('5f9b5770-9582-4f61-9e58-748c24556430','FinDepositTarget002','isNotEmpty','issuer','','','N','存/借款机构要素不可为空。','D','com.joyintech.tams.invest.common.ChbBaseCheckLib');</v>
      </c>
    </row>
    <row r="3" spans="1:12" s="16" customFormat="1">
      <c r="A3" s="15" t="s">
        <v>247</v>
      </c>
      <c r="B3" s="15" t="s">
        <v>104</v>
      </c>
      <c r="C3" s="17" t="s">
        <v>19</v>
      </c>
      <c r="D3" s="17" t="s">
        <v>137</v>
      </c>
      <c r="E3" s="17"/>
      <c r="F3" s="18"/>
      <c r="G3" s="17" t="s">
        <v>24</v>
      </c>
      <c r="H3" s="22" t="s">
        <v>288</v>
      </c>
      <c r="I3" s="17" t="s">
        <v>255</v>
      </c>
      <c r="J3" s="14" t="s">
        <v>241</v>
      </c>
      <c r="K3" s="14" t="s">
        <v>324</v>
      </c>
      <c r="L3" s="14" t="str">
        <f t="shared" ref="L3:L45" si="0">CONCATENATE("insert into CHB_DATACHECK_RULE_INV values ('",A3,"','",B3,"','",C3,"','",J3,"','",E3,"','",F3,"','",G3,"','",H3,"','",I3,"','",K3,"');")</f>
        <v>insert into CHB_DATACHECK_RULE_INV values ('e44b4794-84e8-418d-8eff-062fd85f3f4d','FinDepositTarget002','isNotEmpty','issuer','','','N','存/借款机构要素不可为空。','D','com.joyintech.tams.invest.common.ChbBaseCheckLib');</v>
      </c>
    </row>
    <row r="4" spans="1:12" s="16" customFormat="1">
      <c r="A4" s="15" t="s">
        <v>322</v>
      </c>
      <c r="B4" s="15" t="s">
        <v>104</v>
      </c>
      <c r="C4" s="17" t="s">
        <v>20</v>
      </c>
      <c r="D4" s="17" t="s">
        <v>137</v>
      </c>
      <c r="E4" s="17" t="s">
        <v>12</v>
      </c>
      <c r="F4" s="18" t="s">
        <v>138</v>
      </c>
      <c r="G4" s="17" t="s">
        <v>25</v>
      </c>
      <c r="H4" s="22" t="s">
        <v>289</v>
      </c>
      <c r="I4" s="17" t="s">
        <v>255</v>
      </c>
      <c r="J4" s="14" t="s">
        <v>241</v>
      </c>
      <c r="K4" s="14" t="s">
        <v>324</v>
      </c>
      <c r="L4" s="14" t="str">
        <f t="shared" si="0"/>
        <v>insert into CHB_DATACHECK_RULE_INV values ('7ed035b4-a369-4241-9226-20c2f87265cb','FinDepositTarget002','lessThanCharLength','issuer','==','0','Y','存/借款机构要素必须为空。','D','com.joyintech.tams.invest.common.ChbBaseCheckLib');</v>
      </c>
    </row>
    <row r="5" spans="1:12" s="16" customFormat="1">
      <c r="A5" s="15" t="s">
        <v>317</v>
      </c>
      <c r="B5" s="15" t="s">
        <v>104</v>
      </c>
      <c r="C5" s="17" t="s">
        <v>20</v>
      </c>
      <c r="D5" s="17" t="s">
        <v>137</v>
      </c>
      <c r="E5" s="17" t="s">
        <v>12</v>
      </c>
      <c r="F5" s="18" t="s">
        <v>138</v>
      </c>
      <c r="G5" s="17" t="s">
        <v>25</v>
      </c>
      <c r="H5" s="22" t="s">
        <v>289</v>
      </c>
      <c r="I5" s="17" t="s">
        <v>255</v>
      </c>
      <c r="J5" s="14" t="s">
        <v>241</v>
      </c>
      <c r="K5" s="14" t="s">
        <v>324</v>
      </c>
      <c r="L5" s="14" t="str">
        <f t="shared" si="0"/>
        <v>insert into CHB_DATACHECK_RULE_INV values ('953f725a-b93e-4499-b302-db92f2019aec','FinDepositTarget002','lessThanCharLength','issuer','==','0','Y','存/借款机构要素必须为空。','D','com.joyintech.tams.invest.common.ChbBaseCheckLib');</v>
      </c>
    </row>
    <row r="6" spans="1:12" s="16" customFormat="1">
      <c r="A6" s="15" t="s">
        <v>318</v>
      </c>
      <c r="B6" s="15" t="s">
        <v>104</v>
      </c>
      <c r="C6" s="17" t="s">
        <v>20</v>
      </c>
      <c r="D6" s="17" t="s">
        <v>137</v>
      </c>
      <c r="E6" s="17" t="s">
        <v>12</v>
      </c>
      <c r="F6" s="18" t="s">
        <v>138</v>
      </c>
      <c r="G6" s="17" t="s">
        <v>25</v>
      </c>
      <c r="H6" s="22" t="s">
        <v>289</v>
      </c>
      <c r="I6" s="17" t="s">
        <v>255</v>
      </c>
      <c r="J6" s="14" t="s">
        <v>241</v>
      </c>
      <c r="K6" s="14" t="s">
        <v>324</v>
      </c>
      <c r="L6" s="14" t="str">
        <f t="shared" si="0"/>
        <v>insert into CHB_DATACHECK_RULE_INV values ('5400938f-1cc1-4f80-8b8e-557f94fe11f9','FinDepositTarget002','lessThanCharLength','issuer','==','0','Y','存/借款机构要素必须为空。','D','com.joyintech.tams.invest.common.ChbBaseCheckLib');</v>
      </c>
    </row>
    <row r="7" spans="1:12" s="16" customFormat="1">
      <c r="A7" s="15" t="s">
        <v>248</v>
      </c>
      <c r="B7" s="15" t="s">
        <v>104</v>
      </c>
      <c r="C7" s="15" t="s">
        <v>21</v>
      </c>
      <c r="D7" s="15" t="s">
        <v>43</v>
      </c>
      <c r="E7" s="15"/>
      <c r="F7" s="15" t="s">
        <v>245</v>
      </c>
      <c r="G7" s="15" t="s">
        <v>25</v>
      </c>
      <c r="H7" s="15" t="s">
        <v>16</v>
      </c>
      <c r="I7" s="15" t="s">
        <v>13</v>
      </c>
      <c r="J7" s="15" t="s">
        <v>240</v>
      </c>
      <c r="K7" s="14" t="s">
        <v>324</v>
      </c>
      <c r="L7" s="14" t="str">
        <f t="shared" si="0"/>
        <v>insert into CHB_DATACHECK_RULE_INV values ('884807E5-DF1B-D920-E050-007F010077FD','FinDepositTarget002','inDatadict','bussRepDepositInfoDto.repAssetType','','SVR_ASSET_TYPE_SECOND_LEVEL','Y','资产/负债类别不在值域范围内','E','com.joyintech.tams.invest.common.ChbBaseCheckLib');</v>
      </c>
    </row>
    <row r="8" spans="1:12" s="16" customFormat="1">
      <c r="A8" s="14" t="s">
        <v>320</v>
      </c>
      <c r="B8" s="15" t="s">
        <v>104</v>
      </c>
      <c r="C8" s="14" t="s">
        <v>142</v>
      </c>
      <c r="D8" s="14" t="s">
        <v>143</v>
      </c>
      <c r="E8" s="14" t="s">
        <v>12</v>
      </c>
      <c r="F8" s="14" t="s">
        <v>144</v>
      </c>
      <c r="G8" s="14" t="s">
        <v>25</v>
      </c>
      <c r="H8" s="14" t="s">
        <v>160</v>
      </c>
      <c r="I8" s="14" t="s">
        <v>13</v>
      </c>
      <c r="J8" s="14" t="s">
        <v>242</v>
      </c>
      <c r="K8" s="14" t="s">
        <v>324</v>
      </c>
      <c r="L8" s="14" t="str">
        <f t="shared" si="0"/>
        <v>insert into CHB_DATACHECK_RULE_INV values ('61b231d4-fb98-44d3-ba05-2332722d46e9','FinDepositTarget002','isValidDate','vdate','==','yyyy-MM-dd','Y','起息日必须为日期格式（YYYY-MM-DD）。','E','com.joyintech.tams.invest.common.ChbBaseCheckLib');</v>
      </c>
    </row>
    <row r="9" spans="1:12" s="16" customFormat="1">
      <c r="A9" s="14" t="s">
        <v>321</v>
      </c>
      <c r="B9" s="15" t="s">
        <v>104</v>
      </c>
      <c r="C9" s="14" t="s">
        <v>142</v>
      </c>
      <c r="D9" s="14" t="s">
        <v>143</v>
      </c>
      <c r="E9" s="14" t="s">
        <v>12</v>
      </c>
      <c r="F9" s="14" t="s">
        <v>144</v>
      </c>
      <c r="G9" s="14" t="s">
        <v>25</v>
      </c>
      <c r="H9" s="14" t="s">
        <v>145</v>
      </c>
      <c r="I9" s="14" t="s">
        <v>13</v>
      </c>
      <c r="J9" s="14" t="s">
        <v>242</v>
      </c>
      <c r="K9" s="14" t="s">
        <v>324</v>
      </c>
      <c r="L9" s="14" t="str">
        <f t="shared" si="0"/>
        <v>insert into CHB_DATACHECK_RULE_INV values ('52827f80-e677-4b63-8798-6c667365bb04','FinDepositTarget002','isValidDate','vdate','==','yyyy-MM-dd','Y','起息日必须为日期格式（YYYY-MM-DD）','E','com.joyintech.tams.invest.common.ChbBaseCheckLib');</v>
      </c>
    </row>
    <row r="10" spans="1:12" s="16" customFormat="1">
      <c r="A10" s="14" t="s">
        <v>305</v>
      </c>
      <c r="B10" s="15" t="s">
        <v>104</v>
      </c>
      <c r="C10" s="14" t="s">
        <v>19</v>
      </c>
      <c r="D10" s="14" t="s">
        <v>143</v>
      </c>
      <c r="E10" s="14"/>
      <c r="F10" s="14"/>
      <c r="G10" s="14" t="s">
        <v>24</v>
      </c>
      <c r="H10" s="14" t="s">
        <v>146</v>
      </c>
      <c r="I10" s="14" t="s">
        <v>250</v>
      </c>
      <c r="J10" s="14" t="s">
        <v>242</v>
      </c>
      <c r="K10" s="14" t="s">
        <v>324</v>
      </c>
      <c r="L10" s="14" t="str">
        <f t="shared" si="0"/>
        <v>insert into CHB_DATACHECK_RULE_INV values ('d4add872-0ae7-4387-8d96-01134e2521df','FinDepositTarget002','isNotEmpty','vdate','','','N','起息日（现金及银行存款）不可以为空','D','com.joyintech.tams.invest.common.ChbBaseCheckLib');</v>
      </c>
    </row>
    <row r="11" spans="1:12" s="16" customFormat="1" ht="12.75" customHeight="1">
      <c r="A11" s="14" t="s">
        <v>251</v>
      </c>
      <c r="B11" s="15" t="s">
        <v>104</v>
      </c>
      <c r="C11" s="14" t="s">
        <v>19</v>
      </c>
      <c r="D11" s="14" t="s">
        <v>143</v>
      </c>
      <c r="E11" s="14"/>
      <c r="F11" s="14"/>
      <c r="G11" s="14" t="s">
        <v>24</v>
      </c>
      <c r="H11" s="14" t="s">
        <v>162</v>
      </c>
      <c r="I11" s="14" t="s">
        <v>255</v>
      </c>
      <c r="J11" s="14" t="s">
        <v>242</v>
      </c>
      <c r="K11" s="14" t="s">
        <v>324</v>
      </c>
      <c r="L11" s="14" t="str">
        <f t="shared" si="0"/>
        <v>insert into CHB_DATACHECK_RULE_INV values ('a9854a88-31b0-4d6c-8854-dce60309b244','FinDepositTarget002','isNotEmpty','vdate','','','N','起息日（拆放同业及买入返售/同业拆入及卖出回购）不可以为空','D','com.joyintech.tams.invest.common.ChbBaseCheckLib');</v>
      </c>
    </row>
    <row r="12" spans="1:12" s="19" customFormat="1">
      <c r="A12" s="15" t="s">
        <v>306</v>
      </c>
      <c r="B12" s="15" t="s">
        <v>104</v>
      </c>
      <c r="C12" s="17" t="s">
        <v>139</v>
      </c>
      <c r="D12" s="17" t="s">
        <v>136</v>
      </c>
      <c r="E12" s="17"/>
      <c r="F12" s="17" t="s">
        <v>153</v>
      </c>
      <c r="G12" s="17" t="s">
        <v>25</v>
      </c>
      <c r="H12" s="15" t="s">
        <v>154</v>
      </c>
      <c r="I12" s="17" t="s">
        <v>13</v>
      </c>
      <c r="J12" s="14" t="s">
        <v>243</v>
      </c>
      <c r="K12" s="14" t="s">
        <v>324</v>
      </c>
      <c r="L12" s="14" t="str">
        <f t="shared" si="0"/>
        <v>insert into CHB_DATACHECK_RULE_INV values ('067f5ec0-6d32-40c3-94f9-cf2a3f5b9463','FinDepositTarget002','isNumber2','finInterestFactorDto.loadRate','','8,5','Y','年利率%以百分数形式表示时必须为n(8,5)格式。','E','com.joyintech.tams.invest.common.ChbBaseCheckLib');</v>
      </c>
    </row>
    <row r="13" spans="1:12" s="19" customFormat="1">
      <c r="A13" s="15" t="s">
        <v>252</v>
      </c>
      <c r="B13" s="15" t="s">
        <v>104</v>
      </c>
      <c r="C13" s="17" t="s">
        <v>139</v>
      </c>
      <c r="D13" s="17" t="s">
        <v>136</v>
      </c>
      <c r="E13" s="17"/>
      <c r="F13" s="18" t="s">
        <v>153</v>
      </c>
      <c r="G13" s="17" t="s">
        <v>25</v>
      </c>
      <c r="H13" s="15" t="s">
        <v>154</v>
      </c>
      <c r="I13" s="17" t="s">
        <v>13</v>
      </c>
      <c r="J13" s="14" t="s">
        <v>243</v>
      </c>
      <c r="K13" s="14" t="s">
        <v>324</v>
      </c>
      <c r="L13" s="14" t="str">
        <f t="shared" si="0"/>
        <v>insert into CHB_DATACHECK_RULE_INV values ('8d13539d-62cd-45f4-9271-7396ebd20a81','FinDepositTarget002','isNumber2','finInterestFactorDto.loadRate','','8,5','Y','年利率%以百分数形式表示时必须为n(8,5)格式。','E','com.joyintech.tams.invest.common.ChbBaseCheckLib');</v>
      </c>
    </row>
    <row r="14" spans="1:12" s="19" customFormat="1">
      <c r="A14" s="15" t="s">
        <v>307</v>
      </c>
      <c r="B14" s="15" t="s">
        <v>104</v>
      </c>
      <c r="C14" s="17" t="s">
        <v>19</v>
      </c>
      <c r="D14" s="17" t="s">
        <v>136</v>
      </c>
      <c r="E14" s="17"/>
      <c r="F14" s="18"/>
      <c r="G14" s="17" t="s">
        <v>24</v>
      </c>
      <c r="H14" s="15" t="s">
        <v>152</v>
      </c>
      <c r="I14" s="17" t="s">
        <v>255</v>
      </c>
      <c r="J14" s="14" t="s">
        <v>243</v>
      </c>
      <c r="K14" s="14" t="s">
        <v>324</v>
      </c>
      <c r="L14" s="14" t="str">
        <f t="shared" si="0"/>
        <v>insert into CHB_DATACHECK_RULE_INV values ('d55b236c-917c-4c1c-ac15-e7b4d1e08b35','FinDepositTarget002','isNotEmpty','finInterestFactorDto.loadRate','','','N','年利率%不可以为空。','D','com.joyintech.tams.invest.common.ChbBaseCheckLib');</v>
      </c>
    </row>
    <row r="15" spans="1:12" s="16" customFormat="1">
      <c r="A15" s="15" t="s">
        <v>253</v>
      </c>
      <c r="B15" s="15" t="s">
        <v>104</v>
      </c>
      <c r="C15" s="17" t="s">
        <v>19</v>
      </c>
      <c r="D15" s="17" t="s">
        <v>136</v>
      </c>
      <c r="E15" s="17"/>
      <c r="F15" s="17"/>
      <c r="G15" s="17" t="s">
        <v>24</v>
      </c>
      <c r="H15" s="15" t="s">
        <v>152</v>
      </c>
      <c r="I15" s="17" t="s">
        <v>13</v>
      </c>
      <c r="J15" s="14" t="s">
        <v>243</v>
      </c>
      <c r="K15" s="14" t="s">
        <v>324</v>
      </c>
      <c r="L15" s="14" t="str">
        <f t="shared" si="0"/>
        <v>insert into CHB_DATACHECK_RULE_INV values ('de4ae59a-3fbd-4a74-895a-8a7e6ec496b4','FinDepositTarget002','isNotEmpty','finInterestFactorDto.loadRate','','','N','年利率%不可以为空。','E','com.joyintech.tams.invest.common.ChbBaseCheckLib');</v>
      </c>
    </row>
    <row r="16" spans="1:12" s="16" customFormat="1">
      <c r="A16" s="15" t="s">
        <v>308</v>
      </c>
      <c r="B16" s="15" t="s">
        <v>104</v>
      </c>
      <c r="C16" s="17" t="s">
        <v>140</v>
      </c>
      <c r="D16" s="17" t="s">
        <v>136</v>
      </c>
      <c r="E16" s="17" t="s">
        <v>141</v>
      </c>
      <c r="F16" s="17" t="s">
        <v>138</v>
      </c>
      <c r="G16" s="17" t="s">
        <v>25</v>
      </c>
      <c r="H16" s="15" t="s">
        <v>155</v>
      </c>
      <c r="I16" s="17" t="s">
        <v>309</v>
      </c>
      <c r="J16" s="14" t="s">
        <v>243</v>
      </c>
      <c r="K16" s="14" t="s">
        <v>324</v>
      </c>
      <c r="L16" s="14" t="str">
        <f t="shared" si="0"/>
        <v>insert into CHB_DATACHECK_RULE_INV values ('17c64f58-a2fe-436e-a77a-e5296e5388e2','FinDepositTarget002','compareValueAsNumber','finInterestFactorDto.loadRate','&gt;=','0','Y','年利率%必须大于等于0。','D','com.joyintech.tams.invest.common.ChbBaseCheckLib');</v>
      </c>
    </row>
    <row r="17" spans="1:12" s="16" customFormat="1">
      <c r="A17" s="15" t="s">
        <v>254</v>
      </c>
      <c r="B17" s="15" t="s">
        <v>104</v>
      </c>
      <c r="C17" s="17" t="s">
        <v>140</v>
      </c>
      <c r="D17" s="17" t="s">
        <v>136</v>
      </c>
      <c r="E17" s="17" t="s">
        <v>141</v>
      </c>
      <c r="F17" s="18" t="s">
        <v>138</v>
      </c>
      <c r="G17" s="17" t="s">
        <v>25</v>
      </c>
      <c r="H17" s="15" t="s">
        <v>155</v>
      </c>
      <c r="I17" s="17" t="s">
        <v>255</v>
      </c>
      <c r="J17" s="14" t="s">
        <v>243</v>
      </c>
      <c r="K17" s="14" t="s">
        <v>324</v>
      </c>
      <c r="L17" s="14" t="str">
        <f t="shared" si="0"/>
        <v>insert into CHB_DATACHECK_RULE_INV values ('13d5b455-156b-41b4-8248-7119103af3e8','FinDepositTarget002','compareValueAsNumber','finInterestFactorDto.loadRate','&gt;=','0','Y','年利率%必须大于等于0。','D','com.joyintech.tams.invest.common.ChbBaseCheckLib');</v>
      </c>
    </row>
    <row r="18" spans="1:12" s="16" customFormat="1">
      <c r="A18" s="14" t="s">
        <v>259</v>
      </c>
      <c r="B18" s="15" t="s">
        <v>104</v>
      </c>
      <c r="C18" s="14" t="s">
        <v>20</v>
      </c>
      <c r="D18" s="14" t="s">
        <v>89</v>
      </c>
      <c r="E18" s="14" t="s">
        <v>12</v>
      </c>
      <c r="F18" s="14">
        <v>257</v>
      </c>
      <c r="G18" s="14" t="s">
        <v>25</v>
      </c>
      <c r="H18" s="14" t="s">
        <v>100</v>
      </c>
      <c r="I18" s="14" t="s">
        <v>250</v>
      </c>
      <c r="J18" s="14" t="s">
        <v>76</v>
      </c>
      <c r="K18" s="14" t="s">
        <v>324</v>
      </c>
      <c r="L18" s="14" t="str">
        <f t="shared" si="0"/>
        <v>insert into CHB_DATACHECK_RULE_INV values ('1267feb5-fab0-4589-baf9-90489ce6f24a','FinDepositTarget002','lessThanCharLength','bussRepDepositInfoDto.repTarget','==','257','Y','结构性存款挂钩标的要素过长（最大长256字节）。','D','com.joyintech.tams.invest.common.ChbBaseCheckLib');</v>
      </c>
    </row>
    <row r="19" spans="1:12" s="16" customFormat="1">
      <c r="A19" s="14" t="s">
        <v>258</v>
      </c>
      <c r="B19" s="15" t="s">
        <v>104</v>
      </c>
      <c r="C19" s="14" t="s">
        <v>19</v>
      </c>
      <c r="D19" s="14" t="s">
        <v>89</v>
      </c>
      <c r="E19" s="14"/>
      <c r="F19" s="14"/>
      <c r="G19" s="14" t="s">
        <v>24</v>
      </c>
      <c r="H19" s="14" t="s">
        <v>96</v>
      </c>
      <c r="I19" s="14" t="s">
        <v>256</v>
      </c>
      <c r="J19" s="14" t="s">
        <v>76</v>
      </c>
      <c r="K19" s="14" t="s">
        <v>324</v>
      </c>
      <c r="L19" s="14" t="str">
        <f t="shared" si="0"/>
        <v>insert into CHB_DATACHECK_RULE_INV values ('0b77d0ae-c9eb-4d8d-916e-5b19eaa465e6','FinDepositTarget002','isNotEmpty','bussRepDepositInfoDto.repTarget','','','N','结构性存款挂钩标的要素不可为空。','D','com.joyintech.tams.invest.common.ChbBaseCheckLib');</v>
      </c>
    </row>
    <row r="20" spans="1:12" s="16" customFormat="1">
      <c r="A20" s="14" t="s">
        <v>257</v>
      </c>
      <c r="B20" s="15" t="s">
        <v>104</v>
      </c>
      <c r="C20" s="14" t="s">
        <v>20</v>
      </c>
      <c r="D20" s="14" t="s">
        <v>89</v>
      </c>
      <c r="E20" s="14" t="s">
        <v>12</v>
      </c>
      <c r="F20" s="14">
        <v>0</v>
      </c>
      <c r="G20" s="14" t="s">
        <v>25</v>
      </c>
      <c r="H20" s="14" t="s">
        <v>97</v>
      </c>
      <c r="I20" s="14" t="s">
        <v>13</v>
      </c>
      <c r="J20" s="14" t="s">
        <v>76</v>
      </c>
      <c r="K20" s="14" t="s">
        <v>324</v>
      </c>
      <c r="L20" s="14" t="str">
        <f t="shared" si="0"/>
        <v>insert into CHB_DATACHECK_RULE_INV values ('4aa8e379-5f9d-42b1-b735-e1be9deef53a','FinDepositTarget002','lessThanCharLength','bussRepDepositInfoDto.repTarget','==','0','Y','结构性存款挂钩标的要素必须为空。','E','com.joyintech.tams.invest.common.ChbBaseCheckLib');</v>
      </c>
    </row>
    <row r="21" spans="1:12" s="16" customFormat="1">
      <c r="A21" s="14" t="s">
        <v>260</v>
      </c>
      <c r="B21" s="15" t="s">
        <v>104</v>
      </c>
      <c r="C21" s="14" t="s">
        <v>19</v>
      </c>
      <c r="D21" s="14" t="s">
        <v>88</v>
      </c>
      <c r="E21" s="14"/>
      <c r="F21" s="14"/>
      <c r="G21" s="14" t="s">
        <v>24</v>
      </c>
      <c r="H21" s="14" t="s">
        <v>94</v>
      </c>
      <c r="I21" s="14" t="s">
        <v>255</v>
      </c>
      <c r="J21" s="14" t="s">
        <v>74</v>
      </c>
      <c r="K21" s="14" t="s">
        <v>324</v>
      </c>
      <c r="L21" s="14" t="str">
        <f t="shared" si="0"/>
        <v>insert into CHB_DATACHECK_RULE_INV values ('aae202a6-1478-40a4-96ef-3d0664b7a752','FinDepositTarget002','isNotEmpty','bussRepDepositInfoDto.repTargetType','','','N','结构性存款挂钩标的类别要素不可为空。','D','com.joyintech.tams.invest.common.ChbBaseCheckLib');</v>
      </c>
    </row>
    <row r="22" spans="1:12" s="16" customFormat="1">
      <c r="A22" s="14" t="s">
        <v>261</v>
      </c>
      <c r="B22" s="15" t="s">
        <v>104</v>
      </c>
      <c r="C22" s="14" t="s">
        <v>20</v>
      </c>
      <c r="D22" s="14" t="s">
        <v>88</v>
      </c>
      <c r="E22" s="14" t="s">
        <v>12</v>
      </c>
      <c r="F22" s="14">
        <v>0</v>
      </c>
      <c r="G22" s="14" t="s">
        <v>25</v>
      </c>
      <c r="H22" s="14" t="s">
        <v>95</v>
      </c>
      <c r="I22" s="14" t="s">
        <v>13</v>
      </c>
      <c r="J22" s="14" t="s">
        <v>74</v>
      </c>
      <c r="K22" s="14" t="s">
        <v>324</v>
      </c>
      <c r="L22" s="14" t="str">
        <f t="shared" si="0"/>
        <v>insert into CHB_DATACHECK_RULE_INV values ('d1590181-8bf4-461f-8707-b0fcc37081b0','FinDepositTarget002','lessThanCharLength','bussRepDepositInfoDto.repTargetType','==','0','Y','结构性存款挂钩标的类别要素必须为空。','E','com.joyintech.tams.invest.common.ChbBaseCheckLib');</v>
      </c>
    </row>
    <row r="23" spans="1:12" s="16" customFormat="1">
      <c r="A23" s="15" t="s">
        <v>262</v>
      </c>
      <c r="B23" s="15" t="s">
        <v>104</v>
      </c>
      <c r="C23" s="15" t="s">
        <v>21</v>
      </c>
      <c r="D23" s="15" t="s">
        <v>88</v>
      </c>
      <c r="E23" s="15" t="s">
        <v>91</v>
      </c>
      <c r="F23" s="15" t="s">
        <v>92</v>
      </c>
      <c r="G23" s="15" t="s">
        <v>25</v>
      </c>
      <c r="H23" s="15" t="s">
        <v>102</v>
      </c>
      <c r="I23" s="15" t="s">
        <v>13</v>
      </c>
      <c r="J23" s="14" t="s">
        <v>74</v>
      </c>
      <c r="K23" s="14" t="s">
        <v>324</v>
      </c>
      <c r="L23" s="14" t="str">
        <f t="shared" si="0"/>
        <v>insert into CHB_DATACHECK_RULE_INV values ('cb7d9611-6c7d-4249-bb81-ddf21cefdfc5','FinDepositTarget002','inDatadict','bussRepDepositInfoDto.repTargetType','&lt;','SVR_TARGET_TYPE','Y','结构性存款挂钩标的类别不在值域范围内并且结构性存款挂钩标的类别的多选选项不可重复。','E','com.joyintech.tams.invest.common.ChbBaseCheckLib');</v>
      </c>
    </row>
    <row r="24" spans="1:12" s="16" customFormat="1">
      <c r="A24" s="14" t="s">
        <v>263</v>
      </c>
      <c r="B24" s="15" t="s">
        <v>104</v>
      </c>
      <c r="C24" s="14" t="s">
        <v>14</v>
      </c>
      <c r="D24" s="14" t="s">
        <v>89</v>
      </c>
      <c r="E24" s="14"/>
      <c r="F24" s="14" t="s">
        <v>26</v>
      </c>
      <c r="G24" s="14" t="s">
        <v>25</v>
      </c>
      <c r="H24" s="14" t="s">
        <v>101</v>
      </c>
      <c r="I24" s="14" t="s">
        <v>13</v>
      </c>
      <c r="J24" s="14" t="s">
        <v>76</v>
      </c>
      <c r="K24" s="14" t="s">
        <v>324</v>
      </c>
      <c r="L24" s="14" t="str">
        <f t="shared" si="0"/>
        <v>insert into CHB_DATACHECK_RULE_INV values ('9289ced0-e594-4172-95d8-85aefe03989c','FinDepositTarget002','isCustomizedString','bussRepDepositInfoDto.repTarget','','^[\u4e00-\u9fa5\ue815-\ue864\uff01-\uff5e\uffe0-\uffe5\u3000-\u3003\u3005-\u3017\u301d-\u301e\u2010\u2013-\u2016\u2018-\u2019\u201c-\u201d\u2025-\u2026\u2030\u2032-\u2033\u2035\u203b\u00b7\u0030-\u0039\u0041-\u005a\u0061-\u007a\u2160-\u216b\u0020-\u0026\u0028-\u007B\u007D\u007E]{0,}$','Y','结构性存款挂钩标的必须填写白名单中的文字。','E','com.joyintech.tams.invest.common.ChbBaseCheckLib');</v>
      </c>
    </row>
    <row r="25" spans="1:12" s="16" customFormat="1">
      <c r="A25" s="15" t="s">
        <v>264</v>
      </c>
      <c r="B25" s="15" t="s">
        <v>104</v>
      </c>
      <c r="C25" s="15" t="s">
        <v>19</v>
      </c>
      <c r="D25" s="15" t="s">
        <v>23</v>
      </c>
      <c r="E25" s="15"/>
      <c r="F25" s="15"/>
      <c r="G25" s="15" t="s">
        <v>24</v>
      </c>
      <c r="H25" s="15" t="s">
        <v>30</v>
      </c>
      <c r="I25" s="15" t="s">
        <v>255</v>
      </c>
      <c r="J25" s="14" t="s">
        <v>73</v>
      </c>
      <c r="K25" s="14" t="s">
        <v>324</v>
      </c>
      <c r="L25" s="14" t="str">
        <f t="shared" si="0"/>
        <v>insert into CHB_DATACHECK_RULE_INV values ('81622834-6a13-46b6-a496-3322b033be1c','FinDepositTarget002','isNotEmpty','bussRepDepositInfoDto.repTradeMarket','','','N','交易流通场所要素必填','D','com.joyintech.tams.invest.common.ChbBaseCheckLib');</v>
      </c>
    </row>
    <row r="26" spans="1:12" s="16" customFormat="1">
      <c r="A26" s="15" t="s">
        <v>265</v>
      </c>
      <c r="B26" s="15" t="s">
        <v>104</v>
      </c>
      <c r="C26" s="15" t="s">
        <v>21</v>
      </c>
      <c r="D26" s="15" t="s">
        <v>23</v>
      </c>
      <c r="E26" s="15" t="s">
        <v>12</v>
      </c>
      <c r="F26" s="15" t="s">
        <v>31</v>
      </c>
      <c r="G26" s="15" t="s">
        <v>25</v>
      </c>
      <c r="H26" s="15" t="s">
        <v>18</v>
      </c>
      <c r="I26" s="15" t="s">
        <v>13</v>
      </c>
      <c r="J26" s="14" t="s">
        <v>73</v>
      </c>
      <c r="K26" s="14" t="s">
        <v>324</v>
      </c>
      <c r="L26" s="14" t="str">
        <f t="shared" si="0"/>
        <v>insert into CHB_DATACHECK_RULE_INV values ('2dba178a-9744-448e-9e3e-93ec9674ac74','FinDepositTarget002','inDatadict','bussRepDepositInfoDto.repTradeMarket','==','SVR_TRADE_MARKET','Y','交易流通场所不在值域范围内','E','com.joyintech.tams.invest.common.ChbBaseCheckLib');</v>
      </c>
    </row>
    <row r="27" spans="1:12" s="16" customFormat="1">
      <c r="A27" s="15" t="s">
        <v>266</v>
      </c>
      <c r="B27" s="15" t="s">
        <v>104</v>
      </c>
      <c r="C27" s="17" t="s">
        <v>19</v>
      </c>
      <c r="D27" s="17" t="s">
        <v>156</v>
      </c>
      <c r="E27" s="17"/>
      <c r="F27" s="18"/>
      <c r="G27" s="17" t="s">
        <v>24</v>
      </c>
      <c r="H27" s="15" t="s">
        <v>158</v>
      </c>
      <c r="I27" s="17" t="s">
        <v>13</v>
      </c>
      <c r="J27" s="14" t="s">
        <v>244</v>
      </c>
      <c r="K27" s="14" t="s">
        <v>324</v>
      </c>
      <c r="L27" s="14" t="str">
        <f t="shared" si="0"/>
        <v>insert into CHB_DATACHECK_RULE_INV values ('47160b61-1640-41c1-8374-31b2e0dd6edf','FinDepositTarget002','isNotEmpty','finInterestFactorDto.basis','','','N','计息基础要素不可为空。','E','com.joyintech.tams.invest.common.ChbBaseCheckLib');</v>
      </c>
    </row>
    <row r="28" spans="1:12" s="16" customFormat="1">
      <c r="A28" s="15" t="s">
        <v>267</v>
      </c>
      <c r="B28" s="15" t="s">
        <v>104</v>
      </c>
      <c r="C28" s="17" t="s">
        <v>21</v>
      </c>
      <c r="D28" s="17" t="s">
        <v>156</v>
      </c>
      <c r="E28" s="17" t="s">
        <v>12</v>
      </c>
      <c r="F28" s="18" t="s">
        <v>290</v>
      </c>
      <c r="G28" s="17" t="s">
        <v>24</v>
      </c>
      <c r="H28" s="15" t="s">
        <v>161</v>
      </c>
      <c r="I28" s="17" t="s">
        <v>255</v>
      </c>
      <c r="J28" s="14" t="s">
        <v>244</v>
      </c>
      <c r="K28" s="14" t="s">
        <v>324</v>
      </c>
      <c r="L28" s="14" t="str">
        <f t="shared" si="0"/>
        <v>insert into CHB_DATACHECK_RULE_INV values ('b0129e92-ff6b-4b4a-b4ea-f35795649450','FinDepositTarget002','inDatadict','finInterestFactorDto.basis','==','BASIS','N','计息基础要素不可为空，且必须在值域范围内','D','com.joyintech.tams.invest.common.ChbBaseCheckLib');</v>
      </c>
    </row>
    <row r="29" spans="1:12" s="16" customFormat="1">
      <c r="A29" s="15" t="s">
        <v>268</v>
      </c>
      <c r="B29" s="15" t="s">
        <v>104</v>
      </c>
      <c r="C29" s="17" t="s">
        <v>21</v>
      </c>
      <c r="D29" s="17" t="s">
        <v>156</v>
      </c>
      <c r="E29" s="17" t="s">
        <v>12</v>
      </c>
      <c r="F29" s="18" t="s">
        <v>290</v>
      </c>
      <c r="G29" s="17" t="s">
        <v>25</v>
      </c>
      <c r="H29" s="15" t="s">
        <v>157</v>
      </c>
      <c r="I29" s="17" t="s">
        <v>13</v>
      </c>
      <c r="J29" s="14" t="s">
        <v>244</v>
      </c>
      <c r="K29" s="14" t="s">
        <v>324</v>
      </c>
      <c r="L29" s="14" t="str">
        <f t="shared" si="0"/>
        <v>insert into CHB_DATACHECK_RULE_INV values ('ed6c6dd4-872c-46b1-b853-1d0e59985305','FinDepositTarget002','inDatadict','finInterestFactorDto.basis','==','BASIS','Y','计息基础要素必须在值域范围内','E','com.joyintech.tams.invest.common.ChbBaseCheckLib');</v>
      </c>
    </row>
    <row r="30" spans="1:12" s="16" customFormat="1">
      <c r="A30" s="15" t="s">
        <v>269</v>
      </c>
      <c r="B30" s="15" t="s">
        <v>104</v>
      </c>
      <c r="C30" s="17" t="s">
        <v>142</v>
      </c>
      <c r="D30" s="17" t="s">
        <v>147</v>
      </c>
      <c r="E30" s="17" t="s">
        <v>12</v>
      </c>
      <c r="F30" s="18" t="s">
        <v>144</v>
      </c>
      <c r="G30" s="17" t="s">
        <v>25</v>
      </c>
      <c r="H30" s="17" t="s">
        <v>151</v>
      </c>
      <c r="I30" s="17" t="s">
        <v>310</v>
      </c>
      <c r="J30" s="14" t="s">
        <v>159</v>
      </c>
      <c r="K30" s="14" t="s">
        <v>324</v>
      </c>
      <c r="L30" s="14" t="str">
        <f t="shared" si="0"/>
        <v>insert into CHB_DATACHECK_RULE_INV values ('c6d43b48-4947-47cf-9e5e-6ec5eb2c561c','FinDepositTarget002','isValidDate','mdate','==','yyyy-MM-dd','Y','到期日要素必填且必须为日期格式（YYYY-MM-DD）。','D','com.joyintech.tams.invest.common.ChbBaseCheckLib');</v>
      </c>
    </row>
    <row r="31" spans="1:12" s="16" customFormat="1">
      <c r="A31" s="14" t="s">
        <v>270</v>
      </c>
      <c r="B31" s="15" t="s">
        <v>104</v>
      </c>
      <c r="C31" s="14" t="s">
        <v>142</v>
      </c>
      <c r="D31" s="14" t="s">
        <v>147</v>
      </c>
      <c r="E31" s="14" t="s">
        <v>12</v>
      </c>
      <c r="F31" s="14" t="s">
        <v>144</v>
      </c>
      <c r="G31" s="14" t="s">
        <v>25</v>
      </c>
      <c r="H31" s="14" t="s">
        <v>151</v>
      </c>
      <c r="I31" s="14" t="s">
        <v>255</v>
      </c>
      <c r="J31" s="14" t="s">
        <v>159</v>
      </c>
      <c r="K31" s="14" t="s">
        <v>324</v>
      </c>
      <c r="L31" s="14" t="str">
        <f t="shared" si="0"/>
        <v>insert into CHB_DATACHECK_RULE_INV values ('9480764b-3dce-4ae1-9882-6f6a2580090d','FinDepositTarget002','isValidDate','mdate','==','yyyy-MM-dd','Y','到期日要素必填且必须为日期格式（YYYY-MM-DD）。','D','com.joyintech.tams.invest.common.ChbBaseCheckLib');</v>
      </c>
    </row>
    <row r="32" spans="1:12" s="16" customFormat="1">
      <c r="A32" s="15" t="s">
        <v>271</v>
      </c>
      <c r="B32" s="15" t="s">
        <v>104</v>
      </c>
      <c r="C32" s="17" t="s">
        <v>149</v>
      </c>
      <c r="D32" s="17" t="s">
        <v>147</v>
      </c>
      <c r="E32" s="17" t="s">
        <v>141</v>
      </c>
      <c r="F32" s="18" t="s">
        <v>246</v>
      </c>
      <c r="G32" s="17" t="s">
        <v>25</v>
      </c>
      <c r="H32" s="17" t="s">
        <v>150</v>
      </c>
      <c r="I32" s="17" t="s">
        <v>255</v>
      </c>
      <c r="J32" s="14" t="s">
        <v>159</v>
      </c>
      <c r="K32" s="14" t="s">
        <v>324</v>
      </c>
      <c r="L32" s="14" t="str">
        <f t="shared" si="0"/>
        <v>insert into CHB_DATACHECK_RULE_INV values ('ea632d75-2390-48df-af68-530adbad9874','FinDepositTarget002','compareProperty','mdate','&gt;=','vdate','Y','到期日必须大于等于起息日。','D','com.joyintech.tams.invest.common.ChbBaseCheckLib');</v>
      </c>
    </row>
    <row r="33" spans="1:12" s="16" customFormat="1">
      <c r="A33" s="14" t="s">
        <v>272</v>
      </c>
      <c r="B33" s="15" t="s">
        <v>105</v>
      </c>
      <c r="C33" s="14" t="s">
        <v>149</v>
      </c>
      <c r="D33" s="14" t="s">
        <v>147</v>
      </c>
      <c r="E33" s="14" t="s">
        <v>141</v>
      </c>
      <c r="F33" s="18" t="s">
        <v>246</v>
      </c>
      <c r="G33" s="14" t="s">
        <v>25</v>
      </c>
      <c r="H33" s="14" t="s">
        <v>150</v>
      </c>
      <c r="I33" s="14" t="s">
        <v>255</v>
      </c>
      <c r="J33" s="14" t="s">
        <v>159</v>
      </c>
      <c r="K33" s="14" t="s">
        <v>324</v>
      </c>
      <c r="L33" s="14" t="str">
        <f t="shared" si="0"/>
        <v>insert into CHB_DATACHECK_RULE_INV values ('9f3d55ee-5a71-47c8-9f5d-2ff13fcb552f','FinDepositTarget002','compareProperty','mdate','&gt;=','vdate','Y','到期日必须大于等于起息日。','D','com.joyintech.tams.invest.common.ChbBaseCheckLib');</v>
      </c>
    </row>
    <row r="34" spans="1:12" s="16" customFormat="1">
      <c r="A34" s="14" t="s">
        <v>327</v>
      </c>
      <c r="B34" s="15" t="s">
        <v>104</v>
      </c>
      <c r="C34" s="14" t="s">
        <v>19</v>
      </c>
      <c r="D34" s="14" t="s">
        <v>147</v>
      </c>
      <c r="E34" s="14"/>
      <c r="F34" s="14"/>
      <c r="G34" s="14" t="s">
        <v>24</v>
      </c>
      <c r="H34" s="14" t="s">
        <v>148</v>
      </c>
      <c r="I34" s="14" t="s">
        <v>325</v>
      </c>
      <c r="J34" s="14" t="s">
        <v>159</v>
      </c>
      <c r="K34" s="14" t="s">
        <v>324</v>
      </c>
      <c r="L34" s="14" t="str">
        <f t="shared" si="0"/>
        <v>insert into CHB_DATACHECK_RULE_INV values ('cbf6df8f-bf8b-418c-8173-dd793026553b','FinDepositTarget002','isNotEmpty','mdate','','','N','到期日（现金及银行存款）不可以为空','D','com.joyintech.tams.invest.common.ChbBaseCheckLib');</v>
      </c>
    </row>
    <row r="35" spans="1:12" s="16" customFormat="1">
      <c r="A35" s="15" t="s">
        <v>326</v>
      </c>
      <c r="B35" s="15" t="s">
        <v>104</v>
      </c>
      <c r="C35" s="17" t="s">
        <v>19</v>
      </c>
      <c r="D35" s="17" t="s">
        <v>147</v>
      </c>
      <c r="E35" s="17"/>
      <c r="F35" s="18"/>
      <c r="G35" s="17" t="s">
        <v>24</v>
      </c>
      <c r="H35" s="17" t="s">
        <v>163</v>
      </c>
      <c r="I35" s="17" t="s">
        <v>311</v>
      </c>
      <c r="J35" s="14" t="s">
        <v>159</v>
      </c>
      <c r="K35" s="14" t="s">
        <v>324</v>
      </c>
      <c r="L35" s="14" t="str">
        <f t="shared" si="0"/>
        <v>insert into CHB_DATACHECK_RULE_INV values ('4f7dee08-ae4b-47bf-b2cd-f895f2478e53','FinDepositTarget002','isNotEmpty','mdate','','','N','到期日（拆放同业及买入返售/同业拆入及卖出回购）不可以为空','D','com.joyintech.tams.invest.common.ChbBaseCheckLib');</v>
      </c>
    </row>
    <row r="36" spans="1:12" s="16" customFormat="1">
      <c r="A36" s="15" t="s">
        <v>274</v>
      </c>
      <c r="B36" s="15" t="s">
        <v>104</v>
      </c>
      <c r="C36" s="15" t="s">
        <v>21</v>
      </c>
      <c r="D36" s="15" t="s">
        <v>90</v>
      </c>
      <c r="E36" s="15" t="s">
        <v>12</v>
      </c>
      <c r="F36" s="15" t="s">
        <v>93</v>
      </c>
      <c r="G36" s="15" t="s">
        <v>25</v>
      </c>
      <c r="H36" s="15" t="s">
        <v>103</v>
      </c>
      <c r="I36" s="15" t="s">
        <v>13</v>
      </c>
      <c r="J36" s="14" t="s">
        <v>273</v>
      </c>
      <c r="K36" s="14" t="s">
        <v>324</v>
      </c>
      <c r="L36" s="14" t="str">
        <f t="shared" si="0"/>
        <v>insert into CHB_DATACHECK_RULE_INV values ('103E4A49-6810-5A9E-E050-007F01006A57','FinDepositTarget002','inDatadict','bussRepDepositInfoDto.repDepoType','==','SVR_DEPO_TYPE','Y','存款类型要素必须在值域范围内。','E','com.joyintech.tams.invest.common.ChbBaseCheckLib');</v>
      </c>
    </row>
    <row r="37" spans="1:12" s="16" customFormat="1">
      <c r="A37" s="15" t="s">
        <v>275</v>
      </c>
      <c r="B37" s="15" t="s">
        <v>104</v>
      </c>
      <c r="C37" s="17" t="s">
        <v>20</v>
      </c>
      <c r="D37" s="17" t="s">
        <v>90</v>
      </c>
      <c r="E37" s="17" t="s">
        <v>12</v>
      </c>
      <c r="F37" s="18" t="s">
        <v>138</v>
      </c>
      <c r="G37" s="17" t="s">
        <v>25</v>
      </c>
      <c r="H37" s="15" t="s">
        <v>99</v>
      </c>
      <c r="I37" s="17" t="s">
        <v>277</v>
      </c>
      <c r="J37" s="14" t="s">
        <v>72</v>
      </c>
      <c r="K37" s="14" t="s">
        <v>324</v>
      </c>
      <c r="L37" s="14" t="str">
        <f t="shared" si="0"/>
        <v>insert into CHB_DATACHECK_RULE_INV values ('833d5cc0-39b9-4a10-a0fa-e7d11e9f5665','FinDepositTarget002','lessThanCharLength','bussRepDepositInfoDto.repDepoType','==','0','Y','存款类型要素必须为空。','E','com.joyintech.tams.invest.common.ChbBaseCheckLib');</v>
      </c>
    </row>
    <row r="38" spans="1:12" s="16" customFormat="1">
      <c r="A38" s="15" t="s">
        <v>276</v>
      </c>
      <c r="B38" s="15" t="s">
        <v>104</v>
      </c>
      <c r="C38" s="17" t="s">
        <v>19</v>
      </c>
      <c r="D38" s="17" t="s">
        <v>90</v>
      </c>
      <c r="E38" s="17"/>
      <c r="F38" s="18"/>
      <c r="G38" s="17" t="s">
        <v>24</v>
      </c>
      <c r="H38" s="15" t="s">
        <v>98</v>
      </c>
      <c r="I38" s="17" t="s">
        <v>278</v>
      </c>
      <c r="J38" s="14" t="s">
        <v>72</v>
      </c>
      <c r="K38" s="14" t="s">
        <v>324</v>
      </c>
      <c r="L38" s="14" t="str">
        <f t="shared" si="0"/>
        <v>insert into CHB_DATACHECK_RULE_INV values ('716d621e-cf1e-4d33-b111-3621bcf339d8','FinDepositTarget002','isNotEmpty','bussRepDepositInfoDto.repDepoType','','','N','存款类型要素必填。','D','com.joyintech.tams.invest.common.ChbBaseCheckLib');</v>
      </c>
    </row>
    <row r="39" spans="1:12" s="16" customFormat="1">
      <c r="A39" s="14" t="s">
        <v>329</v>
      </c>
      <c r="B39" s="15" t="s">
        <v>104</v>
      </c>
      <c r="C39" s="14" t="s">
        <v>19</v>
      </c>
      <c r="D39" s="14" t="s">
        <v>7</v>
      </c>
      <c r="E39" s="14"/>
      <c r="F39" s="14">
        <v>0</v>
      </c>
      <c r="G39" s="14" t="s">
        <v>24</v>
      </c>
      <c r="H39" s="14" t="s">
        <v>27</v>
      </c>
      <c r="I39" s="14" t="s">
        <v>279</v>
      </c>
      <c r="J39" s="14" t="s">
        <v>77</v>
      </c>
      <c r="K39" s="14" t="s">
        <v>324</v>
      </c>
      <c r="L39" s="14" t="str">
        <f t="shared" si="0"/>
        <v>insert into CHB_DATACHECK_RULE_INV values ('f04d67df-4be8-4e1c-bfb7-7cc650204709','FinDepositTarget002','isNotEmpty','bussRepDepositInfoDto.repRemark','','0','N','备注要素不可为空','D','com.joyintech.tams.invest.common.ChbBaseCheckLib');</v>
      </c>
    </row>
    <row r="40" spans="1:12" s="16" customFormat="1">
      <c r="A40" s="15" t="s">
        <v>280</v>
      </c>
      <c r="B40" s="15" t="s">
        <v>104</v>
      </c>
      <c r="C40" s="15" t="s">
        <v>20</v>
      </c>
      <c r="D40" s="15" t="s">
        <v>7</v>
      </c>
      <c r="E40" s="15"/>
      <c r="F40" s="15">
        <v>257</v>
      </c>
      <c r="G40" s="15" t="s">
        <v>25</v>
      </c>
      <c r="H40" s="15" t="s">
        <v>28</v>
      </c>
      <c r="I40" s="15" t="s">
        <v>353</v>
      </c>
      <c r="J40" s="14" t="s">
        <v>77</v>
      </c>
      <c r="K40" s="14" t="s">
        <v>324</v>
      </c>
      <c r="L40" s="14" t="str">
        <f t="shared" si="0"/>
        <v>insert into CHB_DATACHECK_RULE_INV values ('7c35f75f-dd70-4994-bb5d-ec0db27b2cd7','FinDepositTarget002','lessThanCharLength','bussRepDepositInfoDto.repRemark','','257','Y','备注不能超过256字符','D','com.joyintech.tams.invest.common.ChbBaseCheckLib');</v>
      </c>
    </row>
    <row r="41" spans="1:12" s="16" customFormat="1">
      <c r="A41" s="15" t="s">
        <v>281</v>
      </c>
      <c r="B41" s="15" t="s">
        <v>104</v>
      </c>
      <c r="C41" s="15" t="s">
        <v>14</v>
      </c>
      <c r="D41" s="15" t="s">
        <v>7</v>
      </c>
      <c r="E41" s="15"/>
      <c r="F41" s="15" t="s">
        <v>26</v>
      </c>
      <c r="G41" s="15" t="s">
        <v>25</v>
      </c>
      <c r="H41" s="15" t="s">
        <v>29</v>
      </c>
      <c r="I41" s="15" t="s">
        <v>13</v>
      </c>
      <c r="J41" s="14" t="s">
        <v>77</v>
      </c>
      <c r="K41" s="14" t="s">
        <v>324</v>
      </c>
      <c r="L41" s="14" t="str">
        <f t="shared" si="0"/>
        <v>insert into CHB_DATACHECK_RULE_INV values ('06dc98c5-fe51-4b88-af9c-ffb31a8f162f','FinDepositTarget002','isCustomizedString','bussRepDepositInfoDto.repRemark','','^[\u4e00-\u9fa5\ue815-\ue864\uff01-\uff5e\uffe0-\uffe5\u3000-\u3003\u3005-\u3017\u301d-\u301e\u2010\u2013-\u2016\u2018-\u2019\u201c-\u201d\u2025-\u2026\u2030\u2032-\u2033\u2035\u203b\u00b7\u0030-\u0039\u0041-\u005a\u0061-\u007a\u2160-\u216b\u0020-\u0026\u0028-\u007B\u007D\u007E]{0,}$','Y','备注必须填写白名单中的文字。','E','com.joyintech.tams.invest.common.ChbBaseCheckLib');</v>
      </c>
    </row>
    <row r="42" spans="1:12" s="16" customFormat="1">
      <c r="A42" s="15" t="s">
        <v>312</v>
      </c>
      <c r="B42" s="15" t="s">
        <v>104</v>
      </c>
      <c r="C42" s="15" t="s">
        <v>20</v>
      </c>
      <c r="D42" s="15" t="s">
        <v>7</v>
      </c>
      <c r="E42" s="15"/>
      <c r="F42" s="15">
        <v>257</v>
      </c>
      <c r="G42" s="15" t="s">
        <v>25</v>
      </c>
      <c r="H42" s="15" t="s">
        <v>28</v>
      </c>
      <c r="I42" s="15" t="s">
        <v>352</v>
      </c>
      <c r="J42" s="14" t="s">
        <v>291</v>
      </c>
      <c r="K42" s="14" t="s">
        <v>324</v>
      </c>
      <c r="L42" s="14" t="str">
        <f t="shared" si="0"/>
        <v>insert into CHB_DATACHECK_RULE_INV values ('7c35f75f-dd70-4994-bb5d-ec0db27b4cd7','FinDepositTarget002','lessThanCharLength','bussRepDlRepoInfoDto.repRemark','','257','Y','备注不能超过256字符','D','com.joyintech.tams.invest.common.ChbBaseCheckLib');</v>
      </c>
    </row>
    <row r="43" spans="1:12" s="16" customFormat="1">
      <c r="A43" s="15" t="s">
        <v>313</v>
      </c>
      <c r="B43" s="15" t="s">
        <v>104</v>
      </c>
      <c r="C43" s="15" t="s">
        <v>14</v>
      </c>
      <c r="D43" s="15" t="s">
        <v>7</v>
      </c>
      <c r="E43" s="15"/>
      <c r="F43" s="15" t="s">
        <v>26</v>
      </c>
      <c r="G43" s="15" t="s">
        <v>25</v>
      </c>
      <c r="H43" s="15" t="s">
        <v>29</v>
      </c>
      <c r="I43" s="15" t="s">
        <v>13</v>
      </c>
      <c r="J43" s="14" t="s">
        <v>291</v>
      </c>
      <c r="K43" s="14" t="s">
        <v>324</v>
      </c>
      <c r="L43" s="14" t="str">
        <f t="shared" si="0"/>
        <v>insert into CHB_DATACHECK_RULE_INV values ('06dc98c5-fe51-4b88-af9c-ffb31a8f362f','FinDepositTarget002','isCustomizedString','bussRepDlRepoInfoDto.repRemark','','^[\u4e00-\u9fa5\ue815-\ue864\uff01-\uff5e\uffe0-\uffe5\u3000-\u3003\u3005-\u3017\u301d-\u301e\u2010\u2013-\u2016\u2018-\u2019\u201c-\u201d\u2025-\u2026\u2030\u2032-\u2033\u2035\u203b\u00b7\u0030-\u0039\u0041-\u005a\u0061-\u007a\u2160-\u216b\u0020-\u0026\u0028-\u007B\u007D\u007E]{0,}$','Y','备注必须填写白名单中的文字。','E','com.joyintech.tams.invest.common.ChbBaseCheckLib');</v>
      </c>
    </row>
    <row r="44" spans="1:12" s="16" customFormat="1">
      <c r="A44" s="15" t="s">
        <v>314</v>
      </c>
      <c r="B44" s="15" t="s">
        <v>104</v>
      </c>
      <c r="C44" s="15" t="s">
        <v>19</v>
      </c>
      <c r="D44" s="15" t="s">
        <v>23</v>
      </c>
      <c r="E44" s="15"/>
      <c r="F44" s="15"/>
      <c r="G44" s="15" t="s">
        <v>24</v>
      </c>
      <c r="H44" s="15" t="s">
        <v>30</v>
      </c>
      <c r="I44" s="15" t="s">
        <v>309</v>
      </c>
      <c r="J44" s="14" t="s">
        <v>292</v>
      </c>
      <c r="K44" s="14" t="s">
        <v>324</v>
      </c>
      <c r="L44" s="14" t="str">
        <f t="shared" si="0"/>
        <v>insert into CHB_DATACHECK_RULE_INV values ('81622834-6a13-46b6-a496-3322b033be2c','FinDepositTarget002','isNotEmpty','bussRepDlRepoInfoDto.repTradeMarket','','','N','交易流通场所要素必填','D','com.joyintech.tams.invest.common.ChbBaseCheckLib');</v>
      </c>
    </row>
    <row r="45" spans="1:12" s="16" customFormat="1">
      <c r="A45" s="15" t="s">
        <v>293</v>
      </c>
      <c r="B45" s="15" t="s">
        <v>294</v>
      </c>
      <c r="C45" s="15" t="s">
        <v>21</v>
      </c>
      <c r="D45" s="15" t="s">
        <v>23</v>
      </c>
      <c r="E45" s="15" t="s">
        <v>12</v>
      </c>
      <c r="F45" s="15" t="s">
        <v>31</v>
      </c>
      <c r="G45" s="15" t="s">
        <v>25</v>
      </c>
      <c r="H45" s="15" t="s">
        <v>18</v>
      </c>
      <c r="I45" s="15" t="s">
        <v>13</v>
      </c>
      <c r="J45" s="14" t="s">
        <v>295</v>
      </c>
      <c r="K45" s="14" t="s">
        <v>324</v>
      </c>
      <c r="L45" s="14" t="str">
        <f t="shared" si="0"/>
        <v>insert into CHB_DATACHECK_RULE_INV values ('2dba178a-9744-448e-9e3e-93ec9674ac84','FinDepositTarget002','inDatadict','bussRepDlRepoInfoDto.repTradeMarket','==','SVR_TRADE_MARKET','Y','交易流通场所不在值域范围内','E','com.joyintech.tams.invest.common.ChbBaseCheckLib');</v>
      </c>
    </row>
    <row r="46" spans="1:12">
      <c r="A46" s="24" t="s">
        <v>330</v>
      </c>
      <c r="B46" s="24" t="s">
        <v>104</v>
      </c>
      <c r="C46" s="24" t="s">
        <v>14</v>
      </c>
      <c r="D46" s="24" t="s">
        <v>331</v>
      </c>
      <c r="E46" s="24"/>
      <c r="F46" s="24" t="s">
        <v>332</v>
      </c>
      <c r="G46" s="24" t="s">
        <v>25</v>
      </c>
      <c r="H46" s="24" t="s">
        <v>333</v>
      </c>
      <c r="I46" s="24" t="s">
        <v>13</v>
      </c>
      <c r="J46" s="24" t="s">
        <v>334</v>
      </c>
      <c r="K46" s="23" t="s">
        <v>324</v>
      </c>
      <c r="L46" t="s">
        <v>335</v>
      </c>
    </row>
    <row r="47" spans="1:12">
      <c r="A47" s="3" t="s">
        <v>336</v>
      </c>
      <c r="B47" s="3" t="s">
        <v>104</v>
      </c>
      <c r="C47" s="3" t="s">
        <v>20</v>
      </c>
      <c r="D47" s="3" t="s">
        <v>331</v>
      </c>
      <c r="F47" s="3">
        <v>41</v>
      </c>
      <c r="G47" s="3" t="s">
        <v>25</v>
      </c>
      <c r="H47" s="3" t="s">
        <v>337</v>
      </c>
      <c r="I47" s="3" t="s">
        <v>13</v>
      </c>
      <c r="J47" s="3" t="s">
        <v>334</v>
      </c>
      <c r="K47" s="23" t="s">
        <v>324</v>
      </c>
      <c r="L47" t="s">
        <v>338</v>
      </c>
    </row>
    <row r="48" spans="1:12">
      <c r="A48" s="3" t="s">
        <v>339</v>
      </c>
      <c r="B48" s="3" t="s">
        <v>104</v>
      </c>
      <c r="C48" s="3" t="s">
        <v>14</v>
      </c>
      <c r="D48" s="3" t="s">
        <v>340</v>
      </c>
      <c r="F48" s="3" t="s">
        <v>26</v>
      </c>
      <c r="G48" s="3" t="s">
        <v>25</v>
      </c>
      <c r="H48" s="3" t="s">
        <v>341</v>
      </c>
      <c r="I48" s="3" t="s">
        <v>13</v>
      </c>
      <c r="J48" s="3" t="s">
        <v>342</v>
      </c>
      <c r="K48" s="23" t="s">
        <v>324</v>
      </c>
      <c r="L48" t="s">
        <v>343</v>
      </c>
    </row>
    <row r="49" spans="1:12">
      <c r="A49" s="3" t="s">
        <v>344</v>
      </c>
      <c r="B49" s="3" t="s">
        <v>104</v>
      </c>
      <c r="C49" s="3" t="s">
        <v>20</v>
      </c>
      <c r="D49" s="3" t="s">
        <v>340</v>
      </c>
      <c r="F49" s="3">
        <v>201</v>
      </c>
      <c r="G49" s="3" t="s">
        <v>25</v>
      </c>
      <c r="H49" s="3" t="s">
        <v>345</v>
      </c>
      <c r="I49" s="3" t="s">
        <v>354</v>
      </c>
      <c r="J49" s="3" t="s">
        <v>342</v>
      </c>
      <c r="K49" s="23" t="s">
        <v>324</v>
      </c>
      <c r="L49" t="s">
        <v>346</v>
      </c>
    </row>
    <row r="50" spans="1:12">
      <c r="A50" s="3" t="s">
        <v>347</v>
      </c>
      <c r="B50" s="3" t="s">
        <v>104</v>
      </c>
      <c r="C50" s="3" t="s">
        <v>139</v>
      </c>
      <c r="F50" s="3" t="s">
        <v>348</v>
      </c>
      <c r="G50" s="3" t="s">
        <v>25</v>
      </c>
      <c r="H50" s="3" t="s">
        <v>349</v>
      </c>
      <c r="I50" s="3" t="s">
        <v>13</v>
      </c>
      <c r="J50" s="3" t="s">
        <v>350</v>
      </c>
      <c r="K50" s="23" t="s">
        <v>324</v>
      </c>
      <c r="L50" t="s">
        <v>351</v>
      </c>
    </row>
    <row r="51" spans="1:12">
      <c r="A51" s="3" t="s">
        <v>355</v>
      </c>
      <c r="B51" s="3" t="s">
        <v>104</v>
      </c>
      <c r="C51" s="3" t="s">
        <v>19</v>
      </c>
      <c r="G51" s="3" t="s">
        <v>24</v>
      </c>
      <c r="H51" s="3" t="s">
        <v>356</v>
      </c>
      <c r="I51" s="3" t="s">
        <v>250</v>
      </c>
      <c r="J51" s="3" t="s">
        <v>357</v>
      </c>
      <c r="K51" s="23" t="s">
        <v>324</v>
      </c>
      <c r="L51" t="s">
        <v>358</v>
      </c>
    </row>
    <row r="52" spans="1:12">
      <c r="A52" s="3" t="s">
        <v>359</v>
      </c>
      <c r="B52" s="3" t="s">
        <v>104</v>
      </c>
      <c r="C52" s="3" t="s">
        <v>19</v>
      </c>
      <c r="G52" s="3" t="s">
        <v>24</v>
      </c>
      <c r="H52" s="3" t="s">
        <v>356</v>
      </c>
      <c r="I52" s="3" t="s">
        <v>250</v>
      </c>
      <c r="J52" s="3" t="s">
        <v>360</v>
      </c>
      <c r="K52" s="23" t="s">
        <v>324</v>
      </c>
      <c r="L52" t="s">
        <v>361</v>
      </c>
    </row>
  </sheetData>
  <autoFilter ref="A1:L1"/>
  <sortState ref="A2:K76">
    <sortCondition descending="1" ref="H1"/>
  </sortState>
  <phoneticPr fontId="2" type="noConversion"/>
  <conditionalFormatting sqref="A46:A1048576 A1:A41">
    <cfRule type="duplicateValues" dxfId="4" priority="3"/>
  </conditionalFormatting>
  <conditionalFormatting sqref="A44:A45">
    <cfRule type="duplicateValues" dxfId="3" priority="2"/>
  </conditionalFormatting>
  <conditionalFormatting sqref="A42:A43">
    <cfRule type="duplicateValues" dxfId="2" priority="1"/>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38"/>
  <sheetViews>
    <sheetView tabSelected="1" topLeftCell="A31" workbookViewId="0">
      <selection activeCell="H37" sqref="H37:H38"/>
    </sheetView>
  </sheetViews>
  <sheetFormatPr defaultRowHeight="13.5"/>
  <cols>
    <col min="1" max="2" width="40.5" style="1" bestFit="1" customWidth="1"/>
    <col min="3" max="4" width="18.5" style="1" bestFit="1" customWidth="1"/>
    <col min="5" max="5" width="16" style="1" bestFit="1" customWidth="1"/>
    <col min="6" max="6" width="34.125" style="8" customWidth="1"/>
    <col min="7" max="7" width="50.625" style="1" customWidth="1"/>
    <col min="8" max="8" width="12.5" style="1" bestFit="1" customWidth="1"/>
    <col min="9" max="9" width="38.25" style="10" bestFit="1" customWidth="1"/>
    <col min="10" max="10" width="11.625" style="10" customWidth="1"/>
    <col min="11" max="16384" width="9" style="10"/>
  </cols>
  <sheetData>
    <row r="1" spans="1:10" s="9" customFormat="1">
      <c r="A1" s="2" t="s">
        <v>10</v>
      </c>
      <c r="B1" s="2" t="s">
        <v>0</v>
      </c>
      <c r="C1" s="2" t="s">
        <v>2</v>
      </c>
      <c r="D1" s="2" t="s">
        <v>3</v>
      </c>
      <c r="E1" s="2" t="s">
        <v>4</v>
      </c>
      <c r="F1" s="7" t="s">
        <v>5</v>
      </c>
      <c r="G1" s="2" t="s">
        <v>7</v>
      </c>
      <c r="H1" s="2" t="s">
        <v>8</v>
      </c>
      <c r="I1" s="4" t="s">
        <v>34</v>
      </c>
      <c r="J1" s="12" t="s">
        <v>122</v>
      </c>
    </row>
    <row r="2" spans="1:10" s="17" customFormat="1">
      <c r="A2" s="15" t="s">
        <v>184</v>
      </c>
      <c r="B2" s="15" t="s">
        <v>304</v>
      </c>
      <c r="C2" s="15" t="s">
        <v>11</v>
      </c>
      <c r="D2" s="15" t="s">
        <v>22</v>
      </c>
      <c r="E2" s="15" t="s">
        <v>33</v>
      </c>
      <c r="F2" s="20" t="s">
        <v>108</v>
      </c>
      <c r="G2" s="15"/>
      <c r="H2" s="15" t="s">
        <v>255</v>
      </c>
      <c r="I2" s="15" t="s">
        <v>71</v>
      </c>
      <c r="J2" s="16" t="str">
        <f>CONCATENATE("INSERT INTO CHB_DATACHECK_CONDITION_INV VALUES ('",A2,"','",B2,"','",C2,"','",I2,"','",E2,"','",F2,"','",G2,"','",H2,"');")</f>
        <v>INSERT INTO CHB_DATACHECK_CONDITION_INV VALUES ('2fa47113-b502-4121-af33-dbb93cc7a756','953f725a-b93e-4499-b302-db92f2019aec','inArray','bussRepDepositInfoDto.repAssetType','!=','1002,1003,1004,1005','','D');</v>
      </c>
    </row>
    <row r="3" spans="1:10" s="17" customFormat="1">
      <c r="A3" s="15" t="s">
        <v>185</v>
      </c>
      <c r="B3" s="15" t="s">
        <v>217</v>
      </c>
      <c r="C3" s="15" t="s">
        <v>11</v>
      </c>
      <c r="D3" s="15" t="s">
        <v>22</v>
      </c>
      <c r="E3" s="15" t="s">
        <v>12</v>
      </c>
      <c r="F3" s="20" t="s">
        <v>107</v>
      </c>
      <c r="G3" s="15"/>
      <c r="H3" s="15" t="s">
        <v>255</v>
      </c>
      <c r="I3" s="15" t="s">
        <v>296</v>
      </c>
      <c r="J3" s="16" t="str">
        <f t="shared" ref="J3:J36" si="0">CONCATENATE("INSERT INTO CHB_DATACHECK_CONDITION_INV VALUES ('",A3,"','",B3,"','",C3,"','",I3,"','",E3,"','",F3,"','",G3,"','",H3,"');")</f>
        <v>INSERT INTO CHB_DATACHECK_CONDITION_INV VALUES ('5b8fa2a5-5099-4cac-87c3-126719f90b5f','4f7dee08-ae4b-47bf-b2cd-f895f2478e53','inArray','bussRepDlRepoInfoDto.repAssetType','==','1901,1902,1107,1108','','D');</v>
      </c>
    </row>
    <row r="4" spans="1:10" s="17" customFormat="1">
      <c r="A4" s="15" t="s">
        <v>186</v>
      </c>
      <c r="B4" s="15" t="s">
        <v>319</v>
      </c>
      <c r="C4" s="15" t="s">
        <v>11</v>
      </c>
      <c r="D4" s="15" t="s">
        <v>22</v>
      </c>
      <c r="E4" s="15" t="s">
        <v>12</v>
      </c>
      <c r="F4" s="20" t="s">
        <v>108</v>
      </c>
      <c r="G4" s="15"/>
      <c r="H4" s="15" t="s">
        <v>13</v>
      </c>
      <c r="I4" s="15" t="s">
        <v>71</v>
      </c>
      <c r="J4" s="16" t="str">
        <f t="shared" si="0"/>
        <v>INSERT INTO CHB_DATACHECK_CONDITION_INV VALUES ('27de4050-c1c5-4023-af75-d3b4654e675d','de4ae59a-3fbd-4a74-895a-8a7e6ec496b4','inArray','bussRepDepositInfoDto.repAssetType','==','1002,1003,1004,1005','','E');</v>
      </c>
    </row>
    <row r="5" spans="1:10" s="17" customFormat="1">
      <c r="A5" s="15" t="s">
        <v>187</v>
      </c>
      <c r="B5" s="15" t="s">
        <v>218</v>
      </c>
      <c r="C5" s="15" t="s">
        <v>11</v>
      </c>
      <c r="D5" s="15" t="s">
        <v>22</v>
      </c>
      <c r="E5" s="15" t="s">
        <v>12</v>
      </c>
      <c r="F5" s="20" t="s">
        <v>107</v>
      </c>
      <c r="G5" s="15"/>
      <c r="H5" s="15" t="s">
        <v>255</v>
      </c>
      <c r="I5" s="15" t="s">
        <v>296</v>
      </c>
      <c r="J5" s="16" t="str">
        <f t="shared" si="0"/>
        <v>INSERT INTO CHB_DATACHECK_CONDITION_INV VALUES ('b4916153-07eb-4ecc-9294-26f344c56c7f','d55b236c-917c-4c1c-ac15-e7b4d1e08b35','inArray','bussRepDlRepoInfoDto.repAssetType','==','1901,1902,1107,1108','','D');</v>
      </c>
    </row>
    <row r="6" spans="1:10" s="17" customFormat="1">
      <c r="A6" s="15" t="s">
        <v>188</v>
      </c>
      <c r="B6" s="15" t="s">
        <v>249</v>
      </c>
      <c r="C6" s="15" t="s">
        <v>11</v>
      </c>
      <c r="D6" s="15" t="s">
        <v>22</v>
      </c>
      <c r="E6" s="15" t="s">
        <v>12</v>
      </c>
      <c r="F6" s="20" t="s">
        <v>108</v>
      </c>
      <c r="G6" s="15"/>
      <c r="H6" s="15" t="s">
        <v>255</v>
      </c>
      <c r="I6" s="15" t="s">
        <v>71</v>
      </c>
      <c r="J6" s="16" t="str">
        <f t="shared" si="0"/>
        <v>INSERT INTO CHB_DATACHECK_CONDITION_INV VALUES ('721e0110-7a0c-41e9-9b1f-8ab91424ad40','d4add872-0ae7-4387-8d96-01134e2521df','inArray','bussRepDepositInfoDto.repAssetType','==','1002,1003,1004,1005','','D');</v>
      </c>
    </row>
    <row r="7" spans="1:10" s="17" customFormat="1">
      <c r="A7" s="15" t="s">
        <v>189</v>
      </c>
      <c r="B7" s="15" t="s">
        <v>219</v>
      </c>
      <c r="C7" s="15" t="s">
        <v>11</v>
      </c>
      <c r="D7" s="15" t="s">
        <v>22</v>
      </c>
      <c r="E7" s="15" t="s">
        <v>12</v>
      </c>
      <c r="F7" s="20" t="s">
        <v>108</v>
      </c>
      <c r="G7" s="15"/>
      <c r="H7" s="15" t="s">
        <v>328</v>
      </c>
      <c r="I7" s="15" t="s">
        <v>71</v>
      </c>
      <c r="J7" s="16" t="str">
        <f t="shared" si="0"/>
        <v>INSERT INTO CHB_DATACHECK_CONDITION_INV VALUES ('492c3afc-21b5-493a-ad0b-ca965090a9eb','cbf6df8f-bf8b-418c-8173-dd793026553b','inArray','bussRepDepositInfoDto.repAssetType','==','1002,1003,1004,1005','','D');</v>
      </c>
    </row>
    <row r="8" spans="1:10" s="17" customFormat="1">
      <c r="A8" s="15" t="s">
        <v>190</v>
      </c>
      <c r="B8" s="15" t="s">
        <v>220</v>
      </c>
      <c r="C8" s="15" t="s">
        <v>11</v>
      </c>
      <c r="D8" s="15" t="s">
        <v>22</v>
      </c>
      <c r="E8" s="15" t="s">
        <v>12</v>
      </c>
      <c r="F8" s="20" t="s">
        <v>107</v>
      </c>
      <c r="G8" s="15"/>
      <c r="H8" s="15" t="s">
        <v>13</v>
      </c>
      <c r="I8" s="15" t="s">
        <v>71</v>
      </c>
      <c r="J8" s="16" t="str">
        <f t="shared" si="0"/>
        <v>INSERT INTO CHB_DATACHECK_CONDITION_INV VALUES ('6f661ba2-2c84-4c8e-a833-19f3cb98ccf2','a9854a88-31b0-4d6c-8854-dce60309b244','inArray','bussRepDepositInfoDto.repAssetType','==','1901,1902,1107,1108','','E');</v>
      </c>
    </row>
    <row r="9" spans="1:10" s="17" customFormat="1">
      <c r="A9" s="15" t="s">
        <v>191</v>
      </c>
      <c r="B9" s="15" t="s">
        <v>282</v>
      </c>
      <c r="C9" s="15" t="s">
        <v>11</v>
      </c>
      <c r="D9" s="15" t="s">
        <v>22</v>
      </c>
      <c r="E9" s="15" t="s">
        <v>12</v>
      </c>
      <c r="F9" s="20" t="s">
        <v>108</v>
      </c>
      <c r="G9" s="15"/>
      <c r="H9" s="15" t="s">
        <v>13</v>
      </c>
      <c r="I9" s="15" t="s">
        <v>71</v>
      </c>
      <c r="J9" s="16" t="str">
        <f t="shared" si="0"/>
        <v>INSERT INTO CHB_DATACHECK_CONDITION_INV VALUES ('b24374c1-457d-4a08-aa6c-80cecd67b88f','52827f80-e677-4b63-8798-6c667365bb04','inArray','bussRepDepositInfoDto.repAssetType','==','1002,1003,1004,1005','','E');</v>
      </c>
    </row>
    <row r="10" spans="1:10" s="17" customFormat="1">
      <c r="A10" s="15" t="s">
        <v>192</v>
      </c>
      <c r="B10" s="15" t="s">
        <v>221</v>
      </c>
      <c r="C10" s="15" t="s">
        <v>11</v>
      </c>
      <c r="D10" s="15" t="s">
        <v>22</v>
      </c>
      <c r="E10" s="15" t="s">
        <v>12</v>
      </c>
      <c r="F10" s="20" t="s">
        <v>108</v>
      </c>
      <c r="G10" s="15"/>
      <c r="H10" s="15" t="s">
        <v>13</v>
      </c>
      <c r="I10" s="15" t="s">
        <v>71</v>
      </c>
      <c r="J10" s="16" t="str">
        <f t="shared" si="0"/>
        <v>INSERT INTO CHB_DATACHECK_CONDITION_INV VALUES ('fa77e3c6-b9e0-46f5-81f0-76b2c4169d9e','9480764b-3dce-4ae1-9882-6f6a2580090d','inArray','bussRepDepositInfoDto.repAssetType','==','1002,1003,1004,1005','','E');</v>
      </c>
    </row>
    <row r="11" spans="1:10" s="17" customFormat="1">
      <c r="A11" s="15" t="s">
        <v>193</v>
      </c>
      <c r="B11" s="15" t="s">
        <v>222</v>
      </c>
      <c r="C11" s="15" t="s">
        <v>11</v>
      </c>
      <c r="D11" s="15" t="s">
        <v>22</v>
      </c>
      <c r="E11" s="15" t="s">
        <v>12</v>
      </c>
      <c r="F11" s="20" t="s">
        <v>108</v>
      </c>
      <c r="G11" s="15"/>
      <c r="H11" s="15" t="s">
        <v>13</v>
      </c>
      <c r="I11" s="15" t="s">
        <v>71</v>
      </c>
      <c r="J11" s="16" t="str">
        <f t="shared" si="0"/>
        <v>INSERT INTO CHB_DATACHECK_CONDITION_INV VALUES ('03004d35-7d82-423f-9718-1e85a99ccf16','9f3d55ee-5a71-47c8-9f5d-2ff13fcb552f','inArray','bussRepDepositInfoDto.repAssetType','==','1002,1003,1004,1005','','E');</v>
      </c>
    </row>
    <row r="12" spans="1:10" s="17" customFormat="1">
      <c r="A12" s="15" t="s">
        <v>194</v>
      </c>
      <c r="B12" s="15" t="s">
        <v>283</v>
      </c>
      <c r="C12" s="15" t="s">
        <v>11</v>
      </c>
      <c r="D12" s="15" t="s">
        <v>22</v>
      </c>
      <c r="E12" s="15" t="s">
        <v>12</v>
      </c>
      <c r="F12" s="20" t="s">
        <v>108</v>
      </c>
      <c r="G12" s="15"/>
      <c r="H12" s="15" t="s">
        <v>13</v>
      </c>
      <c r="I12" s="15" t="s">
        <v>71</v>
      </c>
      <c r="J12" s="16" t="str">
        <f t="shared" si="0"/>
        <v>INSERT INTO CHB_DATACHECK_CONDITION_INV VALUES ('03fa04ea-ee96-41e2-b3e4-fe85d2b2a601','8d13539d-62cd-45f4-9271-7396ebd20a81','inArray','bussRepDepositInfoDto.repAssetType','==','1002,1003,1004,1005','','E');</v>
      </c>
    </row>
    <row r="13" spans="1:10" s="17" customFormat="1">
      <c r="A13" s="15" t="s">
        <v>195</v>
      </c>
      <c r="B13" s="15" t="s">
        <v>223</v>
      </c>
      <c r="C13" s="15" t="s">
        <v>11</v>
      </c>
      <c r="D13" s="15" t="s">
        <v>22</v>
      </c>
      <c r="E13" s="15" t="s">
        <v>12</v>
      </c>
      <c r="F13" s="20" t="s">
        <v>108</v>
      </c>
      <c r="G13" s="15"/>
      <c r="H13" s="15" t="s">
        <v>13</v>
      </c>
      <c r="I13" s="15" t="s">
        <v>71</v>
      </c>
      <c r="J13" s="16" t="str">
        <f t="shared" si="0"/>
        <v>INSERT INTO CHB_DATACHECK_CONDITION_INV VALUES ('31237b52-8a90-48eb-988b-28fbcc7d76c3','13d5b455-156b-41b4-8248-7119103af3e8','inArray','bussRepDepositInfoDto.repAssetType','==','1002,1003,1004,1005','','E');</v>
      </c>
    </row>
    <row r="14" spans="1:10" s="17" customFormat="1">
      <c r="A14" s="15" t="s">
        <v>196</v>
      </c>
      <c r="B14" s="15" t="s">
        <v>224</v>
      </c>
      <c r="C14" s="15" t="s">
        <v>11</v>
      </c>
      <c r="D14" s="15" t="s">
        <v>22</v>
      </c>
      <c r="E14" s="15" t="s">
        <v>12</v>
      </c>
      <c r="F14" s="20" t="s">
        <v>108</v>
      </c>
      <c r="G14" s="15"/>
      <c r="H14" s="15" t="s">
        <v>13</v>
      </c>
      <c r="I14" s="15" t="s">
        <v>71</v>
      </c>
      <c r="J14" s="16" t="str">
        <f t="shared" si="0"/>
        <v>INSERT INTO CHB_DATACHECK_CONDITION_INV VALUES ('3d6afc06-4811-4534-bc94-d93ae5297e56','47160b61-1640-41c1-8374-31b2e0dd6edf','inArray','bussRepDepositInfoDto.repAssetType','==','1002,1003,1004,1005','','E');</v>
      </c>
    </row>
    <row r="15" spans="1:10" s="17" customFormat="1">
      <c r="A15" s="15" t="s">
        <v>197</v>
      </c>
      <c r="B15" s="15" t="s">
        <v>225</v>
      </c>
      <c r="C15" s="15" t="s">
        <v>11</v>
      </c>
      <c r="D15" s="15" t="s">
        <v>22</v>
      </c>
      <c r="E15" s="15" t="s">
        <v>12</v>
      </c>
      <c r="F15" s="20" t="s">
        <v>108</v>
      </c>
      <c r="G15" s="15"/>
      <c r="H15" s="15" t="s">
        <v>13</v>
      </c>
      <c r="I15" s="15" t="s">
        <v>71</v>
      </c>
      <c r="J15" s="16" t="str">
        <f t="shared" si="0"/>
        <v>INSERT INTO CHB_DATACHECK_CONDITION_INV VALUES ('0f2c479e-b464-436a-bad5-bf05fcf3d94e','ed6c6dd4-872c-46b1-b853-1d0e59985305','inArray','bussRepDepositInfoDto.repAssetType','==','1002,1003,1004,1005','','E');</v>
      </c>
    </row>
    <row r="16" spans="1:10" s="17" customFormat="1">
      <c r="A16" s="15" t="s">
        <v>198</v>
      </c>
      <c r="B16" s="15" t="s">
        <v>284</v>
      </c>
      <c r="C16" s="15" t="s">
        <v>11</v>
      </c>
      <c r="D16" s="15" t="s">
        <v>22</v>
      </c>
      <c r="E16" s="15" t="s">
        <v>12</v>
      </c>
      <c r="F16" s="20" t="s">
        <v>109</v>
      </c>
      <c r="G16" s="15"/>
      <c r="H16" s="15" t="s">
        <v>316</v>
      </c>
      <c r="I16" s="15" t="s">
        <v>183</v>
      </c>
      <c r="J16" s="16" t="str">
        <f t="shared" si="0"/>
        <v>INSERT INTO CHB_DATACHECK_CONDITION_INV VALUES ('5e0e30dd-68b9-4f10-948b-6e155b2808c7','5f9b5770-9582-4f61-9e58-748c24556430','inArray','bussRepDepositInfoDto.repAssetType','==','1003','','D');</v>
      </c>
    </row>
    <row r="17" spans="1:10" s="17" customFormat="1">
      <c r="A17" s="15" t="s">
        <v>199</v>
      </c>
      <c r="B17" s="15" t="s">
        <v>285</v>
      </c>
      <c r="C17" s="15" t="s">
        <v>11</v>
      </c>
      <c r="D17" s="15" t="s">
        <v>22</v>
      </c>
      <c r="E17" s="15" t="s">
        <v>12</v>
      </c>
      <c r="F17" s="20" t="s">
        <v>110</v>
      </c>
      <c r="G17" s="15"/>
      <c r="H17" s="15" t="s">
        <v>255</v>
      </c>
      <c r="I17" s="15" t="s">
        <v>183</v>
      </c>
      <c r="J17" s="16" t="str">
        <f t="shared" si="0"/>
        <v>INSERT INTO CHB_DATACHECK_CONDITION_INV VALUES ('0fab8b82-be00-4ce6-9181-491cc1ff6399','7ed035b4-a369-4241-9226-20c2f87265cb','inArray','bussRepDepositInfoDto.repAssetType','==','1002','','D');</v>
      </c>
    </row>
    <row r="18" spans="1:10" s="17" customFormat="1">
      <c r="A18" s="15" t="s">
        <v>200</v>
      </c>
      <c r="B18" s="15" t="s">
        <v>286</v>
      </c>
      <c r="C18" s="15" t="s">
        <v>11</v>
      </c>
      <c r="D18" s="15" t="s">
        <v>22</v>
      </c>
      <c r="E18" s="15" t="s">
        <v>12</v>
      </c>
      <c r="F18" s="20" t="s">
        <v>111</v>
      </c>
      <c r="G18" s="15"/>
      <c r="H18" s="15" t="s">
        <v>255</v>
      </c>
      <c r="I18" s="15" t="s">
        <v>183</v>
      </c>
      <c r="J18" s="16" t="str">
        <f t="shared" si="0"/>
        <v>INSERT INTO CHB_DATACHECK_CONDITION_INV VALUES ('d7931362-865f-4611-a994-a0efe06c9782','e44b4794-84e8-418d-8eff-062fd85f3f4d','inArray','bussRepDepositInfoDto.repAssetType','==','1005','','D');</v>
      </c>
    </row>
    <row r="19" spans="1:10" s="17" customFormat="1">
      <c r="A19" s="15" t="s">
        <v>201</v>
      </c>
      <c r="B19" s="15" t="s">
        <v>226</v>
      </c>
      <c r="C19" s="15" t="s">
        <v>11</v>
      </c>
      <c r="D19" s="15" t="s">
        <v>22</v>
      </c>
      <c r="E19" s="15" t="s">
        <v>12</v>
      </c>
      <c r="F19" s="20" t="s">
        <v>107</v>
      </c>
      <c r="G19" s="15"/>
      <c r="H19" s="15" t="s">
        <v>13</v>
      </c>
      <c r="I19" s="15" t="s">
        <v>296</v>
      </c>
      <c r="J19" s="16" t="str">
        <f t="shared" si="0"/>
        <v>INSERT INTO CHB_DATACHECK_CONDITION_INV VALUES ('ca81dd8d-d292-4b4f-ac7a-dfff2d8cebf5','61b231d4-fb98-44d3-ba05-2332722d46e9','inArray','bussRepDlRepoInfoDto.repAssetType','==','1901,1902,1107,1108','','E');</v>
      </c>
    </row>
    <row r="20" spans="1:10" s="17" customFormat="1">
      <c r="A20" s="15" t="s">
        <v>202</v>
      </c>
      <c r="B20" s="15" t="s">
        <v>227</v>
      </c>
      <c r="C20" s="15" t="s">
        <v>11</v>
      </c>
      <c r="D20" s="15" t="s">
        <v>22</v>
      </c>
      <c r="E20" s="15" t="s">
        <v>12</v>
      </c>
      <c r="F20" s="20" t="s">
        <v>107</v>
      </c>
      <c r="G20" s="15"/>
      <c r="H20" s="15" t="s">
        <v>255</v>
      </c>
      <c r="I20" s="15" t="s">
        <v>296</v>
      </c>
      <c r="J20" s="16" t="str">
        <f t="shared" si="0"/>
        <v>INSERT INTO CHB_DATACHECK_CONDITION_INV VALUES ('81771963-0ebf-4d36-9559-5b1ca2b90f48','c6d43b48-4947-47cf-9e5e-6ec5eb2c561c','inArray','bussRepDlRepoInfoDto.repAssetType','==','1901,1902,1107,1108','','D');</v>
      </c>
    </row>
    <row r="21" spans="1:10" s="17" customFormat="1">
      <c r="A21" s="15" t="s">
        <v>203</v>
      </c>
      <c r="B21" s="15" t="s">
        <v>228</v>
      </c>
      <c r="C21" s="15" t="s">
        <v>11</v>
      </c>
      <c r="D21" s="15" t="s">
        <v>22</v>
      </c>
      <c r="E21" s="15" t="s">
        <v>12</v>
      </c>
      <c r="F21" s="20" t="s">
        <v>107</v>
      </c>
      <c r="G21" s="15"/>
      <c r="H21" s="15" t="s">
        <v>255</v>
      </c>
      <c r="I21" s="15" t="s">
        <v>296</v>
      </c>
      <c r="J21" s="16" t="str">
        <f t="shared" si="0"/>
        <v>INSERT INTO CHB_DATACHECK_CONDITION_INV VALUES ('894f5b85-6cb9-4d88-a4b2-c9bbbc5e3b6f','ea632d75-2390-48df-af68-530adbad9874','inArray','bussRepDlRepoInfoDto.repAssetType','==','1901,1902,1107,1108','','D');</v>
      </c>
    </row>
    <row r="22" spans="1:10" s="17" customFormat="1">
      <c r="A22" s="15" t="s">
        <v>204</v>
      </c>
      <c r="B22" s="15" t="s">
        <v>229</v>
      </c>
      <c r="C22" s="15" t="s">
        <v>11</v>
      </c>
      <c r="D22" s="15" t="s">
        <v>22</v>
      </c>
      <c r="E22" s="15" t="s">
        <v>12</v>
      </c>
      <c r="F22" s="20" t="s">
        <v>107</v>
      </c>
      <c r="G22" s="15"/>
      <c r="H22" s="15" t="s">
        <v>13</v>
      </c>
      <c r="I22" s="15" t="s">
        <v>296</v>
      </c>
      <c r="J22" s="16" t="str">
        <f t="shared" si="0"/>
        <v>INSERT INTO CHB_DATACHECK_CONDITION_INV VALUES ('58fc729b-9d42-4601-8987-a73c872d21c8','067f5ec0-6d32-40c3-94f9-cf2a3f5b9463','inArray','bussRepDlRepoInfoDto.repAssetType','==','1901,1902,1107,1108','','E');</v>
      </c>
    </row>
    <row r="23" spans="1:10" s="17" customFormat="1">
      <c r="A23" s="15" t="s">
        <v>205</v>
      </c>
      <c r="B23" s="15" t="s">
        <v>308</v>
      </c>
      <c r="C23" s="15" t="s">
        <v>11</v>
      </c>
      <c r="D23" s="15" t="s">
        <v>22</v>
      </c>
      <c r="E23" s="15" t="s">
        <v>12</v>
      </c>
      <c r="F23" s="20" t="s">
        <v>107</v>
      </c>
      <c r="G23" s="15"/>
      <c r="H23" s="15" t="s">
        <v>13</v>
      </c>
      <c r="I23" s="15" t="s">
        <v>296</v>
      </c>
      <c r="J23" s="16" t="str">
        <f t="shared" si="0"/>
        <v>INSERT INTO CHB_DATACHECK_CONDITION_INV VALUES ('08c4c56a-22ec-4303-a639-cbccc693bb33','17c64f58-a2fe-436e-a77a-e5296e5388e2','inArray','bussRepDlRepoInfoDto.repAssetType','==','1901,1902,1107,1108','','E');</v>
      </c>
    </row>
    <row r="24" spans="1:10" s="17" customFormat="1">
      <c r="A24" s="15" t="s">
        <v>206</v>
      </c>
      <c r="B24" s="15" t="s">
        <v>230</v>
      </c>
      <c r="C24" s="15" t="s">
        <v>11</v>
      </c>
      <c r="D24" s="15" t="s">
        <v>22</v>
      </c>
      <c r="E24" s="15" t="s">
        <v>12</v>
      </c>
      <c r="F24" s="20" t="s">
        <v>107</v>
      </c>
      <c r="G24" s="15"/>
      <c r="H24" s="15" t="s">
        <v>255</v>
      </c>
      <c r="I24" s="15" t="s">
        <v>296</v>
      </c>
      <c r="J24" s="16" t="str">
        <f t="shared" si="0"/>
        <v>INSERT INTO CHB_DATACHECK_CONDITION_INV VALUES ('7e7a29b5-6e37-4549-8523-7bc826c67a1f','b0129e92-ff6b-4b4a-b4ea-f35795649450','inArray','bussRepDlRepoInfoDto.repAssetType','==','1901,1902,1107,1108','','D');</v>
      </c>
    </row>
    <row r="25" spans="1:10" s="17" customFormat="1">
      <c r="A25" s="15" t="s">
        <v>207</v>
      </c>
      <c r="B25" s="15" t="s">
        <v>287</v>
      </c>
      <c r="C25" s="15" t="s">
        <v>11</v>
      </c>
      <c r="D25" s="15" t="s">
        <v>22</v>
      </c>
      <c r="E25" s="15" t="s">
        <v>12</v>
      </c>
      <c r="F25" s="20" t="s">
        <v>112</v>
      </c>
      <c r="G25" s="15"/>
      <c r="H25" s="15" t="s">
        <v>255</v>
      </c>
      <c r="I25" s="15" t="s">
        <v>71</v>
      </c>
      <c r="J25" s="16" t="str">
        <f t="shared" si="0"/>
        <v>INSERT INTO CHB_DATACHECK_CONDITION_INV VALUES ('d1c38750-6083-4c8d-aeea-95bd211a0edc','5400938f-1cc1-4f80-8b8e-557f94fe11f9','inArray','bussRepDepositInfoDto.repAssetType','==','1004','','D');</v>
      </c>
    </row>
    <row r="26" spans="1:10" s="17" customFormat="1">
      <c r="A26" s="15" t="s">
        <v>208</v>
      </c>
      <c r="B26" s="15" t="s">
        <v>231</v>
      </c>
      <c r="C26" s="15" t="s">
        <v>11</v>
      </c>
      <c r="D26" s="15" t="s">
        <v>22</v>
      </c>
      <c r="E26" s="15" t="s">
        <v>12</v>
      </c>
      <c r="F26" s="20" t="s">
        <v>42</v>
      </c>
      <c r="G26" s="15"/>
      <c r="H26" s="15" t="s">
        <v>13</v>
      </c>
      <c r="I26" s="15" t="s">
        <v>71</v>
      </c>
      <c r="J26" s="16" t="str">
        <f t="shared" si="0"/>
        <v>INSERT INTO CHB_DATACHECK_CONDITION_INV VALUES ('ac8309bf-410c-4991-8f7a-44b1c506d70c','716d621e-cf1e-4d33-b111-3621bcf339d8','inArray','bussRepDepositInfoDto.repAssetType','==','1002,1003','','E');</v>
      </c>
    </row>
    <row r="27" spans="1:10" s="17" customFormat="1">
      <c r="A27" s="15" t="s">
        <v>209</v>
      </c>
      <c r="B27" s="15" t="s">
        <v>232</v>
      </c>
      <c r="C27" s="15" t="s">
        <v>11</v>
      </c>
      <c r="D27" s="15" t="s">
        <v>22</v>
      </c>
      <c r="E27" s="15" t="s">
        <v>33</v>
      </c>
      <c r="F27" s="20" t="s">
        <v>42</v>
      </c>
      <c r="G27" s="15"/>
      <c r="H27" s="15" t="s">
        <v>13</v>
      </c>
      <c r="I27" s="15" t="s">
        <v>71</v>
      </c>
      <c r="J27" s="16" t="str">
        <f t="shared" si="0"/>
        <v>INSERT INTO CHB_DATACHECK_CONDITION_INV VALUES ('ab7f7454-c6e5-47f9-8e4a-c9a0f5aa0fe5','833d5cc0-39b9-4a10-a0fa-e7d11e9f5665','inArray','bussRepDepositInfoDto.repAssetType','!=','1002,1003','','E');</v>
      </c>
    </row>
    <row r="28" spans="1:10" s="17" customFormat="1">
      <c r="A28" s="15" t="s">
        <v>210</v>
      </c>
      <c r="B28" s="15" t="s">
        <v>233</v>
      </c>
      <c r="C28" s="15" t="s">
        <v>32</v>
      </c>
      <c r="D28" s="15" t="s">
        <v>90</v>
      </c>
      <c r="E28" s="15" t="s">
        <v>12</v>
      </c>
      <c r="F28" s="20" t="s">
        <v>123</v>
      </c>
      <c r="G28" s="15" t="s">
        <v>120</v>
      </c>
      <c r="H28" s="15" t="s">
        <v>13</v>
      </c>
      <c r="I28" s="14" t="s">
        <v>72</v>
      </c>
      <c r="J28" s="16" t="str">
        <f t="shared" si="0"/>
        <v>INSERT INTO CHB_DATACHECK_CONDITION_INV VALUES ('7e9928e8-a5a9-4ce9-a970-f0f12dc4c61d','aae202a6-1478-40a4-96ef-3d0664b7a752','compareValue','bussRepDepositInfoDto.repDepoType','==','06','当“存款类型”要素选择“06 结构性存款”时','E');</v>
      </c>
    </row>
    <row r="29" spans="1:10" s="17" customFormat="1">
      <c r="A29" s="15" t="s">
        <v>211</v>
      </c>
      <c r="B29" s="15" t="s">
        <v>234</v>
      </c>
      <c r="C29" s="15" t="s">
        <v>32</v>
      </c>
      <c r="D29" s="15" t="s">
        <v>90</v>
      </c>
      <c r="E29" s="15" t="s">
        <v>33</v>
      </c>
      <c r="F29" s="20" t="s">
        <v>123</v>
      </c>
      <c r="G29" s="15" t="s">
        <v>121</v>
      </c>
      <c r="H29" s="15" t="s">
        <v>13</v>
      </c>
      <c r="I29" s="14" t="s">
        <v>72</v>
      </c>
      <c r="J29" s="16" t="str">
        <f t="shared" si="0"/>
        <v>INSERT INTO CHB_DATACHECK_CONDITION_INV VALUES ('81e8c15d-e8d6-448f-b864-80ec59ddafd2','d1590181-8bf4-461f-8707-b0fcc37081b0','compareValue','bussRepDepositInfoDto.repDepoType','!=','06','当“存款类型”要素不选择“06 结构性存款”时','E');</v>
      </c>
    </row>
    <row r="30" spans="1:10" s="17" customFormat="1">
      <c r="A30" s="15" t="s">
        <v>212</v>
      </c>
      <c r="B30" s="15" t="s">
        <v>235</v>
      </c>
      <c r="C30" s="15" t="s">
        <v>32</v>
      </c>
      <c r="D30" s="15" t="s">
        <v>90</v>
      </c>
      <c r="E30" s="15" t="s">
        <v>12</v>
      </c>
      <c r="F30" s="20" t="s">
        <v>123</v>
      </c>
      <c r="G30" s="15" t="s">
        <v>120</v>
      </c>
      <c r="H30" s="15" t="s">
        <v>13</v>
      </c>
      <c r="I30" s="14" t="s">
        <v>72</v>
      </c>
      <c r="J30" s="16" t="str">
        <f t="shared" si="0"/>
        <v>INSERT INTO CHB_DATACHECK_CONDITION_INV VALUES ('99cde5c6-6e34-406e-a4de-510e289b31c2','0b77d0ae-c9eb-4d8d-916e-5b19eaa465e6','compareValue','bussRepDepositInfoDto.repDepoType','==','06','当“存款类型”要素选择“06 结构性存款”时','E');</v>
      </c>
    </row>
    <row r="31" spans="1:10" s="17" customFormat="1">
      <c r="A31" s="15" t="s">
        <v>213</v>
      </c>
      <c r="B31" s="15" t="s">
        <v>236</v>
      </c>
      <c r="C31" s="15" t="s">
        <v>32</v>
      </c>
      <c r="D31" s="15" t="s">
        <v>90</v>
      </c>
      <c r="E31" s="15" t="s">
        <v>33</v>
      </c>
      <c r="F31" s="20" t="s">
        <v>123</v>
      </c>
      <c r="G31" s="15" t="s">
        <v>121</v>
      </c>
      <c r="H31" s="15" t="s">
        <v>13</v>
      </c>
      <c r="I31" s="14" t="s">
        <v>72</v>
      </c>
      <c r="J31" s="16" t="str">
        <f t="shared" si="0"/>
        <v>INSERT INTO CHB_DATACHECK_CONDITION_INV VALUES ('5d600cc5-ee5a-41cc-9026-9482992b22f0','4aa8e379-5f9d-42b1-b735-e1be9deef53a','compareValue','bussRepDepositInfoDto.repDepoType','!=','06','当“存款类型”要素不选择“06 结构性存款”时','E');</v>
      </c>
    </row>
    <row r="32" spans="1:10" s="17" customFormat="1">
      <c r="A32" s="15" t="s">
        <v>214</v>
      </c>
      <c r="B32" s="15" t="s">
        <v>237</v>
      </c>
      <c r="C32" s="15" t="s">
        <v>32</v>
      </c>
      <c r="D32" s="15" t="s">
        <v>90</v>
      </c>
      <c r="E32" s="15" t="s">
        <v>12</v>
      </c>
      <c r="F32" s="20" t="s">
        <v>123</v>
      </c>
      <c r="G32" s="15" t="s">
        <v>120</v>
      </c>
      <c r="H32" s="15" t="s">
        <v>13</v>
      </c>
      <c r="I32" s="14" t="s">
        <v>72</v>
      </c>
      <c r="J32" s="16" t="str">
        <f t="shared" si="0"/>
        <v>INSERT INTO CHB_DATACHECK_CONDITION_INV VALUES ('7cd82428-a93c-4a28-a995-9c0f4023bcd7','1267feb5-fab0-4589-baf9-90489ce6f24a','compareValue','bussRepDepositInfoDto.repDepoType','==','06','当“存款类型”要素选择“06 结构性存款”时','E');</v>
      </c>
    </row>
    <row r="33" spans="1:10" s="17" customFormat="1">
      <c r="A33" s="15" t="s">
        <v>215</v>
      </c>
      <c r="B33" s="15" t="s">
        <v>238</v>
      </c>
      <c r="C33" s="15" t="s">
        <v>32</v>
      </c>
      <c r="D33" s="15" t="s">
        <v>90</v>
      </c>
      <c r="E33" s="15" t="s">
        <v>12</v>
      </c>
      <c r="F33" s="20" t="s">
        <v>123</v>
      </c>
      <c r="G33" s="15" t="s">
        <v>120</v>
      </c>
      <c r="H33" s="15" t="s">
        <v>13</v>
      </c>
      <c r="I33" s="14" t="s">
        <v>72</v>
      </c>
      <c r="J33" s="16" t="str">
        <f t="shared" si="0"/>
        <v>INSERT INTO CHB_DATACHECK_CONDITION_INV VALUES ('85b7cfce-504a-4064-a79d-510d342976a6','9289ced0-e594-4172-95d8-85aefe03989c','compareValue','bussRepDepositInfoDto.repDepoType','==','06','当“存款类型”要素选择“06 结构性存款”时','E');</v>
      </c>
    </row>
    <row r="34" spans="1:10" s="17" customFormat="1">
      <c r="A34" s="15" t="s">
        <v>216</v>
      </c>
      <c r="B34" s="15" t="s">
        <v>239</v>
      </c>
      <c r="C34" s="15" t="s">
        <v>32</v>
      </c>
      <c r="D34" s="15" t="s">
        <v>23</v>
      </c>
      <c r="E34" s="15" t="s">
        <v>12</v>
      </c>
      <c r="F34" s="20" t="s">
        <v>164</v>
      </c>
      <c r="G34" s="15" t="s">
        <v>41</v>
      </c>
      <c r="H34" s="15" t="s">
        <v>13</v>
      </c>
      <c r="I34" s="14" t="s">
        <v>73</v>
      </c>
      <c r="J34" s="16" t="str">
        <f t="shared" si="0"/>
        <v>INSERT INTO CHB_DATACHECK_CONDITION_INV VALUES ('5203cacc-490b-4874-87f0-a054a71f4976','f04d67df-4be8-4e1c-bfb7-7cc650204709','compareValue','bussRepDepositInfoDto.repTradeMarket','==','99','当交易流通场所为其他交易流通场所时','E');</v>
      </c>
    </row>
    <row r="35" spans="1:10" s="17" customFormat="1">
      <c r="A35" s="15" t="s">
        <v>297</v>
      </c>
      <c r="B35" s="15" t="s">
        <v>264</v>
      </c>
      <c r="C35" s="15" t="s">
        <v>11</v>
      </c>
      <c r="D35" s="15" t="s">
        <v>22</v>
      </c>
      <c r="E35" s="15" t="s">
        <v>12</v>
      </c>
      <c r="F35" s="20" t="s">
        <v>108</v>
      </c>
      <c r="G35" s="15"/>
      <c r="H35" s="15" t="s">
        <v>255</v>
      </c>
      <c r="I35" s="15" t="s">
        <v>298</v>
      </c>
      <c r="J35" s="16" t="str">
        <f t="shared" si="0"/>
        <v>INSERT INTO CHB_DATACHECK_CONDITION_INV VALUES ('zlc38750-6083-4c8d-aeea-95bd211a0001','81622834-6a13-46b6-a496-3322b033be1c','inArray','bussRepDepositInfoDto.repAssetType','==','1002,1003,1004,1005','','D');</v>
      </c>
    </row>
    <row r="36" spans="1:10" s="17" customFormat="1">
      <c r="A36" s="15" t="s">
        <v>299</v>
      </c>
      <c r="B36" s="15" t="s">
        <v>300</v>
      </c>
      <c r="C36" s="15" t="s">
        <v>11</v>
      </c>
      <c r="D36" s="15" t="s">
        <v>22</v>
      </c>
      <c r="E36" s="15" t="s">
        <v>12</v>
      </c>
      <c r="F36" s="20" t="s">
        <v>301</v>
      </c>
      <c r="G36" s="15"/>
      <c r="H36" s="15" t="s">
        <v>255</v>
      </c>
      <c r="I36" s="15" t="s">
        <v>303</v>
      </c>
      <c r="J36" s="16" t="str">
        <f t="shared" si="0"/>
        <v>INSERT INTO CHB_DATACHECK_CONDITION_INV VALUES ('zlc38750-6083-4c8d-aeea-95bd211a0002','81622834-6a13-46b6-a496-3322b033be2c','inArray','bussRepDlRepoInfoDto.repAssetType','==','1107','','D');</v>
      </c>
    </row>
    <row r="37" spans="1:10">
      <c r="A37" s="1" t="s">
        <v>362</v>
      </c>
      <c r="B37" s="1" t="s">
        <v>355</v>
      </c>
      <c r="C37" s="1" t="s">
        <v>11</v>
      </c>
      <c r="E37" s="1" t="s">
        <v>12</v>
      </c>
      <c r="F37" s="8" t="s">
        <v>363</v>
      </c>
      <c r="G37" s="1" t="s">
        <v>364</v>
      </c>
      <c r="H37" s="15" t="s">
        <v>250</v>
      </c>
      <c r="I37" s="10" t="s">
        <v>365</v>
      </c>
      <c r="J37" s="10" t="s">
        <v>366</v>
      </c>
    </row>
    <row r="38" spans="1:10">
      <c r="A38" s="1" t="s">
        <v>367</v>
      </c>
      <c r="B38" s="1" t="s">
        <v>359</v>
      </c>
      <c r="C38" s="1" t="s">
        <v>11</v>
      </c>
      <c r="E38" s="1" t="s">
        <v>12</v>
      </c>
      <c r="F38" s="8" t="s">
        <v>368</v>
      </c>
      <c r="G38" s="1" t="s">
        <v>369</v>
      </c>
      <c r="H38" s="15" t="s">
        <v>250</v>
      </c>
      <c r="I38" s="10" t="s">
        <v>365</v>
      </c>
      <c r="J38" s="10" t="s">
        <v>370</v>
      </c>
    </row>
  </sheetData>
  <autoFilter ref="A1:I36"/>
  <sortState ref="A3:M45">
    <sortCondition descending="1" ref="F1"/>
  </sortState>
  <phoneticPr fontId="2" type="noConversion"/>
  <conditionalFormatting sqref="A37:A1048576 A1">
    <cfRule type="duplicateValues" dxfId="1" priority="3"/>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B2" sqref="B2"/>
    </sheetView>
  </sheetViews>
  <sheetFormatPr defaultRowHeight="13.5"/>
  <cols>
    <col min="1" max="1" width="36.75" customWidth="1"/>
    <col min="2" max="2" width="64.375" customWidth="1"/>
    <col min="3" max="3" width="37" customWidth="1"/>
  </cols>
  <sheetData>
    <row r="1" spans="1:3">
      <c r="A1" t="s">
        <v>35</v>
      </c>
      <c r="B1" t="s">
        <v>37</v>
      </c>
      <c r="C1" t="s">
        <v>36</v>
      </c>
    </row>
    <row r="2" spans="1:3" ht="14.25">
      <c r="A2" s="6" t="s">
        <v>39</v>
      </c>
      <c r="B2" s="6" t="s">
        <v>183</v>
      </c>
      <c r="C2" s="6" t="s">
        <v>15</v>
      </c>
    </row>
    <row r="3" spans="1:3" ht="14.25">
      <c r="A3" s="6" t="s">
        <v>78</v>
      </c>
      <c r="B3" s="6" t="s">
        <v>72</v>
      </c>
      <c r="C3" s="6" t="s">
        <v>79</v>
      </c>
    </row>
    <row r="4" spans="1:3" ht="14.25">
      <c r="A4" s="6" t="s">
        <v>17</v>
      </c>
      <c r="B4" s="6" t="s">
        <v>73</v>
      </c>
      <c r="C4" s="6" t="s">
        <v>38</v>
      </c>
    </row>
    <row r="5" spans="1:3" ht="14.25">
      <c r="A5" s="6" t="s">
        <v>80</v>
      </c>
      <c r="B5" s="6" t="s">
        <v>74</v>
      </c>
      <c r="C5" s="6" t="s">
        <v>81</v>
      </c>
    </row>
    <row r="6" spans="1:3" ht="14.25">
      <c r="A6" s="6" t="s">
        <v>75</v>
      </c>
      <c r="B6" s="6" t="s">
        <v>76</v>
      </c>
      <c r="C6" s="6" t="s">
        <v>82</v>
      </c>
    </row>
    <row r="7" spans="1:3" ht="14.25">
      <c r="A7" s="6" t="s">
        <v>9</v>
      </c>
      <c r="B7" s="6" t="s">
        <v>77</v>
      </c>
      <c r="C7" s="6" t="s">
        <v>9</v>
      </c>
    </row>
    <row r="8" spans="1:3" ht="14.25">
      <c r="A8" s="6"/>
      <c r="B8" s="6"/>
      <c r="C8" s="6"/>
    </row>
    <row r="9" spans="1:3" ht="14.25">
      <c r="A9" s="6"/>
      <c r="B9" s="6"/>
      <c r="C9" s="6"/>
    </row>
    <row r="10" spans="1:3" ht="14.25">
      <c r="A10" s="6"/>
      <c r="B10" s="6"/>
      <c r="C10" s="6"/>
    </row>
    <row r="11" spans="1:3" ht="14.25">
      <c r="A11" s="6"/>
      <c r="B11" s="6"/>
      <c r="C11" s="6"/>
    </row>
    <row r="12" spans="1:3" ht="14.25">
      <c r="A12" s="6"/>
      <c r="B12" s="6"/>
      <c r="C12" s="6"/>
    </row>
    <row r="13" spans="1:3" ht="14.25">
      <c r="A13" s="6"/>
      <c r="B13" s="6"/>
      <c r="C13" s="6"/>
    </row>
    <row r="14" spans="1:3" ht="14.25">
      <c r="A14" s="6"/>
      <c r="B14" s="6"/>
      <c r="C14" s="6"/>
    </row>
    <row r="15" spans="1:3" ht="14.25">
      <c r="A15" s="6"/>
      <c r="B15" s="6"/>
      <c r="C15" s="6"/>
    </row>
    <row r="16" spans="1:3" ht="14.25">
      <c r="A16" s="6"/>
      <c r="B16" s="6"/>
      <c r="C16" s="6"/>
    </row>
    <row r="17" spans="1:3" ht="14.25">
      <c r="A17" s="6"/>
      <c r="B17" s="6"/>
      <c r="C17" s="6"/>
    </row>
    <row r="18" spans="1:3" ht="14.25">
      <c r="A18" s="6"/>
      <c r="B18" s="6"/>
      <c r="C18" s="6"/>
    </row>
    <row r="19" spans="1:3" ht="14.25">
      <c r="A19" s="6"/>
      <c r="B19" s="6"/>
      <c r="C19" s="6"/>
    </row>
    <row r="20" spans="1:3" ht="14.25">
      <c r="A20" s="6"/>
      <c r="B20" s="6"/>
      <c r="C20" s="6"/>
    </row>
    <row r="21" spans="1:3" ht="14.25">
      <c r="C21" s="6"/>
    </row>
  </sheetData>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5"/>
  <sheetViews>
    <sheetView topLeftCell="A64" workbookViewId="0">
      <selection activeCell="A2" sqref="A2:G136"/>
    </sheetView>
  </sheetViews>
  <sheetFormatPr defaultRowHeight="13.5"/>
  <sheetData>
    <row r="1" spans="1:14">
      <c r="A1" s="11" t="s">
        <v>68</v>
      </c>
      <c r="B1" s="11"/>
      <c r="L1" s="11" t="s">
        <v>69</v>
      </c>
    </row>
    <row r="2" spans="1:14" ht="14.25">
      <c r="A2" s="13" t="s">
        <v>44</v>
      </c>
      <c r="B2" s="13"/>
      <c r="C2" s="13"/>
      <c r="H2" s="6"/>
      <c r="L2" s="13" t="s">
        <v>44</v>
      </c>
      <c r="M2" s="13"/>
      <c r="N2" s="13"/>
    </row>
    <row r="3" spans="1:14" ht="14.25">
      <c r="A3" s="13" t="s">
        <v>45</v>
      </c>
      <c r="B3" s="13"/>
      <c r="C3" s="13"/>
      <c r="H3" s="6"/>
      <c r="L3" s="13" t="s">
        <v>45</v>
      </c>
      <c r="M3" s="13"/>
      <c r="N3" s="13"/>
    </row>
    <row r="4" spans="1:14" ht="14.25">
      <c r="A4" s="13" t="s">
        <v>46</v>
      </c>
      <c r="B4" s="13"/>
      <c r="C4" s="13"/>
      <c r="H4" s="6"/>
      <c r="L4" s="13" t="s">
        <v>46</v>
      </c>
      <c r="M4" s="13"/>
      <c r="N4" s="13"/>
    </row>
    <row r="5" spans="1:14" ht="14.25">
      <c r="A5" s="13" t="s">
        <v>165</v>
      </c>
      <c r="B5" s="13"/>
      <c r="C5" s="13"/>
      <c r="H5" s="6"/>
      <c r="L5" s="13" t="s">
        <v>51</v>
      </c>
      <c r="M5" s="13"/>
      <c r="N5" s="13"/>
    </row>
    <row r="6" spans="1:14" ht="14.25">
      <c r="A6" s="13" t="s">
        <v>47</v>
      </c>
      <c r="B6" s="13"/>
      <c r="C6" s="13"/>
      <c r="H6" s="6"/>
      <c r="L6" s="13" t="s">
        <v>47</v>
      </c>
      <c r="M6" s="13"/>
      <c r="N6" s="13"/>
    </row>
    <row r="7" spans="1:14" ht="14.25">
      <c r="A7" s="13" t="s">
        <v>166</v>
      </c>
      <c r="B7" s="13"/>
      <c r="C7" s="13"/>
      <c r="H7" s="6"/>
      <c r="L7" s="13" t="s">
        <v>129</v>
      </c>
      <c r="M7" s="13"/>
      <c r="N7" s="13"/>
    </row>
    <row r="8" spans="1:14" ht="14.25">
      <c r="A8" s="13" t="s">
        <v>48</v>
      </c>
      <c r="B8" s="13"/>
      <c r="C8" s="13"/>
      <c r="H8" s="6"/>
      <c r="L8" s="13" t="s">
        <v>130</v>
      </c>
      <c r="M8" s="13"/>
      <c r="N8" s="13"/>
    </row>
    <row r="9" spans="1:14" ht="14.25">
      <c r="A9" s="13" t="s">
        <v>49</v>
      </c>
      <c r="B9" s="13"/>
      <c r="C9" s="13"/>
      <c r="H9" s="6"/>
      <c r="L9" s="13" t="s">
        <v>48</v>
      </c>
      <c r="M9" s="13"/>
      <c r="N9" s="13"/>
    </row>
    <row r="10" spans="1:14" ht="14.25">
      <c r="A10" s="13" t="s">
        <v>167</v>
      </c>
      <c r="B10" s="13"/>
      <c r="C10" s="13"/>
      <c r="H10" s="6"/>
      <c r="L10" s="13" t="s">
        <v>49</v>
      </c>
      <c r="M10" s="13"/>
      <c r="N10" s="13"/>
    </row>
    <row r="11" spans="1:14" ht="14.25">
      <c r="A11" s="13" t="s">
        <v>50</v>
      </c>
      <c r="B11" s="13"/>
      <c r="C11" s="13"/>
      <c r="H11" s="6"/>
      <c r="L11" s="13" t="s">
        <v>53</v>
      </c>
      <c r="M11" s="13"/>
      <c r="N11" s="13"/>
    </row>
    <row r="12" spans="1:14" ht="14.25">
      <c r="A12" s="13" t="s">
        <v>168</v>
      </c>
      <c r="B12" s="13"/>
      <c r="C12" s="13"/>
      <c r="H12" s="6"/>
      <c r="L12" s="13" t="s">
        <v>50</v>
      </c>
      <c r="M12" s="13"/>
      <c r="N12" s="13"/>
    </row>
    <row r="13" spans="1:14" ht="14.25">
      <c r="A13" s="13" t="s">
        <v>169</v>
      </c>
      <c r="B13" s="13"/>
      <c r="C13" s="13"/>
      <c r="H13" s="6"/>
      <c r="L13" s="13" t="s">
        <v>54</v>
      </c>
      <c r="M13" s="13"/>
      <c r="N13" s="13"/>
    </row>
    <row r="14" spans="1:14" ht="14.25">
      <c r="A14" s="13" t="s">
        <v>45</v>
      </c>
      <c r="B14" s="13"/>
      <c r="C14" s="13"/>
      <c r="H14" s="6"/>
      <c r="L14" s="13" t="s">
        <v>55</v>
      </c>
      <c r="M14" s="13"/>
      <c r="N14" s="13"/>
    </row>
    <row r="15" spans="1:14" ht="14.25">
      <c r="A15" s="13" t="s">
        <v>46</v>
      </c>
      <c r="B15" s="13"/>
      <c r="C15" s="13"/>
      <c r="H15" s="6"/>
      <c r="L15" s="13" t="s">
        <v>56</v>
      </c>
      <c r="M15" s="13"/>
      <c r="N15" s="13"/>
    </row>
    <row r="16" spans="1:14" ht="14.25">
      <c r="A16" s="13" t="s">
        <v>51</v>
      </c>
      <c r="B16" s="13"/>
      <c r="C16" s="13"/>
      <c r="H16" s="6"/>
      <c r="L16" s="13" t="s">
        <v>57</v>
      </c>
      <c r="M16" s="13"/>
      <c r="N16" s="13"/>
    </row>
    <row r="17" spans="1:14" ht="14.25">
      <c r="A17" s="13" t="s">
        <v>47</v>
      </c>
      <c r="B17" s="13"/>
      <c r="C17" s="13"/>
      <c r="H17" s="6"/>
      <c r="L17" s="13" t="s">
        <v>58</v>
      </c>
      <c r="M17" s="13"/>
      <c r="N17" s="13"/>
    </row>
    <row r="18" spans="1:14" ht="14.25">
      <c r="A18" s="13" t="s">
        <v>129</v>
      </c>
      <c r="B18" s="13"/>
      <c r="C18" s="13"/>
      <c r="H18" s="6"/>
      <c r="L18" s="13" t="s">
        <v>131</v>
      </c>
      <c r="M18" s="13"/>
      <c r="N18" s="13"/>
    </row>
    <row r="19" spans="1:14" ht="14.25">
      <c r="A19" s="13" t="s">
        <v>130</v>
      </c>
      <c r="B19" s="13"/>
      <c r="C19" s="13"/>
      <c r="H19" s="6"/>
      <c r="L19" s="13" t="s">
        <v>60</v>
      </c>
      <c r="M19" s="13"/>
      <c r="N19" s="13"/>
    </row>
    <row r="20" spans="1:14" ht="14.25">
      <c r="A20" s="13" t="s">
        <v>48</v>
      </c>
      <c r="B20" s="13"/>
      <c r="C20" s="13"/>
      <c r="H20" s="6"/>
      <c r="L20" s="13" t="s">
        <v>132</v>
      </c>
      <c r="M20" s="13"/>
      <c r="N20" s="13"/>
    </row>
    <row r="21" spans="1:14">
      <c r="A21" s="13" t="s">
        <v>49</v>
      </c>
      <c r="B21" s="13"/>
      <c r="C21" s="13"/>
      <c r="L21" s="13" t="s">
        <v>133</v>
      </c>
      <c r="M21" s="13"/>
      <c r="N21" s="13"/>
    </row>
    <row r="22" spans="1:14">
      <c r="A22" s="13" t="s">
        <v>53</v>
      </c>
      <c r="B22" s="13"/>
      <c r="C22" s="13"/>
      <c r="L22" s="13" t="s">
        <v>61</v>
      </c>
      <c r="M22" s="13"/>
      <c r="N22" s="13"/>
    </row>
    <row r="23" spans="1:14">
      <c r="A23" s="13" t="s">
        <v>50</v>
      </c>
      <c r="B23" s="13"/>
      <c r="C23" s="13"/>
      <c r="L23" s="13" t="s">
        <v>62</v>
      </c>
      <c r="M23" s="13"/>
      <c r="N23" s="13"/>
    </row>
    <row r="24" spans="1:14">
      <c r="A24" s="13" t="s">
        <v>54</v>
      </c>
      <c r="B24" s="13"/>
      <c r="C24" s="13"/>
      <c r="L24" s="13" t="s">
        <v>63</v>
      </c>
      <c r="M24" s="13"/>
      <c r="N24" s="13"/>
    </row>
    <row r="25" spans="1:14">
      <c r="A25" s="13" t="s">
        <v>55</v>
      </c>
      <c r="B25" s="13"/>
      <c r="C25" s="13"/>
      <c r="L25" s="13" t="s">
        <v>64</v>
      </c>
      <c r="M25" s="13"/>
      <c r="N25" s="13"/>
    </row>
    <row r="26" spans="1:14">
      <c r="A26" s="13" t="s">
        <v>56</v>
      </c>
      <c r="B26" s="13"/>
      <c r="C26" s="13"/>
      <c r="L26" s="13" t="s">
        <v>124</v>
      </c>
      <c r="M26" s="13"/>
      <c r="N26" s="13"/>
    </row>
    <row r="27" spans="1:14">
      <c r="A27" s="13" t="s">
        <v>57</v>
      </c>
      <c r="B27" s="13"/>
      <c r="C27" s="13"/>
      <c r="L27" s="13" t="s">
        <v>125</v>
      </c>
      <c r="M27" s="13"/>
      <c r="N27" s="13"/>
    </row>
    <row r="28" spans="1:14">
      <c r="A28" s="13" t="s">
        <v>58</v>
      </c>
      <c r="B28" s="13"/>
      <c r="C28" s="13"/>
      <c r="L28" s="13" t="s">
        <v>126</v>
      </c>
      <c r="M28" s="13"/>
      <c r="N28" s="13"/>
    </row>
    <row r="29" spans="1:14">
      <c r="A29" s="13" t="s">
        <v>131</v>
      </c>
      <c r="B29" s="13"/>
      <c r="C29" s="13"/>
      <c r="L29" s="13" t="s">
        <v>127</v>
      </c>
      <c r="M29" s="13"/>
      <c r="N29" s="13"/>
    </row>
    <row r="30" spans="1:14">
      <c r="A30" s="13" t="s">
        <v>60</v>
      </c>
      <c r="B30" s="13"/>
      <c r="C30" s="13"/>
      <c r="L30" s="13" t="s">
        <v>128</v>
      </c>
      <c r="M30" s="13"/>
      <c r="N30" s="13"/>
    </row>
    <row r="31" spans="1:14">
      <c r="A31" s="13" t="s">
        <v>132</v>
      </c>
      <c r="B31" s="13"/>
      <c r="C31" s="13"/>
      <c r="L31" s="13" t="s">
        <v>134</v>
      </c>
      <c r="M31" s="13"/>
      <c r="N31" s="13"/>
    </row>
    <row r="32" spans="1:14">
      <c r="A32" s="13" t="s">
        <v>133</v>
      </c>
      <c r="B32" s="13"/>
      <c r="C32" s="13"/>
      <c r="L32" s="13" t="s">
        <v>65</v>
      </c>
      <c r="M32" s="13"/>
      <c r="N32" s="13"/>
    </row>
    <row r="33" spans="1:14">
      <c r="A33" s="13" t="s">
        <v>61</v>
      </c>
      <c r="B33" s="13"/>
      <c r="C33" s="13"/>
      <c r="L33" s="13" t="s">
        <v>44</v>
      </c>
      <c r="M33" s="13"/>
      <c r="N33" s="13"/>
    </row>
    <row r="34" spans="1:14">
      <c r="A34" s="13" t="s">
        <v>62</v>
      </c>
      <c r="B34" s="13"/>
      <c r="C34" s="13"/>
      <c r="L34" s="13" t="s">
        <v>45</v>
      </c>
      <c r="M34" s="13"/>
      <c r="N34" s="13"/>
    </row>
    <row r="35" spans="1:14">
      <c r="A35" s="13" t="s">
        <v>63</v>
      </c>
      <c r="B35" s="13"/>
      <c r="C35" s="13"/>
      <c r="L35" s="13" t="s">
        <v>46</v>
      </c>
      <c r="M35" s="13"/>
      <c r="N35" s="13"/>
    </row>
    <row r="36" spans="1:14">
      <c r="A36" s="13" t="s">
        <v>64</v>
      </c>
      <c r="B36" s="13"/>
      <c r="C36" s="13"/>
      <c r="L36" s="13" t="s">
        <v>51</v>
      </c>
      <c r="M36" s="13"/>
      <c r="N36" s="13"/>
    </row>
    <row r="37" spans="1:14">
      <c r="A37" s="13" t="s">
        <v>124</v>
      </c>
      <c r="B37" s="13"/>
      <c r="C37" s="13"/>
      <c r="L37" s="13" t="s">
        <v>47</v>
      </c>
      <c r="M37" s="13"/>
      <c r="N37" s="13"/>
    </row>
    <row r="38" spans="1:14">
      <c r="A38" s="13" t="s">
        <v>125</v>
      </c>
      <c r="B38" s="13"/>
      <c r="C38" s="13"/>
      <c r="L38" s="13" t="s">
        <v>52</v>
      </c>
      <c r="M38" s="13"/>
      <c r="N38" s="13"/>
    </row>
    <row r="39" spans="1:14">
      <c r="A39" s="13" t="s">
        <v>126</v>
      </c>
      <c r="B39" s="13"/>
      <c r="C39" s="13"/>
      <c r="L39" s="13" t="s">
        <v>48</v>
      </c>
      <c r="M39" s="13"/>
      <c r="N39" s="13"/>
    </row>
    <row r="40" spans="1:14">
      <c r="A40" s="13" t="s">
        <v>127</v>
      </c>
      <c r="B40" s="13"/>
      <c r="C40" s="13"/>
      <c r="L40" s="13" t="s">
        <v>49</v>
      </c>
      <c r="M40" s="13"/>
      <c r="N40" s="13"/>
    </row>
    <row r="41" spans="1:14">
      <c r="A41" s="13" t="s">
        <v>128</v>
      </c>
      <c r="B41" s="13"/>
      <c r="C41" s="13"/>
      <c r="L41" s="13" t="s">
        <v>53</v>
      </c>
      <c r="M41" s="13"/>
      <c r="N41" s="13"/>
    </row>
    <row r="42" spans="1:14">
      <c r="A42" s="13" t="s">
        <v>134</v>
      </c>
      <c r="B42" s="13"/>
      <c r="C42" s="13"/>
      <c r="L42" s="13" t="s">
        <v>50</v>
      </c>
      <c r="M42" s="13"/>
      <c r="N42" s="13"/>
    </row>
    <row r="43" spans="1:14">
      <c r="A43" s="13" t="s">
        <v>65</v>
      </c>
      <c r="B43" s="13"/>
      <c r="C43" s="13"/>
      <c r="L43" s="13" t="s">
        <v>54</v>
      </c>
      <c r="M43" s="13"/>
      <c r="N43" s="13"/>
    </row>
    <row r="44" spans="1:14">
      <c r="A44" s="13" t="s">
        <v>44</v>
      </c>
      <c r="B44" s="13"/>
      <c r="C44" s="13"/>
      <c r="L44" s="13" t="s">
        <v>55</v>
      </c>
      <c r="M44" s="13"/>
      <c r="N44" s="13"/>
    </row>
    <row r="45" spans="1:14">
      <c r="A45" s="13" t="s">
        <v>45</v>
      </c>
      <c r="B45" s="13"/>
      <c r="C45" s="13"/>
      <c r="L45" s="13" t="s">
        <v>56</v>
      </c>
      <c r="M45" s="13"/>
      <c r="N45" s="13"/>
    </row>
    <row r="46" spans="1:14">
      <c r="A46" s="13" t="s">
        <v>46</v>
      </c>
      <c r="B46" s="13"/>
      <c r="C46" s="13"/>
      <c r="L46" s="13" t="s">
        <v>57</v>
      </c>
      <c r="M46" s="13"/>
      <c r="N46" s="13"/>
    </row>
    <row r="47" spans="1:14">
      <c r="A47" s="13" t="s">
        <v>51</v>
      </c>
      <c r="B47" s="13"/>
      <c r="C47" s="13"/>
      <c r="L47" s="13" t="s">
        <v>58</v>
      </c>
      <c r="M47" s="13"/>
      <c r="N47" s="13"/>
    </row>
    <row r="48" spans="1:14">
      <c r="A48" s="13" t="s">
        <v>47</v>
      </c>
      <c r="B48" s="13"/>
      <c r="C48" s="13"/>
      <c r="L48" s="13" t="s">
        <v>59</v>
      </c>
      <c r="M48" s="13"/>
      <c r="N48" s="13"/>
    </row>
    <row r="49" spans="1:14">
      <c r="A49" s="13" t="s">
        <v>52</v>
      </c>
      <c r="B49" s="13"/>
      <c r="C49" s="13"/>
      <c r="L49" s="13" t="s">
        <v>60</v>
      </c>
      <c r="M49" s="13"/>
      <c r="N49" s="13"/>
    </row>
    <row r="50" spans="1:14">
      <c r="A50" s="13" t="s">
        <v>48</v>
      </c>
      <c r="B50" s="13"/>
      <c r="C50" s="13"/>
      <c r="L50" s="13" t="s">
        <v>86</v>
      </c>
      <c r="M50" s="13"/>
      <c r="N50" s="13"/>
    </row>
    <row r="51" spans="1:14">
      <c r="A51" s="13" t="s">
        <v>49</v>
      </c>
      <c r="B51" s="13"/>
      <c r="C51" s="13"/>
      <c r="L51" s="13" t="s">
        <v>83</v>
      </c>
      <c r="M51" s="13"/>
      <c r="N51" s="13"/>
    </row>
    <row r="52" spans="1:14">
      <c r="A52" s="13" t="s">
        <v>53</v>
      </c>
      <c r="B52" s="13"/>
      <c r="C52" s="13"/>
      <c r="L52" s="13" t="s">
        <v>84</v>
      </c>
      <c r="M52" s="13"/>
      <c r="N52" s="13"/>
    </row>
    <row r="53" spans="1:14">
      <c r="A53" s="13" t="s">
        <v>50</v>
      </c>
      <c r="B53" s="13"/>
      <c r="C53" s="13"/>
      <c r="L53" s="13" t="s">
        <v>85</v>
      </c>
      <c r="M53" s="13"/>
      <c r="N53" s="13"/>
    </row>
    <row r="54" spans="1:14">
      <c r="A54" s="13" t="s">
        <v>54</v>
      </c>
      <c r="B54" s="13"/>
      <c r="C54" s="13"/>
      <c r="L54" s="13" t="s">
        <v>87</v>
      </c>
      <c r="M54" s="13"/>
      <c r="N54" s="13"/>
    </row>
    <row r="55" spans="1:14">
      <c r="A55" s="13" t="s">
        <v>55</v>
      </c>
      <c r="B55" s="13"/>
      <c r="C55" s="13"/>
      <c r="L55" s="13" t="s">
        <v>61</v>
      </c>
      <c r="M55" s="13"/>
      <c r="N55" s="13"/>
    </row>
    <row r="56" spans="1:14">
      <c r="A56" s="13" t="s">
        <v>56</v>
      </c>
      <c r="B56" s="13"/>
      <c r="C56" s="13"/>
      <c r="L56" s="13" t="s">
        <v>62</v>
      </c>
      <c r="M56" s="13"/>
      <c r="N56" s="13"/>
    </row>
    <row r="57" spans="1:14">
      <c r="A57" s="13" t="s">
        <v>57</v>
      </c>
      <c r="B57" s="13"/>
      <c r="C57" s="13"/>
      <c r="L57" s="13" t="s">
        <v>63</v>
      </c>
      <c r="M57" s="13"/>
      <c r="N57" s="13"/>
    </row>
    <row r="58" spans="1:14">
      <c r="A58" s="13" t="s">
        <v>58</v>
      </c>
      <c r="B58" s="13"/>
      <c r="C58" s="13"/>
      <c r="L58" s="13" t="s">
        <v>64</v>
      </c>
      <c r="M58" s="13"/>
      <c r="N58" s="13"/>
    </row>
    <row r="59" spans="1:14">
      <c r="A59" s="13" t="s">
        <v>59</v>
      </c>
      <c r="B59" s="13"/>
      <c r="C59" s="13"/>
      <c r="L59" s="13" t="s">
        <v>124</v>
      </c>
      <c r="M59" s="13"/>
      <c r="N59" s="13"/>
    </row>
    <row r="60" spans="1:14">
      <c r="A60" s="13" t="s">
        <v>60</v>
      </c>
      <c r="B60" s="13"/>
      <c r="C60" s="13"/>
      <c r="L60" s="13" t="s">
        <v>125</v>
      </c>
      <c r="M60" s="13"/>
      <c r="N60" s="13"/>
    </row>
    <row r="61" spans="1:14">
      <c r="A61" s="13" t="s">
        <v>86</v>
      </c>
      <c r="B61" s="13"/>
      <c r="C61" s="13"/>
      <c r="L61" s="13" t="s">
        <v>126</v>
      </c>
      <c r="M61" s="13"/>
      <c r="N61" s="13"/>
    </row>
    <row r="62" spans="1:14">
      <c r="A62" s="13" t="s">
        <v>83</v>
      </c>
      <c r="B62" s="13"/>
      <c r="C62" s="13"/>
      <c r="L62" s="13" t="s">
        <v>127</v>
      </c>
      <c r="M62" s="13"/>
      <c r="N62" s="13"/>
    </row>
    <row r="63" spans="1:14">
      <c r="A63" s="13" t="s">
        <v>84</v>
      </c>
      <c r="B63" s="13"/>
      <c r="C63" s="13"/>
      <c r="L63" s="13" t="s">
        <v>128</v>
      </c>
      <c r="M63" s="13"/>
      <c r="N63" s="13"/>
    </row>
    <row r="64" spans="1:14">
      <c r="A64" s="13" t="s">
        <v>85</v>
      </c>
      <c r="B64" s="13"/>
      <c r="C64" s="13"/>
      <c r="L64" s="13" t="s">
        <v>134</v>
      </c>
      <c r="M64" s="13"/>
      <c r="N64" s="13"/>
    </row>
    <row r="65" spans="1:14">
      <c r="A65" s="13" t="s">
        <v>87</v>
      </c>
      <c r="B65" s="13"/>
      <c r="C65" s="13"/>
      <c r="L65" s="13" t="s">
        <v>65</v>
      </c>
      <c r="M65" s="13"/>
      <c r="N65" s="13"/>
    </row>
    <row r="66" spans="1:14">
      <c r="A66" s="13" t="s">
        <v>61</v>
      </c>
      <c r="B66" s="13"/>
      <c r="C66" s="13"/>
      <c r="L66" s="13" t="s">
        <v>44</v>
      </c>
      <c r="M66" s="13"/>
      <c r="N66" s="13"/>
    </row>
    <row r="67" spans="1:14">
      <c r="A67" s="13" t="s">
        <v>62</v>
      </c>
      <c r="B67" s="13"/>
      <c r="C67" s="13"/>
      <c r="L67" s="13" t="s">
        <v>45</v>
      </c>
      <c r="M67" s="13"/>
      <c r="N67" s="13"/>
    </row>
    <row r="68" spans="1:14">
      <c r="A68" s="13" t="s">
        <v>63</v>
      </c>
      <c r="B68" s="13"/>
      <c r="C68" s="13"/>
      <c r="L68" s="13" t="s">
        <v>46</v>
      </c>
      <c r="M68" s="13"/>
      <c r="N68" s="13"/>
    </row>
    <row r="69" spans="1:14">
      <c r="A69" s="13" t="s">
        <v>64</v>
      </c>
      <c r="B69" s="13"/>
      <c r="C69" s="13"/>
      <c r="L69" s="13" t="s">
        <v>51</v>
      </c>
      <c r="M69" s="13"/>
      <c r="N69" s="13"/>
    </row>
    <row r="70" spans="1:14">
      <c r="A70" s="13" t="s">
        <v>124</v>
      </c>
      <c r="B70" s="13"/>
      <c r="C70" s="13"/>
      <c r="L70" s="13" t="s">
        <v>47</v>
      </c>
      <c r="M70" s="13"/>
      <c r="N70" s="13"/>
    </row>
    <row r="71" spans="1:14">
      <c r="A71" s="13" t="s">
        <v>125</v>
      </c>
      <c r="B71" s="13"/>
      <c r="C71" s="13"/>
      <c r="L71" s="13" t="s">
        <v>52</v>
      </c>
      <c r="M71" s="13"/>
      <c r="N71" s="13"/>
    </row>
    <row r="72" spans="1:14">
      <c r="A72" s="13" t="s">
        <v>126</v>
      </c>
      <c r="B72" s="13"/>
      <c r="C72" s="13"/>
      <c r="L72" s="13" t="s">
        <v>48</v>
      </c>
      <c r="M72" s="13"/>
      <c r="N72" s="13"/>
    </row>
    <row r="73" spans="1:14">
      <c r="A73" s="13" t="s">
        <v>127</v>
      </c>
      <c r="B73" s="13"/>
      <c r="C73" s="13"/>
      <c r="L73" s="13" t="s">
        <v>49</v>
      </c>
      <c r="M73" s="13"/>
      <c r="N73" s="13"/>
    </row>
    <row r="74" spans="1:14">
      <c r="A74" s="13" t="s">
        <v>128</v>
      </c>
      <c r="B74" s="13"/>
      <c r="C74" s="13"/>
      <c r="L74" s="13" t="s">
        <v>53</v>
      </c>
      <c r="M74" s="13"/>
      <c r="N74" s="13"/>
    </row>
    <row r="75" spans="1:14">
      <c r="A75" s="13" t="s">
        <v>134</v>
      </c>
      <c r="B75" s="13"/>
      <c r="C75" s="13"/>
      <c r="L75" s="13" t="s">
        <v>50</v>
      </c>
      <c r="M75" s="13"/>
      <c r="N75" s="13"/>
    </row>
    <row r="76" spans="1:14">
      <c r="A76" s="13" t="s">
        <v>65</v>
      </c>
      <c r="B76" s="13"/>
      <c r="C76" s="13"/>
      <c r="L76" s="13" t="s">
        <v>54</v>
      </c>
      <c r="M76" s="13"/>
      <c r="N76" s="13"/>
    </row>
    <row r="77" spans="1:14">
      <c r="A77" s="13" t="s">
        <v>44</v>
      </c>
      <c r="B77" s="13"/>
      <c r="C77" s="13"/>
      <c r="L77" s="13" t="s">
        <v>55</v>
      </c>
      <c r="M77" s="13"/>
      <c r="N77" s="13"/>
    </row>
    <row r="78" spans="1:14">
      <c r="A78" s="13" t="s">
        <v>45</v>
      </c>
      <c r="B78" s="13"/>
      <c r="C78" s="13"/>
      <c r="L78" s="13" t="s">
        <v>56</v>
      </c>
      <c r="M78" s="13"/>
      <c r="N78" s="13"/>
    </row>
    <row r="79" spans="1:14">
      <c r="A79" s="13" t="s">
        <v>46</v>
      </c>
      <c r="B79" s="13"/>
      <c r="C79" s="13"/>
      <c r="L79" s="13" t="s">
        <v>57</v>
      </c>
      <c r="M79" s="13"/>
      <c r="N79" s="13"/>
    </row>
    <row r="80" spans="1:14">
      <c r="A80" s="13" t="s">
        <v>51</v>
      </c>
      <c r="B80" s="13"/>
      <c r="C80" s="13"/>
      <c r="L80" s="13" t="s">
        <v>58</v>
      </c>
      <c r="M80" s="13"/>
      <c r="N80" s="13"/>
    </row>
    <row r="81" spans="1:14">
      <c r="A81" s="13" t="s">
        <v>47</v>
      </c>
      <c r="B81" s="13"/>
      <c r="C81" s="13"/>
      <c r="L81" s="13" t="s">
        <v>66</v>
      </c>
      <c r="M81" s="13"/>
      <c r="N81" s="13"/>
    </row>
    <row r="82" spans="1:14">
      <c r="A82" s="13" t="s">
        <v>52</v>
      </c>
      <c r="B82" s="13"/>
      <c r="C82" s="13"/>
      <c r="L82" s="13" t="s">
        <v>67</v>
      </c>
      <c r="M82" s="13"/>
      <c r="N82" s="13"/>
    </row>
    <row r="83" spans="1:14">
      <c r="A83" s="13" t="s">
        <v>48</v>
      </c>
      <c r="B83" s="13"/>
      <c r="C83" s="13"/>
      <c r="L83" s="13" t="s">
        <v>64</v>
      </c>
      <c r="M83" s="13"/>
      <c r="N83" s="13"/>
    </row>
    <row r="84" spans="1:14">
      <c r="A84" s="13" t="s">
        <v>49</v>
      </c>
      <c r="B84" s="13"/>
      <c r="C84" s="13"/>
      <c r="L84" s="13" t="s">
        <v>124</v>
      </c>
      <c r="M84" s="13"/>
      <c r="N84" s="13"/>
    </row>
    <row r="85" spans="1:14">
      <c r="A85" s="13" t="s">
        <v>53</v>
      </c>
      <c r="B85" s="13"/>
      <c r="C85" s="13"/>
      <c r="L85" s="13" t="s">
        <v>125</v>
      </c>
      <c r="M85" s="13"/>
      <c r="N85" s="13"/>
    </row>
    <row r="86" spans="1:14">
      <c r="A86" s="13" t="s">
        <v>50</v>
      </c>
      <c r="B86" s="13"/>
      <c r="C86" s="13"/>
      <c r="L86" s="13" t="s">
        <v>126</v>
      </c>
      <c r="M86" s="13"/>
      <c r="N86" s="13"/>
    </row>
    <row r="87" spans="1:14">
      <c r="A87" s="13" t="s">
        <v>54</v>
      </c>
      <c r="B87" s="13"/>
      <c r="C87" s="13"/>
      <c r="L87" s="13" t="s">
        <v>127</v>
      </c>
      <c r="M87" s="13"/>
      <c r="N87" s="13"/>
    </row>
    <row r="88" spans="1:14">
      <c r="A88" s="13" t="s">
        <v>55</v>
      </c>
      <c r="B88" s="13"/>
      <c r="C88" s="13"/>
      <c r="L88" s="13" t="s">
        <v>128</v>
      </c>
      <c r="M88" s="13"/>
      <c r="N88" s="13"/>
    </row>
    <row r="89" spans="1:14">
      <c r="A89" s="13" t="s">
        <v>56</v>
      </c>
      <c r="B89" s="13"/>
      <c r="C89" s="13"/>
      <c r="L89" s="13" t="s">
        <v>134</v>
      </c>
      <c r="M89" s="13"/>
      <c r="N89" s="13"/>
    </row>
    <row r="90" spans="1:14">
      <c r="A90" s="13" t="s">
        <v>57</v>
      </c>
      <c r="B90" s="13"/>
      <c r="C90" s="13"/>
    </row>
    <row r="91" spans="1:14">
      <c r="A91" s="13" t="s">
        <v>58</v>
      </c>
      <c r="B91" s="13"/>
      <c r="C91" s="13"/>
    </row>
    <row r="92" spans="1:14">
      <c r="A92" s="13" t="s">
        <v>66</v>
      </c>
      <c r="B92" s="13"/>
      <c r="C92" s="13"/>
    </row>
    <row r="93" spans="1:14">
      <c r="A93" s="13" t="s">
        <v>67</v>
      </c>
      <c r="B93" s="13"/>
      <c r="C93" s="13"/>
    </row>
    <row r="94" spans="1:14">
      <c r="A94" s="13" t="s">
        <v>64</v>
      </c>
      <c r="B94" s="13"/>
      <c r="C94" s="13"/>
    </row>
    <row r="95" spans="1:14">
      <c r="A95" s="13" t="s">
        <v>124</v>
      </c>
      <c r="B95" s="13"/>
      <c r="C95" s="13"/>
    </row>
    <row r="96" spans="1:14">
      <c r="A96" s="13" t="s">
        <v>125</v>
      </c>
      <c r="B96" s="13"/>
      <c r="C96" s="13"/>
    </row>
    <row r="97" spans="1:3">
      <c r="A97" s="13" t="s">
        <v>126</v>
      </c>
      <c r="B97" s="13"/>
      <c r="C97" s="13"/>
    </row>
    <row r="98" spans="1:3">
      <c r="A98" s="13" t="s">
        <v>127</v>
      </c>
      <c r="B98" s="13"/>
      <c r="C98" s="13"/>
    </row>
    <row r="99" spans="1:3">
      <c r="A99" s="13" t="s">
        <v>128</v>
      </c>
      <c r="B99" s="13"/>
      <c r="C99" s="13"/>
    </row>
    <row r="100" spans="1:3">
      <c r="A100" s="13" t="s">
        <v>134</v>
      </c>
      <c r="B100" s="13"/>
      <c r="C100" s="13"/>
    </row>
    <row r="101" spans="1:3">
      <c r="A101" s="13"/>
      <c r="B101" s="13"/>
      <c r="C101" s="13"/>
    </row>
    <row r="102" spans="1:3">
      <c r="A102" s="13" t="s">
        <v>170</v>
      </c>
      <c r="B102" s="13"/>
      <c r="C102" s="13"/>
    </row>
    <row r="103" spans="1:3">
      <c r="A103" t="s">
        <v>55</v>
      </c>
    </row>
    <row r="104" spans="1:3">
      <c r="A104" t="s">
        <v>171</v>
      </c>
    </row>
    <row r="105" spans="1:3">
      <c r="A105" t="s">
        <v>172</v>
      </c>
    </row>
    <row r="106" spans="1:3">
      <c r="A106" t="s">
        <v>173</v>
      </c>
    </row>
    <row r="107" spans="1:3">
      <c r="A107" t="s">
        <v>174</v>
      </c>
      <c r="C107" t="s">
        <v>175</v>
      </c>
    </row>
    <row r="108" spans="1:3">
      <c r="A108" t="s">
        <v>125</v>
      </c>
    </row>
    <row r="109" spans="1:3">
      <c r="A109" t="s">
        <v>126</v>
      </c>
    </row>
    <row r="110" spans="1:3">
      <c r="A110" t="s">
        <v>127</v>
      </c>
    </row>
    <row r="111" spans="1:3">
      <c r="A111" t="s">
        <v>128</v>
      </c>
    </row>
    <row r="112" spans="1:3">
      <c r="A112" t="s">
        <v>134</v>
      </c>
    </row>
    <row r="113" spans="1:1">
      <c r="A113" t="s">
        <v>65</v>
      </c>
    </row>
    <row r="114" spans="1:1">
      <c r="A114" t="s">
        <v>44</v>
      </c>
    </row>
    <row r="115" spans="1:1">
      <c r="A115" t="s">
        <v>45</v>
      </c>
    </row>
    <row r="116" spans="1:1">
      <c r="A116" t="s">
        <v>46</v>
      </c>
    </row>
    <row r="117" spans="1:1">
      <c r="A117" t="s">
        <v>165</v>
      </c>
    </row>
    <row r="118" spans="1:1">
      <c r="A118" t="s">
        <v>47</v>
      </c>
    </row>
    <row r="119" spans="1:1">
      <c r="A119" t="s">
        <v>176</v>
      </c>
    </row>
    <row r="120" spans="1:1">
      <c r="A120" t="s">
        <v>177</v>
      </c>
    </row>
    <row r="121" spans="1:1">
      <c r="A121" t="s">
        <v>178</v>
      </c>
    </row>
    <row r="122" spans="1:1">
      <c r="A122" t="s">
        <v>48</v>
      </c>
    </row>
    <row r="123" spans="1:1">
      <c r="A123" t="s">
        <v>49</v>
      </c>
    </row>
    <row r="124" spans="1:1">
      <c r="A124">
        <v>1</v>
      </c>
    </row>
    <row r="125" spans="1:1">
      <c r="A125" t="s">
        <v>50</v>
      </c>
    </row>
    <row r="126" spans="1:1">
      <c r="A126" t="s">
        <v>179</v>
      </c>
    </row>
    <row r="127" spans="1:1">
      <c r="A127" t="s">
        <v>55</v>
      </c>
    </row>
    <row r="128" spans="1:1">
      <c r="A128" t="s">
        <v>180</v>
      </c>
    </row>
    <row r="129" spans="1:1">
      <c r="A129" t="s">
        <v>181</v>
      </c>
    </row>
    <row r="130" spans="1:1">
      <c r="A130" t="s">
        <v>182</v>
      </c>
    </row>
    <row r="131" spans="1:1">
      <c r="A131" t="s">
        <v>125</v>
      </c>
    </row>
    <row r="132" spans="1:1">
      <c r="A132" t="s">
        <v>126</v>
      </c>
    </row>
    <row r="133" spans="1:1">
      <c r="A133" t="s">
        <v>127</v>
      </c>
    </row>
    <row r="134" spans="1:1">
      <c r="A134" t="s">
        <v>128</v>
      </c>
    </row>
    <row r="135" spans="1:1">
      <c r="A135" t="s">
        <v>134</v>
      </c>
    </row>
  </sheetData>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activeCell="B30" sqref="B30"/>
    </sheetView>
  </sheetViews>
  <sheetFormatPr defaultRowHeight="13.5"/>
  <cols>
    <col min="1" max="1" width="40.5" style="1" bestFit="1" customWidth="1"/>
    <col min="2" max="2" width="71.625" style="1" customWidth="1"/>
  </cols>
  <sheetData>
    <row r="1" spans="1:2">
      <c r="A1" s="2" t="s">
        <v>10</v>
      </c>
      <c r="B1" s="2" t="s">
        <v>7</v>
      </c>
    </row>
    <row r="2" spans="1:2">
      <c r="A2" s="15" t="s">
        <v>184</v>
      </c>
      <c r="B2" s="15" t="s">
        <v>135</v>
      </c>
    </row>
    <row r="3" spans="1:2">
      <c r="A3" s="15" t="s">
        <v>185</v>
      </c>
      <c r="B3" s="15" t="s">
        <v>113</v>
      </c>
    </row>
    <row r="4" spans="1:2">
      <c r="A4" s="15" t="s">
        <v>186</v>
      </c>
      <c r="B4" s="15" t="s">
        <v>114</v>
      </c>
    </row>
    <row r="5" spans="1:2">
      <c r="A5" s="15" t="s">
        <v>187</v>
      </c>
      <c r="B5" s="15" t="s">
        <v>113</v>
      </c>
    </row>
    <row r="6" spans="1:2">
      <c r="A6" s="15" t="s">
        <v>188</v>
      </c>
      <c r="B6" s="15" t="s">
        <v>114</v>
      </c>
    </row>
    <row r="7" spans="1:2">
      <c r="A7" s="15" t="s">
        <v>189</v>
      </c>
      <c r="B7" s="15" t="s">
        <v>114</v>
      </c>
    </row>
    <row r="8" spans="1:2">
      <c r="A8" s="15" t="s">
        <v>190</v>
      </c>
      <c r="B8" s="15" t="s">
        <v>113</v>
      </c>
    </row>
    <row r="9" spans="1:2">
      <c r="A9" s="15" t="s">
        <v>191</v>
      </c>
      <c r="B9" s="15" t="s">
        <v>114</v>
      </c>
    </row>
    <row r="10" spans="1:2">
      <c r="A10" s="15" t="s">
        <v>192</v>
      </c>
      <c r="B10" s="15" t="s">
        <v>114</v>
      </c>
    </row>
    <row r="11" spans="1:2">
      <c r="A11" s="15" t="s">
        <v>193</v>
      </c>
      <c r="B11" s="15" t="s">
        <v>114</v>
      </c>
    </row>
    <row r="12" spans="1:2">
      <c r="A12" s="15" t="s">
        <v>194</v>
      </c>
      <c r="B12" s="15" t="s">
        <v>114</v>
      </c>
    </row>
    <row r="13" spans="1:2">
      <c r="A13" s="15" t="s">
        <v>195</v>
      </c>
      <c r="B13" s="15" t="s">
        <v>114</v>
      </c>
    </row>
    <row r="14" spans="1:2">
      <c r="A14" s="15" t="s">
        <v>196</v>
      </c>
      <c r="B14" s="15" t="s">
        <v>114</v>
      </c>
    </row>
    <row r="15" spans="1:2">
      <c r="A15" s="15" t="s">
        <v>197</v>
      </c>
      <c r="B15" s="15" t="s">
        <v>114</v>
      </c>
    </row>
    <row r="16" spans="1:2">
      <c r="A16" s="15" t="s">
        <v>198</v>
      </c>
      <c r="B16" s="15" t="s">
        <v>115</v>
      </c>
    </row>
    <row r="17" spans="1:2">
      <c r="A17" s="15" t="s">
        <v>199</v>
      </c>
      <c r="B17" s="15" t="s">
        <v>116</v>
      </c>
    </row>
    <row r="18" spans="1:2">
      <c r="A18" s="15" t="s">
        <v>200</v>
      </c>
      <c r="B18" s="15" t="s">
        <v>117</v>
      </c>
    </row>
    <row r="19" spans="1:2">
      <c r="A19" s="15" t="s">
        <v>201</v>
      </c>
      <c r="B19" s="15" t="s">
        <v>113</v>
      </c>
    </row>
    <row r="20" spans="1:2">
      <c r="A20" s="15" t="s">
        <v>202</v>
      </c>
      <c r="B20" s="15" t="s">
        <v>113</v>
      </c>
    </row>
    <row r="21" spans="1:2">
      <c r="A21" s="15" t="s">
        <v>203</v>
      </c>
      <c r="B21" s="15" t="s">
        <v>113</v>
      </c>
    </row>
    <row r="22" spans="1:2">
      <c r="A22" s="15" t="s">
        <v>204</v>
      </c>
      <c r="B22" s="15" t="s">
        <v>113</v>
      </c>
    </row>
    <row r="23" spans="1:2">
      <c r="A23" s="15" t="s">
        <v>205</v>
      </c>
      <c r="B23" s="15" t="s">
        <v>113</v>
      </c>
    </row>
    <row r="24" spans="1:2">
      <c r="A24" s="15" t="s">
        <v>206</v>
      </c>
      <c r="B24" s="15" t="s">
        <v>113</v>
      </c>
    </row>
    <row r="25" spans="1:2">
      <c r="A25" s="15" t="s">
        <v>207</v>
      </c>
      <c r="B25" s="15" t="s">
        <v>118</v>
      </c>
    </row>
    <row r="26" spans="1:2">
      <c r="A26" s="15" t="s">
        <v>208</v>
      </c>
      <c r="B26" s="15" t="s">
        <v>119</v>
      </c>
    </row>
    <row r="27" spans="1:2">
      <c r="A27" s="15" t="s">
        <v>209</v>
      </c>
      <c r="B27" s="15" t="s">
        <v>40</v>
      </c>
    </row>
    <row r="28" spans="1:2">
      <c r="A28" s="15" t="s">
        <v>210</v>
      </c>
      <c r="B28" s="15" t="s">
        <v>120</v>
      </c>
    </row>
    <row r="29" spans="1:2">
      <c r="A29" s="15" t="s">
        <v>211</v>
      </c>
      <c r="B29" s="15" t="s">
        <v>121</v>
      </c>
    </row>
    <row r="30" spans="1:2">
      <c r="A30" s="15" t="s">
        <v>212</v>
      </c>
      <c r="B30" s="15" t="s">
        <v>120</v>
      </c>
    </row>
    <row r="31" spans="1:2">
      <c r="A31" s="15" t="s">
        <v>213</v>
      </c>
      <c r="B31" s="15" t="s">
        <v>121</v>
      </c>
    </row>
    <row r="32" spans="1:2">
      <c r="A32" s="15" t="s">
        <v>214</v>
      </c>
      <c r="B32" s="15" t="s">
        <v>120</v>
      </c>
    </row>
    <row r="33" spans="1:2">
      <c r="A33" s="15" t="s">
        <v>215</v>
      </c>
      <c r="B33" s="15" t="s">
        <v>120</v>
      </c>
    </row>
    <row r="34" spans="1:2">
      <c r="A34" s="15" t="s">
        <v>216</v>
      </c>
      <c r="B34" s="15" t="s">
        <v>41</v>
      </c>
    </row>
    <row r="35" spans="1:2">
      <c r="A35" s="15" t="s">
        <v>297</v>
      </c>
      <c r="B35" s="15" t="s">
        <v>114</v>
      </c>
    </row>
    <row r="36" spans="1:2">
      <c r="A36" s="15" t="s">
        <v>299</v>
      </c>
      <c r="B36" s="15" t="s">
        <v>302</v>
      </c>
    </row>
  </sheetData>
  <phoneticPr fontId="2" type="noConversion"/>
  <conditionalFormatting sqref="A37:A1048576 A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规则配置表</vt:lpstr>
      <vt:lpstr>规则条件表</vt:lpstr>
      <vt:lpstr>页面与rule表关系对应</vt:lpstr>
      <vt:lpstr>抽取rule对应的数据</vt:lpstr>
      <vt:lpstr>前置条件备份</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2021-01-11T01:53:25Z</dcterms:modified>
</cp:coreProperties>
</file>