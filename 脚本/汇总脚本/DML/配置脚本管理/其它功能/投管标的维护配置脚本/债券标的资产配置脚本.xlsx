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33"/>
  </bookViews>
  <sheets>
    <sheet name="规则配置表" sheetId="1" r:id="rId1"/>
    <sheet name="规则条件表" sheetId="2" r:id="rId2"/>
    <sheet name="资产负债分类表" sheetId="7" r:id="rId3"/>
    <sheet name="页面与rule表关系对应" sheetId="5" r:id="rId4"/>
    <sheet name="抽取rule对应的数据" sheetId="6" r:id="rId5"/>
    <sheet name="前置条件备份" sheetId="8" r:id="rId6"/>
  </sheets>
  <definedNames>
    <definedName name="_xlnm._FilterDatabase" localSheetId="0" hidden="1">规则配置表!$A$1:$L$1</definedName>
    <definedName name="_xlnm._FilterDatabase" localSheetId="1" hidden="1">规则条件表!$A$1:$I$50</definedName>
  </definedNames>
  <calcPr calcId="152511"/>
</workbook>
</file>

<file path=xl/calcChain.xml><?xml version="1.0" encoding="utf-8"?>
<calcChain xmlns="http://schemas.openxmlformats.org/spreadsheetml/2006/main">
  <c r="J46" i="2" l="1"/>
  <c r="J50" i="2" l="1"/>
  <c r="J49" i="2"/>
  <c r="L74" i="1"/>
  <c r="L73" i="1"/>
  <c r="L72" i="1"/>
  <c r="L71" i="1"/>
  <c r="L70" i="1"/>
  <c r="L69" i="1"/>
  <c r="L68" i="1" l="1"/>
  <c r="L67" i="1"/>
  <c r="L66" i="1"/>
  <c r="L65" i="1"/>
  <c r="L61" i="1"/>
  <c r="L33" i="1" l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2" i="1"/>
  <c r="L63" i="1"/>
  <c r="L64" i="1"/>
  <c r="L3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D17" i="7" l="1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J48" i="2" l="1"/>
  <c r="J47" i="2" l="1"/>
  <c r="J17" i="2" l="1"/>
  <c r="J22" i="2"/>
  <c r="J23" i="2"/>
  <c r="J45" i="2" l="1"/>
  <c r="J44" i="2"/>
  <c r="J40" i="2" l="1"/>
  <c r="J7" i="2"/>
  <c r="J2" i="2"/>
  <c r="J5" i="2"/>
  <c r="J4" i="2"/>
  <c r="J3" i="2"/>
  <c r="J27" i="2"/>
  <c r="J26" i="2"/>
  <c r="J25" i="2"/>
  <c r="J24" i="2"/>
  <c r="J21" i="2"/>
  <c r="J20" i="2"/>
  <c r="J19" i="2"/>
  <c r="J18" i="2"/>
  <c r="J43" i="2"/>
  <c r="J42" i="2"/>
  <c r="J41" i="2"/>
  <c r="J34" i="2" l="1"/>
  <c r="J35" i="2"/>
  <c r="J36" i="2"/>
  <c r="J37" i="2"/>
  <c r="J38" i="2"/>
  <c r="J30" i="2"/>
  <c r="J31" i="2"/>
  <c r="J33" i="2"/>
  <c r="J32" i="2"/>
  <c r="J28" i="2"/>
  <c r="J29" i="2"/>
  <c r="J12" i="2"/>
  <c r="J13" i="2"/>
  <c r="J14" i="2"/>
  <c r="J15" i="2"/>
  <c r="J16" i="2"/>
  <c r="J39" i="2"/>
  <c r="J10" i="2"/>
  <c r="J8" i="2"/>
  <c r="J9" i="2"/>
  <c r="J6" i="2"/>
  <c r="J11" i="2"/>
</calcChain>
</file>

<file path=xl/comments1.xml><?xml version="1.0" encoding="utf-8"?>
<comments xmlns="http://schemas.openxmlformats.org/spreadsheetml/2006/main">
  <authors>
    <author>作者</author>
  </authors>
  <commentList>
    <comment ref="H3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资产类别为1301时，中债校验发行方式为空，但投管页面为必填；</t>
        </r>
      </text>
    </comment>
  </commentList>
</comments>
</file>

<file path=xl/sharedStrings.xml><?xml version="1.0" encoding="utf-8"?>
<sst xmlns="http://schemas.openxmlformats.org/spreadsheetml/2006/main" count="1797" uniqueCount="720">
  <si>
    <t>CHECKRULEID</t>
  </si>
  <si>
    <t>DATATYPE</t>
  </si>
  <si>
    <t>CHECKMETHOD</t>
  </si>
  <si>
    <t>SRCPROPERTY</t>
  </si>
  <si>
    <t>COMPARETO</t>
  </si>
  <si>
    <t>OBJVALUE</t>
  </si>
  <si>
    <t>NULLABLE</t>
  </si>
  <si>
    <t>REMARK</t>
  </si>
  <si>
    <t>STATUS</t>
  </si>
  <si>
    <t>备注</t>
  </si>
  <si>
    <t>CHECKCONDITIONID</t>
  </si>
  <si>
    <t>inArray</t>
  </si>
  <si>
    <t>==</t>
  </si>
  <si>
    <t>E</t>
  </si>
  <si>
    <t>isCustomizedString</t>
  </si>
  <si>
    <t>资产/负债类别</t>
  </si>
  <si>
    <t>交易流通场所</t>
  </si>
  <si>
    <t>交易流通场所不在值域范围内</t>
  </si>
  <si>
    <t>isNotEmpty</t>
  </si>
  <si>
    <t>lessThanCharLength</t>
  </si>
  <si>
    <t>inDatadict</t>
  </si>
  <si>
    <t>ASSET_TYPE2</t>
  </si>
  <si>
    <t>TRADE_MARKET</t>
  </si>
  <si>
    <t>N</t>
  </si>
  <si>
    <t>Y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</si>
  <si>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</si>
  <si>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备注要素不可为空</t>
  </si>
  <si>
    <t>备注不能超过256字符</t>
  </si>
  <si>
    <t>备注必须填写白名单中的文字。</t>
  </si>
  <si>
    <t>交易流通场所要素必填</t>
  </si>
  <si>
    <t>SVR_TRADE_MARKET</t>
  </si>
  <si>
    <t>compareValue</t>
  </si>
  <si>
    <t>99</t>
  </si>
  <si>
    <t>INSTITUTION_INDUSTRY_SECOND_LEVEL</t>
  </si>
  <si>
    <t>股票类型不在值域范围内</t>
  </si>
  <si>
    <t>企业类型（按技术领域划分）</t>
  </si>
  <si>
    <t>企业类型（按经济类型划分）</t>
  </si>
  <si>
    <t>是否为质押融资不在值域范围内</t>
  </si>
  <si>
    <t>!=</t>
  </si>
  <si>
    <t>1112,1113,1114,1115,1116,1117</t>
  </si>
  <si>
    <t>1101,1110,1109,1102,1111,1112,1113,1114,1115,1116,1117,2101,2501,2502</t>
  </si>
  <si>
    <t>当资产/负债类别不为债劵时</t>
  </si>
  <si>
    <t>INSTIT_SIZE</t>
  </si>
  <si>
    <t>HTML-NAME</t>
  </si>
  <si>
    <t>人行机构规模</t>
  </si>
  <si>
    <t>发行机构类型（按规模划分）</t>
  </si>
  <si>
    <t>发行机构类型（按经济类型划分）</t>
  </si>
  <si>
    <t>html页面名称</t>
    <phoneticPr fontId="2" type="noConversion"/>
  </si>
  <si>
    <t>rule表中名称</t>
    <phoneticPr fontId="2" type="noConversion"/>
  </si>
  <si>
    <t>name</t>
    <phoneticPr fontId="2" type="noConversion"/>
  </si>
  <si>
    <t>bussFinBondRepInfoDto.repSectype</t>
  </si>
  <si>
    <t>bussFinBondRepInfoDto_repPartyType1</t>
  </si>
  <si>
    <t>bussFinBondRepInfoDto.repInstitSize</t>
  </si>
  <si>
    <t>bussFinBondRepInfoDto.repPartyType2</t>
  </si>
  <si>
    <t>发行机构类型（按技术领域划分）</t>
  </si>
  <si>
    <t>bussFinBondRepInfoDto.repPartyType3</t>
  </si>
  <si>
    <t>发行机构所属行业</t>
  </si>
  <si>
    <t>bussFinBondRepInfoDto.repTradeMarket</t>
  </si>
  <si>
    <t>是否商业银行二级资本债</t>
  </si>
  <si>
    <t>bussFinBondRepInfoDto.bankSecCapital</t>
  </si>
  <si>
    <t>是否商业银行永续债</t>
  </si>
  <si>
    <t>bussFinBondRepInfoDto.bankSecPerpetual</t>
  </si>
  <si>
    <t>是否商业银行优先股</t>
  </si>
  <si>
    <t>bussFinBondRepInfoDto.bankSecPrefer</t>
  </si>
  <si>
    <t>发行方式</t>
  </si>
  <si>
    <t>issueType</t>
  </si>
  <si>
    <t>登记托管机构说明</t>
  </si>
  <si>
    <t>bussFinBondRepInfoDto.repRegistorgComment</t>
  </si>
  <si>
    <t>投向地方政府融资平台的部分</t>
  </si>
  <si>
    <t>bussFinBondRepInfoDto.repPrivateprdFlag</t>
  </si>
  <si>
    <t>投向市场化债转股相关产品的部分</t>
  </si>
  <si>
    <t>bussFinBondRepInfoDto.repBondtostockFlag</t>
  </si>
  <si>
    <t>投向金融资产投资公司或其附属机构发行的私募股权投资基金</t>
  </si>
  <si>
    <t>bussFinBondRepInfoDto_repPrivatefundFlag</t>
  </si>
  <si>
    <t>投向“公共私营合作项目”（PPP）的部分</t>
  </si>
  <si>
    <t>bussFinBondRepInfoDto.repPppflag</t>
  </si>
  <si>
    <t>小微企业信贷资产流转和收益权转让</t>
  </si>
  <si>
    <t>bussFinBondRepInfoDto.repSmallcredit</t>
  </si>
  <si>
    <t>bussFinBondRepInfoDto.repRemark</t>
  </si>
  <si>
    <t>具体类别</t>
    <phoneticPr fontId="2" type="noConversion"/>
  </si>
  <si>
    <t>交易流通场所</t>
    <phoneticPr fontId="2" type="noConversion"/>
  </si>
  <si>
    <t>投向地方政府融资平台</t>
  </si>
  <si>
    <t>是否投向“市场化债转股相关产品的部分”</t>
  </si>
  <si>
    <t>是否由金融资产投资公司发行要素</t>
  </si>
  <si>
    <t>公共PPP</t>
  </si>
  <si>
    <t>资产负债类别</t>
  </si>
  <si>
    <t>PARTY_TYPE1</t>
  </si>
  <si>
    <t>PARTY_TYPE2</t>
  </si>
  <si>
    <t>PARTY_TYPE3</t>
  </si>
  <si>
    <t>CHB_SECTYPE</t>
  </si>
  <si>
    <t>当资产/负债类别为债券类资产时</t>
  </si>
  <si>
    <t>[资产/负债类别]为“1301 股权”时</t>
  </si>
  <si>
    <t>当资产/负债类别为债券类资产/理财直接融资工具/同业存单时</t>
  </si>
  <si>
    <t>当资产/负债类别为权益类资产时</t>
  </si>
  <si>
    <t>当资产/负债类别为[商业性金融债]时</t>
  </si>
  <si>
    <t>当资产/负债类别为[企业债券]时</t>
  </si>
  <si>
    <t>当资产/负债类别为[公司债券]时</t>
  </si>
  <si>
    <t>当资产/负债类别为[企业融资工具]时</t>
  </si>
  <si>
    <t>当资产/负债类别为[资产支持证券]时</t>
  </si>
  <si>
    <t>当资产/负债类别为[外国债券]时</t>
  </si>
  <si>
    <t>具体类别为其他债券时</t>
  </si>
  <si>
    <t>1301</t>
  </si>
  <si>
    <t>1112</t>
  </si>
  <si>
    <t>1113</t>
  </si>
  <si>
    <t>1114</t>
  </si>
  <si>
    <t>1115</t>
  </si>
  <si>
    <t>1116</t>
  </si>
  <si>
    <t>1117</t>
  </si>
  <si>
    <t>1301,1302,1305</t>
  </si>
  <si>
    <t>INDUSTRY_LEVEL2</t>
  </si>
  <si>
    <t>PART_TYPE2</t>
  </si>
  <si>
    <t>PART_TYPE3</t>
  </si>
  <si>
    <t>REGISTORG_COMMENT</t>
  </si>
  <si>
    <t>01,02,03,04,05,06,07,08,09,10,99</t>
  </si>
  <si>
    <t>11,12,99</t>
  </si>
  <si>
    <t>13,14,15,99</t>
  </si>
  <si>
    <t>16,17,18,19,20,21,99</t>
  </si>
  <si>
    <t>22,23,24,99</t>
  </si>
  <si>
    <t>25,26,27,28,99</t>
  </si>
  <si>
    <t>SVR_PARTY_TYPE1</t>
  </si>
  <si>
    <t>SVR_PARTY_TYPE2</t>
  </si>
  <si>
    <t>SVR_PARTY_TYPE3</t>
  </si>
  <si>
    <t>SVR_SEC_DETAIL_TYPE</t>
  </si>
  <si>
    <t>具体类别不可以为空</t>
  </si>
  <si>
    <t>登记托管机构说明必须为空</t>
  </si>
  <si>
    <t>人行机构规模要素不在值域范围内。</t>
  </si>
  <si>
    <t>登记托管机构说明必须填写白名单中的文字。</t>
  </si>
  <si>
    <t>具体类别不在值域范围内。</t>
  </si>
  <si>
    <t>SELECT</t>
  </si>
  <si>
    <t xml:space="preserve">    *</t>
  </si>
  <si>
    <t>FROM</t>
  </si>
  <si>
    <t>WHERE</t>
  </si>
  <si>
    <t xml:space="preserve">    (</t>
  </si>
  <si>
    <t xml:space="preserve">        SELECT</t>
  </si>
  <si>
    <t xml:space="preserve">        FROM</t>
  </si>
  <si>
    <t xml:space="preserve">    CHB_DATACHECK_CONDITION</t>
  </si>
  <si>
    <t xml:space="preserve">    CHB_DATACHECK_CONDITION.CHECKRULEID IN</t>
  </si>
  <si>
    <t xml:space="preserve">            CHB_DATACHECK_RULE.CHECKRULEID</t>
  </si>
  <si>
    <t xml:space="preserve">            CHB_DATACHECK_RULE</t>
  </si>
  <si>
    <t xml:space="preserve">        WHERE</t>
  </si>
  <si>
    <t xml:space="preserve">            CHB_DATACHECK_RULE.DATATYPE = 'CHB_ASSET_INFO_SUB'</t>
  </si>
  <si>
    <t xml:space="preserve">        AND CHB_DATACHECK_RULE.STATUS = 'E')</t>
  </si>
  <si>
    <t>AND status = 'E'</t>
  </si>
  <si>
    <t>AND CHB_DATACHECK_CONDITION.SRCPROPERTY = 'ASSET_TYPE2'</t>
  </si>
  <si>
    <t>AND (( (</t>
  </si>
  <si>
    <t xml:space="preserve">                instr(CHB_DATACHECK_CONDITION.OBJVALUE, '1101') &gt; 0</t>
  </si>
  <si>
    <t xml:space="preserve">            OR  instr(CHB_DATACHECK_CONDITION.OBJVALUE, '1102') &gt; 0</t>
  </si>
  <si>
    <t xml:space="preserve">            OR  instr(CHB_DATACHECK_CONDITION.OBJVALUE, '1109') &gt; 0</t>
  </si>
  <si>
    <t xml:space="preserve">            OR  instr(CHB_DATACHECK_CONDITION.OBJVALUE, '1110') &gt; 0</t>
  </si>
  <si>
    <t xml:space="preserve">            OR  instr(CHB_DATACHECK_CONDITION.OBJVALUE, '1111') &gt; 0</t>
  </si>
  <si>
    <t xml:space="preserve">            OR  instr(CHB_DATACHECK_CONDITION.OBJVALUE, '1112') &gt; 0</t>
  </si>
  <si>
    <t xml:space="preserve">            OR  instr(CHB_DATACHECK_CONDITION.OBJVALUE, '1113') &gt; 0</t>
  </si>
  <si>
    <t xml:space="preserve">            OR  instr(CHB_DATACHECK_CONDITION.OBJVALUE, '1114') &gt; 0</t>
  </si>
  <si>
    <t xml:space="preserve">            OR  instr(CHB_DATACHECK_CONDITION.OBJVALUE, '1115') &gt; 0</t>
  </si>
  <si>
    <t xml:space="preserve">            OR  instr(CHB_DATACHECK_CONDITION.OBJVALUE, '1116') &gt; 0</t>
  </si>
  <si>
    <t xml:space="preserve">            OR  instr(CHB_DATACHECK_CONDITION.OBJVALUE, '1117') &gt; 0</t>
  </si>
  <si>
    <t xml:space="preserve">            OR  instr(CHB_DATACHECK_CONDITION.OBJVALUE, '2101') &gt; 0</t>
  </si>
  <si>
    <t xml:space="preserve">            OR  instr(CHB_DATACHECK_CONDITION.OBJVALUE, '2501') &gt; 0</t>
  </si>
  <si>
    <t xml:space="preserve">            OR  instr(CHB_DATACHECK_CONDITION.OBJVALUE, '2502') &gt; 0</t>
  </si>
  <si>
    <t xml:space="preserve">            OR  instr(CHB_DATACHECK_CONDITION.OBJVALUE, '1301') &gt; 0</t>
  </si>
  <si>
    <t xml:space="preserve">            OR  instr(CHB_DATACHECK_CONDITION.OBJVALUE, '1305') &gt; 0)</t>
  </si>
  <si>
    <t xml:space="preserve">        AND CHB_DATACHECK_CONDITION.COMPARETO = '==')</t>
  </si>
  <si>
    <t xml:space="preserve">    OR  (</t>
  </si>
  <si>
    <t xml:space="preserve">            CHB_DATACHECK_CONDITION.COMPARETO = '!='))</t>
  </si>
  <si>
    <t>AND (</t>
  </si>
  <si>
    <t xml:space="preserve">        remark LIKE'%资产/负债类别%'</t>
  </si>
  <si>
    <t xml:space="preserve">        OR remark LIKE'%具体类别%'</t>
  </si>
  <si>
    <t xml:space="preserve">        OR remark LIKE'%发行机构类型（按规模划分）%'</t>
  </si>
  <si>
    <t xml:space="preserve">        OR remark LIKE'%人行机构规模%'</t>
  </si>
  <si>
    <t xml:space="preserve">        OR remark LIKE'%发行机构类型（按经济类型划分）%'</t>
  </si>
  <si>
    <t xml:space="preserve">        OR remark LIKE'%发行机构类型（按技术领域划分）%'</t>
  </si>
  <si>
    <t xml:space="preserve">        OR remark LIKE'%发行机构所属行业%'</t>
  </si>
  <si>
    <t xml:space="preserve">        OR remark LIKE'%交易流通场所%'</t>
  </si>
  <si>
    <t xml:space="preserve">        OR remark LIKE'%发行方式%'</t>
  </si>
  <si>
    <t xml:space="preserve">        OR remark LIKE'%登记托管机构说明%'</t>
  </si>
  <si>
    <t xml:space="preserve">        OR remark LIKE'%投向地方政府融资平台%'</t>
  </si>
  <si>
    <t xml:space="preserve">        OR remark LIKE'%是否投向“市场化债转股相关产品的部分”%'</t>
  </si>
  <si>
    <t xml:space="preserve">        OR remark LIKE'%是否由金融资产投资公司发行要素%'</t>
  </si>
  <si>
    <t xml:space="preserve">        OR remark LIKE'%公共PPP%'</t>
  </si>
  <si>
    <t xml:space="preserve">        OR remark LIKE'%备注%')</t>
  </si>
  <si>
    <t>UNION ALL</t>
  </si>
  <si>
    <t>AND CHB_DATACHECK_CONDITION.SRCPROPERTY NOT IN ('ASSET_TYPE',</t>
  </si>
  <si>
    <t xml:space="preserve">                                                'ASSET_TYPE2')</t>
  </si>
  <si>
    <t>CHB_DATACHECK_RULE</t>
  </si>
  <si>
    <t>CHB_DATACHECK_CONDITION</t>
  </si>
  <si>
    <t>FinBondTargetAsset002</t>
  </si>
  <si>
    <t>HTML-NAME</t>
    <phoneticPr fontId="2" type="noConversion"/>
  </si>
  <si>
    <t>bussFinBondRepInfoDto.repIndustry/bussFinBondRepInfoDto.repIndustryLevel2</t>
    <phoneticPr fontId="2" type="noConversion"/>
  </si>
  <si>
    <t>bussFinBondRepInfoDto.repIndustryLevel2</t>
  </si>
  <si>
    <t>1101,1110,1109,1102,1111,1112,1113,1114,1115,1116,1117,2101,2501,2502</t>
    <phoneticPr fontId="2" type="noConversion"/>
  </si>
  <si>
    <t xml:space="preserve"> delete from CHB_DATACHECK_RULE_INV where page_id = 'FinBondTargetAsset002';</t>
    <phoneticPr fontId="2" type="noConversion"/>
  </si>
  <si>
    <t>delete from CHB_DATACHECK_CONDITION_INV where checkruleid in (select checkruleid from CHB_DATACHECK_RULE_INV where page_id = 'FinBondTargetAsset002');</t>
    <phoneticPr fontId="2" type="noConversion"/>
  </si>
  <si>
    <t>repAssetType</t>
  </si>
  <si>
    <t xml:space="preserve">    CHB_DATACHECK_CONDITION.STATUS = 'E'</t>
  </si>
  <si>
    <t>AND CHB_DATACHECK_CONDITION.CHECKRULEID IN</t>
  </si>
  <si>
    <t>AND CHB_DATACHECK_CONDITION.SRCPROPERTY = 'ASSET_TYPE'</t>
  </si>
  <si>
    <t xml:space="preserve">                instr(CHB_DATACHECK_CONDITION.OBJVALUE, '03') &gt; 0</t>
  </si>
  <si>
    <t xml:space="preserve">            OR  instr(CHB_DATACHECK_CONDITION.OBJVALUE, '06') &gt; 0)</t>
  </si>
  <si>
    <t xml:space="preserve">SELECT			</t>
  </si>
  <si>
    <t xml:space="preserve">    *			</t>
  </si>
  <si>
    <t xml:space="preserve">FROM			</t>
  </si>
  <si>
    <t xml:space="preserve">    CHB_DATACHECK_RULE			</t>
  </si>
  <si>
    <t xml:space="preserve">WHERE			</t>
  </si>
  <si>
    <t xml:space="preserve">    EXISTS			</t>
  </si>
  <si>
    <t xml:space="preserve">    (			</t>
  </si>
  <si>
    <t xml:space="preserve">        SELECT			</t>
  </si>
  <si>
    <t xml:space="preserve">          1			</t>
  </si>
  <si>
    <t xml:space="preserve">        FROM			</t>
  </si>
  <si>
    <t xml:space="preserve">       (SELECT			</t>
  </si>
  <si>
    <t xml:space="preserve">          *			</t>
  </si>
  <si>
    <t xml:space="preserve">      FROM			</t>
  </si>
  <si>
    <t xml:space="preserve">          CHB_DATACHECK_CONDITION			</t>
  </si>
  <si>
    <t xml:space="preserve">      WHERE			</t>
  </si>
  <si>
    <t xml:space="preserve">          CHB_DATACHECK_CONDITION.CHECKRULEID IN			</t>
  </si>
  <si>
    <t xml:space="preserve">          (			</t>
  </si>
  <si>
    <t xml:space="preserve">            SELECT</t>
  </si>
  <si>
    <t xml:space="preserve">                        CHB_DATACHECK_RULE.CHECKRULEID</t>
  </si>
  <si>
    <t xml:space="preserve">            FROM</t>
  </si>
  <si>
    <t xml:space="preserve">                CHB_DATACHECK_RULE</t>
  </si>
  <si>
    <t xml:space="preserve">            WHERE</t>
  </si>
  <si>
    <t xml:space="preserve">                CHB_DATACHECK_RULE.DATATYPE = 'CHB_ASSET_INFO_SUB'</t>
  </si>
  <si>
    <t xml:space="preserve">            AND CHB_DATACHECK_RULE.STATUS = 'E'</t>
  </si>
  <si>
    <t xml:space="preserve">            AND status = 'E'</t>
  </si>
  <si>
    <t xml:space="preserve">            AND CHB_DATACHECK_CONDITION.SRCPROPERTY = 'ASSET_TYPE'</t>
  </si>
  <si>
    <t xml:space="preserve">            AND (( (</t>
  </si>
  <si>
    <t xml:space="preserve">                            instr(CHB_DATACHECK_CONDITION.OBJVALUE, '03') &gt; 0</t>
  </si>
  <si>
    <t xml:space="preserve">                        OR  instr(CHB_DATACHECK_CONDITION.OBJVALUE, '06') &gt; 0)</t>
  </si>
  <si>
    <t xml:space="preserve">                    AND CHB_DATACHECK_CONDITION.COMPARETO = '==')</t>
  </si>
  <si>
    <t xml:space="preserve">                OR  (CHB_DATACHECK_CONDITION.COMPARETO = '!='))</t>
  </si>
  <si>
    <t xml:space="preserve">            UNION ALL</t>
  </si>
  <si>
    <t xml:space="preserve">            </t>
  </si>
  <si>
    <t xml:space="preserve">            SELECT			</t>
  </si>
  <si>
    <t xml:space="preserve">                  CHB_DATACHECK_RULE.CHECKRULEID			</t>
  </si>
  <si>
    <t xml:space="preserve">              FROM			</t>
  </si>
  <si>
    <t xml:space="preserve">                  CHB_DATACHECK_RULE			</t>
  </si>
  <si>
    <t xml:space="preserve">              WHERE			</t>
  </si>
  <si>
    <t xml:space="preserve">                  CHB_DATACHECK_RULE.DATATYPE = 'CHB_ASSET_INFO_SUB'			</t>
  </si>
  <si>
    <t xml:space="preserve">              AND CHB_DATACHECK_RULE.STATUS = 'E')			</t>
  </si>
  <si>
    <t xml:space="preserve">      AND status = 'E'			</t>
  </si>
  <si>
    <t xml:space="preserve">      AND CHB_DATACHECK_CONDITION.SRCPROPERTY = 'ASSET_TYPE2'			</t>
  </si>
  <si>
    <t xml:space="preserve">      AND (( (			</t>
  </si>
  <si>
    <t xml:space="preserve">                      instr(CHB_DATACHECK_CONDITION.OBJVALUE, '1101') &gt; 0			</t>
  </si>
  <si>
    <t xml:space="preserve">                  OR  instr(CHB_DATACHECK_CONDITION.OBJVALUE, '1102') &gt; 0			</t>
  </si>
  <si>
    <t xml:space="preserve">                  OR  instr(CHB_DATACHECK_CONDITION.OBJVALUE, '1109') &gt; 0			</t>
  </si>
  <si>
    <t xml:space="preserve">                  OR  instr(CHB_DATACHECK_CONDITION.OBJVALUE, '1110') &gt; 0			</t>
  </si>
  <si>
    <t xml:space="preserve">                  OR  instr(CHB_DATACHECK_CONDITION.OBJVALUE, '1111') &gt; 0			</t>
  </si>
  <si>
    <t xml:space="preserve">                  OR  instr(CHB_DATACHECK_CONDITION.OBJVALUE, '1112') &gt; 0			</t>
  </si>
  <si>
    <t xml:space="preserve">                  OR  instr(CHB_DATACHECK_CONDITION.OBJVALUE, '1113') &gt; 0			</t>
  </si>
  <si>
    <t xml:space="preserve">                  OR  instr(CHB_DATACHECK_CONDITION.OBJVALUE, '1114') &gt; 0			</t>
  </si>
  <si>
    <t xml:space="preserve">                  OR  instr(CHB_DATACHECK_CONDITION.OBJVALUE, '1115') &gt; 0			</t>
  </si>
  <si>
    <t xml:space="preserve">                  OR  instr(CHB_DATACHECK_CONDITION.OBJVALUE, '1116') &gt; 0			</t>
  </si>
  <si>
    <t xml:space="preserve">                  OR  instr(CHB_DATACHECK_CONDITION.OBJVALUE, '1117') &gt; 0			</t>
  </si>
  <si>
    <t xml:space="preserve">                  OR  instr(CHB_DATACHECK_CONDITION.OBJVALUE, '2101') &gt; 0			</t>
  </si>
  <si>
    <t xml:space="preserve">                  OR  instr(CHB_DATACHECK_CONDITION.OBJVALUE, '2501') &gt; 0			</t>
  </si>
  <si>
    <t xml:space="preserve">                  OR  instr(CHB_DATACHECK_CONDITION.OBJVALUE, '2502') &gt; 0			</t>
  </si>
  <si>
    <t xml:space="preserve">                  OR  instr(CHB_DATACHECK_CONDITION.OBJVALUE, '1301') &gt; 0			</t>
  </si>
  <si>
    <t xml:space="preserve">                  OR  instr(CHB_DATACHECK_CONDITION.OBJVALUE, '1305') &gt; 0)			</t>
  </si>
  <si>
    <t xml:space="preserve">              AND CHB_DATACHECK_CONDITION.COMPARETO = '==')			</t>
  </si>
  <si>
    <t xml:space="preserve">          OR  (			</t>
  </si>
  <si>
    <t xml:space="preserve">                  CHB_DATACHECK_CONDITION.COMPARETO = '!='))			</t>
  </si>
  <si>
    <t xml:space="preserve">      AND (			</t>
  </si>
  <si>
    <t xml:space="preserve">              remark LIKE'%资产/负债类别%'			</t>
  </si>
  <si>
    <t xml:space="preserve">              OR remark LIKE'%具体类别%'			</t>
  </si>
  <si>
    <t xml:space="preserve">              OR remark LIKE'%发行机构类型（按规模划分）%'			</t>
  </si>
  <si>
    <t xml:space="preserve">              OR remark LIKE'%人行机构规模%'			</t>
  </si>
  <si>
    <t xml:space="preserve">              OR remark LIKE'%发行机构类型（按经济类型划分）%'			</t>
  </si>
  <si>
    <t xml:space="preserve">              OR remark LIKE'%发行机构类型（按技术领域划分）%'			</t>
  </si>
  <si>
    <t xml:space="preserve">              OR remark LIKE'%发行机构所属行业%'			</t>
  </si>
  <si>
    <t xml:space="preserve">              OR remark LIKE'%交易流通场所%'			</t>
  </si>
  <si>
    <t xml:space="preserve">              OR remark LIKE'%发行方式%'			</t>
  </si>
  <si>
    <t xml:space="preserve">              OR remark LIKE'%登记托管机构说明%'			</t>
  </si>
  <si>
    <t xml:space="preserve">              OR remark LIKE'%投向地方政府融资平台%'			</t>
  </si>
  <si>
    <t xml:space="preserve">              OR remark LIKE'%是否投向“市场化债转股相关产品的部分”%'			</t>
  </si>
  <si>
    <t xml:space="preserve">              OR remark LIKE'%是否由金融资产投资公司发行要素%'			</t>
  </si>
  <si>
    <t xml:space="preserve">              OR remark LIKE'%公共PPP%'			</t>
  </si>
  <si>
    <t xml:space="preserve">              OR remark LIKE'%备注%')			</t>
  </si>
  <si>
    <t xml:space="preserve">      UNION ALL			</t>
  </si>
  <si>
    <t xml:space="preserve">      SELECT			</t>
  </si>
  <si>
    <t xml:space="preserve">              SELECT			</t>
  </si>
  <si>
    <t xml:space="preserve">      AND CHB_DATACHECK_CONDITION.SRCPROPERTY NOT IN ('ASSET_TYPE',			</t>
  </si>
  <si>
    <t xml:space="preserve">                                                      'ASSET_TYPE2')			</t>
  </si>
  <si>
    <t xml:space="preserve">              OR remark LIKE'%备注%') </t>
  </si>
  <si>
    <t xml:space="preserve">    ) t			</t>
  </si>
  <si>
    <t xml:space="preserve">        WHERE			</t>
  </si>
  <si>
    <t xml:space="preserve">      　CHB_DATACHECK_RULE.CHECKRULEID = t.CHECKRULEID )			</t>
  </si>
  <si>
    <t xml:space="preserve">        AND CHB_DATACHECK_RULE.DATATYPE = 'CHB_ASSET_INFO_SUB'			</t>
  </si>
  <si>
    <t xml:space="preserve">        AND CHB_DATACHECK_RULE.STATUS = 'E'			</t>
  </si>
  <si>
    <t xml:space="preserve">        AND (			</t>
  </si>
  <si>
    <t xml:space="preserve">        remark LIKE'%资产/负债类别%'			</t>
  </si>
  <si>
    <t xml:space="preserve">        OR remark LIKE'%具体类别%'			</t>
  </si>
  <si>
    <t xml:space="preserve">        OR remark LIKE'%发行机构类型（按规模划分）%'			</t>
  </si>
  <si>
    <t xml:space="preserve">        OR remark LIKE'%人行机构规模%'			</t>
  </si>
  <si>
    <t xml:space="preserve">        OR remark LIKE'%发行机构类型（按经济类型划分）%'			</t>
  </si>
  <si>
    <t xml:space="preserve">        OR remark LIKE'%发行机构类型（按技术领域划分）%'			</t>
  </si>
  <si>
    <t xml:space="preserve">        OR remark LIKE'%发行机构所属行业%'			</t>
  </si>
  <si>
    <t xml:space="preserve">        OR remark LIKE'%交易流通场所%'			</t>
  </si>
  <si>
    <t xml:space="preserve">        OR remark LIKE'%发行方式%'			</t>
  </si>
  <si>
    <t xml:space="preserve">        OR remark LIKE'%登记托管机构说明%'			</t>
  </si>
  <si>
    <t xml:space="preserve">        OR remark LIKE'%投向地方政府融资平台%'			</t>
  </si>
  <si>
    <t xml:space="preserve">        OR remark LIKE'%是否投向“市场化债转股相关产品的部分”%'			</t>
  </si>
  <si>
    <t xml:space="preserve">        OR remark LIKE'%是否由金融资产投资公司发行要素%'			</t>
  </si>
  <si>
    <t xml:space="preserve">        OR remark LIKE'%公共PPP%'			</t>
  </si>
  <si>
    <t xml:space="preserve">        OR remark LIKE'%备注%')			</t>
  </si>
  <si>
    <t xml:space="preserve">UNION ALL			</t>
  </si>
  <si>
    <t xml:space="preserve">    CHB_DATACHECK_RULE.DATATYPE = 'CHB_ASSET_INFO_SUB'			</t>
  </si>
  <si>
    <t xml:space="preserve">AND CHB_DATACHECK_RULE.STATUS = 'E'			</t>
  </si>
  <si>
    <t xml:space="preserve">AND NOT EXISTS			</t>
  </si>
  <si>
    <t xml:space="preserve">　　　　　　　1			</t>
  </si>
  <si>
    <t xml:space="preserve">            CHB_DATACHECK_CONDITION			</t>
  </si>
  <si>
    <t xml:space="preserve">            CHB_DATACHECK_RULE.CHECKRULEID = CHB_DATACHECK_CONDITION.CHECKRULEID)			</t>
  </si>
  <si>
    <t xml:space="preserve">　　　　　AND (			</t>
  </si>
  <si>
    <t>ASSET_NAME</t>
  </si>
  <si>
    <t>债券：</t>
    <phoneticPr fontId="2" type="noConversion"/>
  </si>
  <si>
    <t>权益类：</t>
    <phoneticPr fontId="2" type="noConversion"/>
  </si>
  <si>
    <r>
      <rPr>
        <b/>
        <sz val="9"/>
        <color rgb="FF222222"/>
        <rFont val="宋体"/>
        <family val="2"/>
      </rPr>
      <t>权益类：</t>
    </r>
    <phoneticPr fontId="2" type="noConversion"/>
  </si>
  <si>
    <t>投资阶段</t>
  </si>
  <si>
    <t>bussRepEquityInfoDto.repInvestStage</t>
  </si>
  <si>
    <t>行业</t>
  </si>
  <si>
    <t>bussRepEquityInfoDto.repIndustry</t>
    <phoneticPr fontId="2" type="noConversion"/>
  </si>
  <si>
    <t>bussRepEquityInfoDto.repIndustryLevel2</t>
  </si>
  <si>
    <t>行业二级分类</t>
  </si>
  <si>
    <t>行业二级分类</t>
    <phoneticPr fontId="2" type="noConversion"/>
  </si>
  <si>
    <t>股票类型</t>
  </si>
  <si>
    <t>bussRepEquityInfoDto_repSharesType</t>
  </si>
  <si>
    <t>bussRepEquityInfoDto_repPartyType1</t>
  </si>
  <si>
    <t>bussRepEquityInfoDto.repInstitSize</t>
  </si>
  <si>
    <t>bussRepEquityInfoDto_repPartyType2</t>
  </si>
  <si>
    <t>bussRepEquityInfoDto.repPartyType3</t>
  </si>
  <si>
    <t>是否为质押融资</t>
  </si>
  <si>
    <t>bussRepEquityInfoDto.repIsPledge</t>
  </si>
  <si>
    <t>bussRepEquityInfoDto_repTradeMarket</t>
  </si>
  <si>
    <t>bussRepEquityInfoDto_repPrivateprdFlag</t>
  </si>
  <si>
    <t>bussRepEquityInfoDto_repPrivatefundFlag</t>
  </si>
  <si>
    <t>bussRepEquityInfoDto_repBondtostockFlag</t>
  </si>
  <si>
    <t>bussRepEquityInfoDto_repPppflag</t>
  </si>
  <si>
    <t>bussRepEquityInfoDto_repEquityQuit</t>
  </si>
  <si>
    <t>bussRepEquityInfoDto_repDeptEquity</t>
  </si>
  <si>
    <t>bussRepEquityInfoDto.repRemark</t>
  </si>
  <si>
    <t>行业</t>
    <phoneticPr fontId="2" type="noConversion"/>
  </si>
  <si>
    <t>企业类型（按规模划分）</t>
    <phoneticPr fontId="2" type="noConversion"/>
  </si>
  <si>
    <t>是否为质押融资</t>
    <phoneticPr fontId="2" type="noConversion"/>
  </si>
  <si>
    <t>投向市场化债转股相关产品的部分</t>
    <phoneticPr fontId="2" type="noConversion"/>
  </si>
  <si>
    <t>市场化债转股相关产品的部分</t>
    <phoneticPr fontId="2" type="noConversion"/>
  </si>
  <si>
    <t>股权退出安排</t>
    <phoneticPr fontId="2" type="noConversion"/>
  </si>
  <si>
    <r>
      <rPr>
        <sz val="9"/>
        <color rgb="FF222222"/>
        <rFont val="宋体"/>
        <family val="2"/>
      </rPr>
      <t>股权退出安排</t>
    </r>
    <phoneticPr fontId="2" type="noConversion"/>
  </si>
  <si>
    <t>是否为债转股</t>
    <phoneticPr fontId="2" type="noConversion"/>
  </si>
  <si>
    <r>
      <rPr>
        <sz val="9"/>
        <color rgb="FF222222"/>
        <rFont val="宋体"/>
        <family val="2"/>
      </rPr>
      <t>是否为债转股</t>
    </r>
    <phoneticPr fontId="2" type="noConversion"/>
  </si>
  <si>
    <t>isValidDate</t>
  </si>
  <si>
    <t>INVEST_STAGE</t>
  </si>
  <si>
    <t>SHARES_TYPE</t>
  </si>
  <si>
    <t>EQUITY_QUIT</t>
  </si>
  <si>
    <t>DEPT_EQUITY</t>
  </si>
  <si>
    <t>SVR_SHARES_TYPE</t>
  </si>
  <si>
    <t>yyyy-MM-dd</t>
  </si>
  <si>
    <t>投资阶段要素必须在值域范围内。</t>
  </si>
  <si>
    <t>股权退出安排必须为日期格式（YYYY-MM-DD）。</t>
  </si>
  <si>
    <t>是否为债转股要素不在值域范围内。</t>
  </si>
  <si>
    <t xml:space="preserve">       (	</t>
  </si>
  <si>
    <t xml:space="preserve">              remark LIKE'%投资阶段%'		</t>
  </si>
  <si>
    <t xml:space="preserve">             -- OR remark LIKE'%行业%'		</t>
  </si>
  <si>
    <t xml:space="preserve">              OR remark LIKE'%行业二级分类%'		</t>
  </si>
  <si>
    <t xml:space="preserve">              OR remark LIKE'%股票类型%'		</t>
  </si>
  <si>
    <t xml:space="preserve">              OR remark LIKE'%企业类型（按规模划分）%'		</t>
  </si>
  <si>
    <t xml:space="preserve">              OR remark LIKE'%人行机构规模%'		</t>
  </si>
  <si>
    <t xml:space="preserve">              OR remark LIKE'%企业类型（按经济类型划分）%'		</t>
  </si>
  <si>
    <t xml:space="preserve">              OR remark LIKE'%企业类型（按技术领域划分）%'		</t>
  </si>
  <si>
    <t xml:space="preserve">              OR remark LIKE'%是否为质押融资%'		</t>
  </si>
  <si>
    <t xml:space="preserve">              OR remark LIKE'%交易流通场所%'		</t>
  </si>
  <si>
    <t xml:space="preserve">              OR remark LIKE'%投向地方政府融资平台%'		</t>
  </si>
  <si>
    <t xml:space="preserve">              OR remark LIKE'%是否投向“市场化债转股相关产品的部分”%'		</t>
  </si>
  <si>
    <t xml:space="preserve">              OR remark LIKE'%公共PPP%'		</t>
  </si>
  <si>
    <t xml:space="preserve">              OR remark LIKE'%市场化债转股相关产品的部分%'		</t>
  </si>
  <si>
    <t xml:space="preserve">              OR remark LIKE'%股权退出安排%'		</t>
  </si>
  <si>
    <t xml:space="preserve">              OR remark LIKE'%是否为债转股%'		</t>
  </si>
  <si>
    <t xml:space="preserve">        remark LIKE'%投资阶段%'		</t>
  </si>
  <si>
    <t xml:space="preserve">     --   OR remark LIKE'%行业%'		</t>
  </si>
  <si>
    <t xml:space="preserve">        OR remark LIKE'%行业二级分类%'		</t>
  </si>
  <si>
    <t xml:space="preserve">        OR remark LIKE'%股票类型%'		</t>
  </si>
  <si>
    <t xml:space="preserve">        OR remark LIKE'%企业类型（按规模划分）%'		</t>
  </si>
  <si>
    <t xml:space="preserve">        OR remark LIKE'%人行机构规模%'		</t>
  </si>
  <si>
    <t xml:space="preserve">        OR remark LIKE'%企业类型（按经济类型划分）%'		</t>
  </si>
  <si>
    <t xml:space="preserve">        OR remark LIKE'%企业类型（按技术领域划分）%'		</t>
  </si>
  <si>
    <t xml:space="preserve">        OR remark LIKE'%是否为质押融资%'		</t>
  </si>
  <si>
    <t xml:space="preserve">        OR remark LIKE'%交易流通场所%'		</t>
  </si>
  <si>
    <t xml:space="preserve">        OR remark LIKE'%投向地方政府融资平台%'		</t>
  </si>
  <si>
    <t xml:space="preserve">        OR remark LIKE'%是否投向“市场化债转股相关产品的部分”%'		</t>
  </si>
  <si>
    <t xml:space="preserve">        OR remark LIKE'%公共PPP%'		</t>
  </si>
  <si>
    <t xml:space="preserve">        OR remark LIKE'%市场化债转股相关产品的部分%'		</t>
  </si>
  <si>
    <t xml:space="preserve">        OR remark LIKE'%股权退出安排%'		</t>
  </si>
  <si>
    <t xml:space="preserve">        OR remark LIKE'%是否为债转股%'		</t>
  </si>
  <si>
    <t xml:space="preserve">　　　　　AND (		</t>
  </si>
  <si>
    <t>SHARES_TYPE1</t>
  </si>
  <si>
    <t>SHARES_TYPE3</t>
  </si>
  <si>
    <t>SHARES_TYPE2</t>
  </si>
  <si>
    <t>MDATE</t>
  </si>
  <si>
    <t>ASSET_ID</t>
  </si>
  <si>
    <t>股权退出安排要素不可为空。</t>
  </si>
  <si>
    <t>是否为债转股要素不能为空。</t>
  </si>
  <si>
    <t>IS_PLEDGE</t>
  </si>
  <si>
    <t>股票类型要素不可为空</t>
  </si>
  <si>
    <t>投资阶段要素不可为空。</t>
  </si>
  <si>
    <t>企业类型（按规模划分）要素不可为空。</t>
  </si>
  <si>
    <t>企业类型（按规模划分）不在值域范围内。</t>
  </si>
  <si>
    <t>企业类型（按技术领域划分）要素不可为空。</t>
  </si>
  <si>
    <t>企业类型（按技术领域划分）不在值域范围内。</t>
  </si>
  <si>
    <t>企业类型（按经济类型划分）要素不可为空。</t>
  </si>
  <si>
    <t>企业类型（按经济类型划分）不在值域范围内。</t>
  </si>
  <si>
    <t>是否为质押融资要素不可为空</t>
  </si>
  <si>
    <t>bussRepEquityInfoDto.repPartyType2</t>
  </si>
  <si>
    <t>bussRepEquityInfoDto.repPartyType1</t>
  </si>
  <si>
    <t>finprodMarketId</t>
  </si>
  <si>
    <t>mdate</t>
    <phoneticPr fontId="2" type="noConversion"/>
  </si>
  <si>
    <t>bussFinBondRepInfoDto.repRegistorgComment</t>
    <phoneticPr fontId="2" type="noConversion"/>
  </si>
  <si>
    <t>f01749df-41da-47e0-bf63-0d016add9835</t>
  </si>
  <si>
    <t>3dac6c81-bdb7-47b7-8851-0f218e7ea198</t>
  </si>
  <si>
    <t>44d916d0-1856-4b1f-aa63-71ee3f4c1d0d</t>
  </si>
  <si>
    <t>322a26c6-cfca-45cd-b09a-67d294cd1636</t>
  </si>
  <si>
    <t>d5a1c39e-c129-4e79-ad58-3939909dbbde</t>
  </si>
  <si>
    <t>5f927f5d-2e95-4a45-a787-4f3f8c1c72c3</t>
  </si>
  <si>
    <t>bdb3bcdf-701e-43fd-9a2b-0153ffb91acd</t>
  </si>
  <si>
    <t>011d1891-47d8-49f8-81c0-271d8e301235</t>
  </si>
  <si>
    <t>7f226577-31a1-4fb5-98b2-7c295f940ed0</t>
  </si>
  <si>
    <t>f6078e94-ee2a-4767-99b0-27cf87c0e984</t>
  </si>
  <si>
    <t>329af277-54df-4f48-9d2c-1d6851bce6f0</t>
  </si>
  <si>
    <t>2c3858d4-0302-4385-8f7b-f58bab7f5c65</t>
  </si>
  <si>
    <t>69dc6672-0099-4bfb-aebd-22bac1ad04de</t>
  </si>
  <si>
    <t>d90006b2-56af-4c37-8f01-015ddf7b6732</t>
  </si>
  <si>
    <t>7d32f2f5-68fc-4f94-b61d-c2ca1099d095</t>
  </si>
  <si>
    <t>c562386e-9e93-44b7-b61e-6baadb7391d8</t>
  </si>
  <si>
    <t>c5181dd3-c21f-4b44-a5c4-e319f3a8f5db</t>
  </si>
  <si>
    <t>dc64f83e-121b-4640-b238-955a1ccd4b57</t>
  </si>
  <si>
    <t>1811ace6-0ad2-4e2f-b887-caa4a2be7a99</t>
  </si>
  <si>
    <t>8db38916-de8c-40d6-9172-cdd63776f6fa</t>
  </si>
  <si>
    <t>5f5e1a3d-a6e6-4e67-bce1-77c7ca4985b8</t>
  </si>
  <si>
    <t>b0e8389a-0258-47a8-a663-43bc0a3d15fe</t>
  </si>
  <si>
    <t>1b6e44d6-ef2f-4241-aa15-7baef1b2405a</t>
  </si>
  <si>
    <t>2def2d7a-7f8c-4636-a7c7-d59b2f912140</t>
  </si>
  <si>
    <t>56662242-48aa-448c-8b50-2b010df75bab</t>
  </si>
  <si>
    <t>1b1ab1e6-9467-46bb-aed2-af32049ad361</t>
  </si>
  <si>
    <t>e00c28f2-ccb7-468b-9273-f765e1bb9caf</t>
  </si>
  <si>
    <t>4f136937-b477-4bbb-b1b8-aa5cbc43554c</t>
  </si>
  <si>
    <t>bf7bdf70-267f-4cf9-a439-9a98e2ff156c</t>
  </si>
  <si>
    <t>d7148dfa-c126-4488-b989-67cb212787f7</t>
  </si>
  <si>
    <t>71a49c69-3ea9-4403-aa68-15ab53fd6939</t>
  </si>
  <si>
    <t>be3a4882-564c-4162-9c5f-c224e010727d</t>
  </si>
  <si>
    <t>c0a5bee5-c104-4db7-af74-9afd62bbf700</t>
  </si>
  <si>
    <t>dc5078ac-38b9-416b-97c5-b264a28fb4be</t>
  </si>
  <si>
    <t>a77463c3-1898-4c74-a76c-9bd0b336e50a</t>
  </si>
  <si>
    <t>5eb9bc21-96b8-4076-aff5-b1de9e4383e0</t>
  </si>
  <si>
    <t>fe2715a9-448a-4b38-b251-fe764ec0df58</t>
  </si>
  <si>
    <t>e9a3d190-1d01-45ad-96b7-edfc6eb2aac2</t>
  </si>
  <si>
    <t>979184d8-0972-49df-a57f-bda5e1f6fafc</t>
  </si>
  <si>
    <t>c33b3f9e-2b30-4dbb-8c3d-c4520c3dd4b0</t>
  </si>
  <si>
    <t>d11da57a-1163-4d8e-b5fb-f6f3581189b2</t>
  </si>
  <si>
    <t>c35975de-3bf7-4b78-9bcd-45e7f9bc227e</t>
  </si>
  <si>
    <t>cb13d37b-01ac-4078-a7ae-7aea112e6d90</t>
  </si>
  <si>
    <t>f08cbfc9-7364-44e1-b9ac-ccc4dc70a2ad</t>
  </si>
  <si>
    <t>d02bc873-ae7e-4dc7-82f1-7d17027a927d</t>
  </si>
  <si>
    <t>59ab0bd6-76fc-4376-a277-fc77e58ebb39</t>
  </si>
  <si>
    <t>6baef1d8-56e8-49cb-a78a-c73f35b973a1</t>
  </si>
  <si>
    <t>b46ff785-d69c-4074-8d84-b8f1ccd9a577</t>
  </si>
  <si>
    <t>9f72f8e8-de6e-4eb4-a70d-0e3ebd7e86f4</t>
  </si>
  <si>
    <t>3b71a727-421a-4a3a-bf8e-05f8a7782f55</t>
  </si>
  <si>
    <t>fbbfccd6-a957-40ba-8730-9de974827081</t>
  </si>
  <si>
    <t>e79b89c0-7ac9-4bd4-9647-ef51f61b42c8</t>
  </si>
  <si>
    <t>ddfc3728-f92d-4d6d-b8cc-38977ff72984</t>
  </si>
  <si>
    <t>187ad201-7353-4dae-96f8-b1131bf1b4b9</t>
  </si>
  <si>
    <t>1f685a5c-1e8a-40b0-ac02-6b8d235f2dae</t>
  </si>
  <si>
    <t>a6fd2620-bb40-4047-bd72-8ae6c7adb685</t>
  </si>
  <si>
    <t>ad13dd58-bbd2-43c2-a328-6c4b6b88693a</t>
  </si>
  <si>
    <t>055d57b8-d300-4811-9a32-00f3a3200547</t>
  </si>
  <si>
    <t>e2b0bccf-868d-4d46-aa43-483a2236a1f2</t>
  </si>
  <si>
    <t>952d8ad8-c181-4e7e-b0a2-229183c7af07</t>
  </si>
  <si>
    <t>ad57bed1-ad1c-4755-9b27-e73f1e0ebd77</t>
  </si>
  <si>
    <t>60da512f-aeed-43f9-8517-738eccdea871</t>
  </si>
  <si>
    <t>636c51b3-bde8-4980-8808-ca7ae6d20593</t>
  </si>
  <si>
    <t>7cfc7186-8d22-4859-99be-e83b5c4772a0</t>
    <phoneticPr fontId="2" type="noConversion"/>
  </si>
  <si>
    <t>b899fc9e-10c0-4134-b0ab-d15c55ec61b8</t>
    <phoneticPr fontId="2" type="noConversion"/>
  </si>
  <si>
    <t>38390ebb-906b-4d55-a40d-5399950b4bf7</t>
    <phoneticPr fontId="2" type="noConversion"/>
  </si>
  <si>
    <t>3b71a727-421a-4a3a-bf8e-05f8a7782f55</t>
    <phoneticPr fontId="2" type="noConversion"/>
  </si>
  <si>
    <t>ddfc3728-f92d-4d6d-b8cc-38977ff72984</t>
    <phoneticPr fontId="2" type="noConversion"/>
  </si>
  <si>
    <t>187ad201-7353-4dae-96f8-b1131bf1b4b9</t>
    <phoneticPr fontId="2" type="noConversion"/>
  </si>
  <si>
    <t>1f685a5c-1e8a-40b0-ac02-6b8d235f2dae</t>
    <phoneticPr fontId="2" type="noConversion"/>
  </si>
  <si>
    <t>055d57b8-d300-4811-9a32-00f3a3200547</t>
    <phoneticPr fontId="2" type="noConversion"/>
  </si>
  <si>
    <t>e2b0bccf-868d-4d46-aa43-483a2236a1f2</t>
    <phoneticPr fontId="2" type="noConversion"/>
  </si>
  <si>
    <t>952d8ad8-c181-4e7e-b0a2-229183c7af07</t>
    <phoneticPr fontId="2" type="noConversion"/>
  </si>
  <si>
    <t>ad57bed1-ad1c-4755-9b27-e73f1e0ebd77</t>
    <phoneticPr fontId="2" type="noConversion"/>
  </si>
  <si>
    <t>e71562fd-6297-43cf-bbef-5c93bd264d66</t>
    <phoneticPr fontId="2" type="noConversion"/>
  </si>
  <si>
    <t>7bf9b641-1c62-4dc8-b4da-08c6735072dc</t>
    <phoneticPr fontId="2" type="noConversion"/>
  </si>
  <si>
    <t>6542fcf4-8ef3-445d-be1e-befe58f98787</t>
    <phoneticPr fontId="2" type="noConversion"/>
  </si>
  <si>
    <t>487bc868-722c-4829-8f1f-763e69f7b028</t>
    <phoneticPr fontId="2" type="noConversion"/>
  </si>
  <si>
    <t>29b188c5-3c7c-4ed6-8d51-972236e57005</t>
    <phoneticPr fontId="2" type="noConversion"/>
  </si>
  <si>
    <t>bussRepEquityInfoDto.repEquityQuit</t>
  </si>
  <si>
    <t>bussRepEquityInfoDto.repSharesType</t>
  </si>
  <si>
    <t>bussRepEquityInfoDto.repTradeMarket</t>
  </si>
  <si>
    <t>bussFinBondRepInfoDto.repSectype</t>
    <phoneticPr fontId="2" type="noConversion"/>
  </si>
  <si>
    <t>bussFinBondRepInfoDto.repPartyType1</t>
  </si>
  <si>
    <t>INSTIT_SIZE</t>
    <phoneticPr fontId="2" type="noConversion"/>
  </si>
  <si>
    <t>SVR_INVEST_STAGE</t>
    <phoneticPr fontId="2" type="noConversion"/>
  </si>
  <si>
    <t>1301</t>
    <phoneticPr fontId="2" type="noConversion"/>
  </si>
  <si>
    <t>N,01</t>
    <phoneticPr fontId="2" type="noConversion"/>
  </si>
  <si>
    <t>当交易流通场所为“99 其他交易流通场所”时</t>
    <phoneticPr fontId="2" type="noConversion"/>
  </si>
  <si>
    <t>E</t>
    <phoneticPr fontId="2" type="noConversion"/>
  </si>
  <si>
    <t>1301</t>
    <phoneticPr fontId="2" type="noConversion"/>
  </si>
  <si>
    <t>b4d4acb1-4DA2-14B5-e053-045AA8C0F0EF</t>
  </si>
  <si>
    <t>b4d4acb1-4DA3-14B5-e053-045AA8C0F0EF</t>
  </si>
  <si>
    <t>8fvbdf70-267f-4cf9-a439-9a98e2ff179c</t>
    <phoneticPr fontId="2" type="noConversion"/>
  </si>
  <si>
    <t>796015b0-ea24-4aa6-b589-2b8d7c83ef7k</t>
    <phoneticPr fontId="2" type="noConversion"/>
  </si>
  <si>
    <t>人行机构规模要素不可为空。</t>
    <phoneticPr fontId="2" type="noConversion"/>
  </si>
  <si>
    <t>90vbdf70-267f-4cf9-a439-6d98e2fu8vc</t>
    <phoneticPr fontId="2" type="noConversion"/>
  </si>
  <si>
    <t>SHARES_TYPE1</t>
    <phoneticPr fontId="2" type="noConversion"/>
  </si>
  <si>
    <t>SHARES_TYPE1</t>
    <phoneticPr fontId="2" type="noConversion"/>
  </si>
  <si>
    <t>01</t>
    <phoneticPr fontId="2" type="noConversion"/>
  </si>
  <si>
    <t>dc181dd3-c21f-4b44-a5c4-e319f3a89ui7</t>
    <phoneticPr fontId="2" type="noConversion"/>
  </si>
  <si>
    <t>人行机构规模要素不可为空。</t>
    <phoneticPr fontId="2" type="noConversion"/>
  </si>
  <si>
    <t>isNotEmpty</t>
    <phoneticPr fontId="2" type="noConversion"/>
  </si>
  <si>
    <t>N</t>
    <phoneticPr fontId="2" type="noConversion"/>
  </si>
  <si>
    <t>当发行机构类型（按规模划分）为“01 中小微企业”时</t>
    <phoneticPr fontId="2" type="noConversion"/>
  </si>
  <si>
    <t>当企业类型（按规模划分）为“01 中小微企业”时</t>
    <phoneticPr fontId="2" type="noConversion"/>
  </si>
  <si>
    <t>企业类型（按经济类型划分）为“99 其他”</t>
  </si>
  <si>
    <t>投资阶段为“99 其他”</t>
  </si>
  <si>
    <t>企业类型（按技术领域划分）为“99 其他”</t>
  </si>
  <si>
    <t>企业类型（按规模划分）为“99 其他”</t>
  </si>
  <si>
    <t>股票类型为“99 其他”</t>
  </si>
  <si>
    <t>发行机构类型（按经济类型划分）为“99 其他”</t>
  </si>
  <si>
    <t>发行机构类型（按技术领域划分）为“99 其他”</t>
  </si>
  <si>
    <t>发行机构类型（按规模划分）为“99 其他”</t>
  </si>
  <si>
    <t>E</t>
    <phoneticPr fontId="2" type="noConversion"/>
  </si>
  <si>
    <t>E</t>
    <phoneticPr fontId="2" type="noConversion"/>
  </si>
  <si>
    <t>FinBondTargetAsset002</t>
    <phoneticPr fontId="2" type="noConversion"/>
  </si>
  <si>
    <t>d43acc1a-f7ee-47c8-bc95-955808b6747a</t>
    <phoneticPr fontId="2" type="noConversion"/>
  </si>
  <si>
    <t>D</t>
    <phoneticPr fontId="2" type="noConversion"/>
  </si>
  <si>
    <t>发行机构类型（按经济类型划分）必须为空</t>
    <phoneticPr fontId="2" type="noConversion"/>
  </si>
  <si>
    <t>发行机构类型（按技术领域划分）必须为空</t>
    <phoneticPr fontId="2" type="noConversion"/>
  </si>
  <si>
    <t>14745667-1528-43c0-9347-698dc70d6d3a</t>
    <phoneticPr fontId="2" type="noConversion"/>
  </si>
  <si>
    <t>979184d8-0972-49df-a57f-bda5e1f6fafc</t>
    <phoneticPr fontId="2" type="noConversion"/>
  </si>
  <si>
    <t>a801d56a-aab3-45a6-8da2-cb4c55452fae</t>
    <phoneticPr fontId="2" type="noConversion"/>
  </si>
  <si>
    <t>145f8481-b011-4a85-a778-80594045d3ee</t>
    <phoneticPr fontId="2" type="noConversion"/>
  </si>
  <si>
    <t>c35975de-3bf7-4b78-9bcd-45e7f9bc227e</t>
    <phoneticPr fontId="2" type="noConversion"/>
  </si>
  <si>
    <t>D</t>
    <phoneticPr fontId="2" type="noConversion"/>
  </si>
  <si>
    <t>FinBondTargetAsset002</t>
    <phoneticPr fontId="2" type="noConversion"/>
  </si>
  <si>
    <t>ccea9114-8adc-4341-95ec-a31b93091fda</t>
    <phoneticPr fontId="2" type="noConversion"/>
  </si>
  <si>
    <t>INSTIT_SIZE</t>
    <phoneticPr fontId="2" type="noConversion"/>
  </si>
  <si>
    <t>506015b0-ea24-4aa6-b589-2b8d7c83ba5d</t>
    <phoneticPr fontId="2" type="noConversion"/>
  </si>
  <si>
    <t>D</t>
    <phoneticPr fontId="2" type="noConversion"/>
  </si>
  <si>
    <t>6baef1d8-56e8-49cb-a78a-c73f35b973a1</t>
    <phoneticPr fontId="2" type="noConversion"/>
  </si>
  <si>
    <t>f659932e-980f-49a2-8c48-6b5ffbdd9c0d</t>
    <phoneticPr fontId="2" type="noConversion"/>
  </si>
  <si>
    <t>bussRepEquityInfoDto.repIsPledge</t>
    <phoneticPr fontId="2" type="noConversion"/>
  </si>
  <si>
    <t>b46ff785-d69c-4074-8d84-b8f1ccd9a577</t>
    <phoneticPr fontId="2" type="noConversion"/>
  </si>
  <si>
    <t>D</t>
    <phoneticPr fontId="2" type="noConversion"/>
  </si>
  <si>
    <t>fbbfccd6-a957-40ba-8730-9de974827081</t>
    <phoneticPr fontId="2" type="noConversion"/>
  </si>
  <si>
    <t>a6fd2620-bb40-4047-bd72-8ae6c7adb685</t>
    <phoneticPr fontId="2" type="noConversion"/>
  </si>
  <si>
    <t>ad13dd58-bbd2-43c2-a328-6c4b6b88693a</t>
    <phoneticPr fontId="2" type="noConversion"/>
  </si>
  <si>
    <t>cc98f035-9422-4e81-aa4a-acc1919b7fa7</t>
    <phoneticPr fontId="2" type="noConversion"/>
  </si>
  <si>
    <t>bussRepEquityInfoDto.repDeptEquity</t>
    <phoneticPr fontId="2" type="noConversion"/>
  </si>
  <si>
    <t>6542fcf4-8ef3-445d-be1e-befe58f98787</t>
    <phoneticPr fontId="2" type="noConversion"/>
  </si>
  <si>
    <t>D</t>
    <phoneticPr fontId="2" type="noConversion"/>
  </si>
  <si>
    <t>aed937ac-9344-496d-98ba-d6a6f4687cbc</t>
    <phoneticPr fontId="2" type="noConversion"/>
  </si>
  <si>
    <t>487bc868-722c-4829-8f1f-763e69f7b028</t>
    <phoneticPr fontId="2" type="noConversion"/>
  </si>
  <si>
    <t>5545a772-5ad0-4b0a-9c82-c19837501fa4</t>
    <phoneticPr fontId="2" type="noConversion"/>
  </si>
  <si>
    <t>443a81a3-fe1a-4091-96c4-838955108a7f</t>
    <phoneticPr fontId="2" type="noConversion"/>
  </si>
  <si>
    <t>D</t>
    <phoneticPr fontId="2" type="noConversion"/>
  </si>
  <si>
    <t>f032c148-e29d-412e-a829-1ffaf6d70e71</t>
    <phoneticPr fontId="2" type="noConversion"/>
  </si>
  <si>
    <t>e79b89c0-7ac9-4bd4-9647-ef51f61b42c8</t>
    <phoneticPr fontId="2" type="noConversion"/>
  </si>
  <si>
    <t>90da2a6d-b448-4486-92bd-c1fdf920684e</t>
    <phoneticPr fontId="2" type="noConversion"/>
  </si>
  <si>
    <t>55e3fe90-cdc7-49f0-aad1-234faaadf3ee</t>
    <phoneticPr fontId="2" type="noConversion"/>
  </si>
  <si>
    <t>a48d9365-faa2-4606-a28d-5c89ed874ee5</t>
    <phoneticPr fontId="2" type="noConversion"/>
  </si>
  <si>
    <t>636c51b3-bde8-4980-8808-ca7ae6d20593</t>
    <phoneticPr fontId="2" type="noConversion"/>
  </si>
  <si>
    <t>D</t>
    <phoneticPr fontId="2" type="noConversion"/>
  </si>
  <si>
    <t>3fc4b95e-4469-4d07-b872-81386638951d</t>
    <phoneticPr fontId="2" type="noConversion"/>
  </si>
  <si>
    <t>9f908454-68ed-480c-bbca-0f9dcbdb4bn8</t>
    <phoneticPr fontId="2" type="noConversion"/>
  </si>
  <si>
    <t>3fc5b962-0721-4235-aad0-822c460ba13b</t>
    <phoneticPr fontId="2" type="noConversion"/>
  </si>
  <si>
    <t>D</t>
    <phoneticPr fontId="2" type="noConversion"/>
  </si>
  <si>
    <t>isCustomizedString</t>
    <phoneticPr fontId="2" type="noConversion"/>
  </si>
  <si>
    <t>^[0-9a-zA-Z]{1,}.[A-Z]{2,3}$</t>
    <phoneticPr fontId="2" type="noConversion"/>
  </si>
  <si>
    <t>资产代码要素格式不对。正确的格式为：XXXXX.XXX(2位或3位)</t>
    <phoneticPr fontId="2" type="noConversion"/>
  </si>
  <si>
    <t>55e3fe90-cdc7-49f0-aad1-234faaadf3ff</t>
    <phoneticPr fontId="2" type="noConversion"/>
  </si>
  <si>
    <t>REGIST_ORG</t>
  </si>
  <si>
    <t>registOrg</t>
  </si>
  <si>
    <t>registOrg</t>
    <phoneticPr fontId="2" type="noConversion"/>
  </si>
  <si>
    <t>b4d4acb1-4DA3-14B5-e053-045AA8C0F0EG</t>
    <phoneticPr fontId="2" type="noConversion"/>
  </si>
  <si>
    <t>64c6c8a1-71f6-48f7-877f-4cd090d59b01</t>
    <phoneticPr fontId="2" type="noConversion"/>
  </si>
  <si>
    <t>INSTITUTION_INDUSTRY_SECOND_LEVEL</t>
    <phoneticPr fontId="2" type="noConversion"/>
  </si>
  <si>
    <t>B4D4ACB1-4DA7-14B5-E053-045AA8C0F0EF</t>
    <phoneticPr fontId="2" type="noConversion"/>
  </si>
  <si>
    <t>E</t>
    <phoneticPr fontId="2" type="noConversion"/>
  </si>
  <si>
    <t>bussRepEquityInfoDto.repIndustryLevel2</t>
    <phoneticPr fontId="2" type="noConversion"/>
  </si>
  <si>
    <t>B4D4ACB1-4DA9-14B5-E053-045AA8C0F0EF</t>
    <phoneticPr fontId="2" type="noConversion"/>
  </si>
  <si>
    <t>9f72f8e8-de6e-4eb4-a70d-0e3ebd7e86f4</t>
    <phoneticPr fontId="2" type="noConversion"/>
  </si>
  <si>
    <t>c985a4d1-4653-41b5-9695-806a74f85515</t>
    <phoneticPr fontId="2" type="noConversion"/>
  </si>
  <si>
    <t>60da512f-aeed-43f9-8517-738eccdea871</t>
    <phoneticPr fontId="2" type="noConversion"/>
  </si>
  <si>
    <t>bussRepEquityInfoDto.repDeptEquity</t>
    <phoneticPr fontId="2" type="noConversion"/>
  </si>
  <si>
    <t>PAGE_ID</t>
    <phoneticPr fontId="2" type="noConversion"/>
  </si>
  <si>
    <t>REP_TYPE</t>
    <phoneticPr fontId="2" type="noConversion"/>
  </si>
  <si>
    <t>SRCPROPERTY</t>
    <phoneticPr fontId="2" type="noConversion"/>
  </si>
  <si>
    <t>DELETE FROM CHB_DATACHECK_REP_TYPE_INV WHERE PAGE_ID = 'FinProjectTargetAsset002';</t>
    <phoneticPr fontId="2" type="noConversion"/>
  </si>
  <si>
    <t>bussFinBondRepInfoDto</t>
  </si>
  <si>
    <t>bussRepEquityInfoDto</t>
  </si>
  <si>
    <t>B4D4ACB1-4DA7-14B5-E053-045AA8C0F0EF</t>
    <phoneticPr fontId="2" type="noConversion"/>
  </si>
  <si>
    <t>CHECKCLASS</t>
    <phoneticPr fontId="2" type="noConversion"/>
  </si>
  <si>
    <t>com.joyintech.tams.invest.common.ChbBaseCheckLib</t>
  </si>
  <si>
    <t>finprodName</t>
  </si>
  <si>
    <t>ASSET_CODE</t>
  </si>
  <si>
    <t>^[\u0020-\u0026-\u0028-\u007B-\u007D-\u007E-\u2000-\u2040-\u2160-\u216B-\u3000-\u301F-\uFF00-\uFF65-\uFFE0-\uFFEF]{0,}$</t>
  </si>
  <si>
    <t>isNotEmpty</t>
    <phoneticPr fontId="2" type="noConversion"/>
  </si>
  <si>
    <t>d4d88925-e5f2-4618-adb4-a6535a33f221</t>
    <phoneticPr fontId="2" type="noConversion"/>
  </si>
  <si>
    <t>284807E5-DF28-D920-E060-007F0100ZY19</t>
    <phoneticPr fontId="2" type="noConversion"/>
  </si>
  <si>
    <t>lessThanCharLength</t>
    <phoneticPr fontId="2" type="noConversion"/>
  </si>
  <si>
    <t>201</t>
    <phoneticPr fontId="2" type="noConversion"/>
  </si>
  <si>
    <t>E</t>
    <phoneticPr fontId="2" type="noConversion"/>
  </si>
  <si>
    <t>284807E5-DF28-D920-E060-007F0100ZY20</t>
    <phoneticPr fontId="2" type="noConversion"/>
  </si>
  <si>
    <t>资产代码过长（最大15字节）。</t>
    <phoneticPr fontId="2" type="noConversion"/>
  </si>
  <si>
    <t>到期日要素必填且必须为日期格式（YYYY-MM-DD）。</t>
    <phoneticPr fontId="2" type="noConversion"/>
  </si>
  <si>
    <t>登记托管机构说明要素不可为空且不可过长</t>
    <phoneticPr fontId="2" type="noConversion"/>
  </si>
  <si>
    <t>行业二级不可为空</t>
    <phoneticPr fontId="2" type="noConversion"/>
  </si>
  <si>
    <t>资产名称不可为空。</t>
    <phoneticPr fontId="2" type="noConversion"/>
  </si>
  <si>
    <t>资产名称必须填写白名单中的文字。</t>
    <phoneticPr fontId="2" type="noConversion"/>
  </si>
  <si>
    <t>资产名称不能过长。</t>
    <phoneticPr fontId="2" type="noConversion"/>
  </si>
  <si>
    <t>资产代码只能含有白名单内的阿拉伯数字，英文字母，半角符号，全角符号。</t>
    <phoneticPr fontId="2" type="noConversion"/>
  </si>
  <si>
    <t>D</t>
    <phoneticPr fontId="2" type="noConversion"/>
  </si>
  <si>
    <t>06,99</t>
    <phoneticPr fontId="2" type="noConversion"/>
  </si>
  <si>
    <t>当登记托管机构不为“06”或“99”时</t>
    <phoneticPr fontId="2" type="noConversion"/>
  </si>
  <si>
    <t>06,99</t>
    <phoneticPr fontId="2" type="noConversion"/>
  </si>
  <si>
    <t>Y</t>
    <phoneticPr fontId="2" type="noConversion"/>
  </si>
  <si>
    <t>发行机构所属行业要素必须在值域范围内</t>
    <phoneticPr fontId="2" type="noConversion"/>
  </si>
  <si>
    <t>发行机构类型（按经济类型划分）要素必须在值域范围内</t>
    <phoneticPr fontId="2" type="noConversion"/>
  </si>
  <si>
    <t>发行机构类型（按技术领域划分）要素必须在值域范围内</t>
    <phoneticPr fontId="2" type="noConversion"/>
  </si>
  <si>
    <t>具体类别要素必须选择25-28、99中的一项</t>
    <phoneticPr fontId="2" type="noConversion"/>
  </si>
  <si>
    <t>具体类别要素必须选择22-24、99中的一项</t>
    <phoneticPr fontId="2" type="noConversion"/>
  </si>
  <si>
    <t>具体类别要素必须选择16-21、99中的一项</t>
    <phoneticPr fontId="2" type="noConversion"/>
  </si>
  <si>
    <t>具体类别要素必须选择13-15、99中的一项</t>
    <phoneticPr fontId="2" type="noConversion"/>
  </si>
  <si>
    <t>具体类别要素必须选择11、12、99中的一项</t>
    <phoneticPr fontId="2" type="noConversion"/>
  </si>
  <si>
    <t>具体类别要素必须选择01-10或 99中的一项</t>
    <phoneticPr fontId="2" type="noConversion"/>
  </si>
  <si>
    <t>发行机构类型（按规模划分）必须在值域范围内</t>
    <phoneticPr fontId="2" type="noConversion"/>
  </si>
  <si>
    <t>发行方式必须在值域范围内</t>
    <phoneticPr fontId="2" type="noConversion"/>
  </si>
  <si>
    <t>284807E5-DF28-D920-E060-007F0100ZY25</t>
    <phoneticPr fontId="2" type="noConversion"/>
  </si>
  <si>
    <t>发行方式不可为空。</t>
    <phoneticPr fontId="2" type="noConversion"/>
  </si>
  <si>
    <t>284807E5-DF28-D920-E060-007F0100ZY26</t>
    <phoneticPr fontId="2" type="noConversion"/>
  </si>
  <si>
    <t>发行机构类型（按规模划分）要素不可为空</t>
    <phoneticPr fontId="2" type="noConversion"/>
  </si>
  <si>
    <t>284807E5-DF28-D920-E060-007F0100ZY27</t>
    <phoneticPr fontId="2" type="noConversion"/>
  </si>
  <si>
    <t>发行机构类型（按技术领域划分）要素不可为空</t>
    <phoneticPr fontId="2" type="noConversion"/>
  </si>
  <si>
    <t>284807E5-DF28-D920-E060-007F0100ZY28</t>
    <phoneticPr fontId="2" type="noConversion"/>
  </si>
  <si>
    <t>284807E5-DF28-D920-E060-007F0100ZY29</t>
    <phoneticPr fontId="2" type="noConversion"/>
  </si>
  <si>
    <t>发行机构所属行业要素不可为空</t>
    <phoneticPr fontId="2" type="noConversion"/>
  </si>
  <si>
    <t>284807E5-DF28-D920-E060-007F0100ZY30</t>
    <phoneticPr fontId="2" type="noConversion"/>
  </si>
  <si>
    <t>21</t>
    <phoneticPr fontId="2" type="noConversion"/>
  </si>
  <si>
    <t>资产代码过长（最大20字节）。</t>
    <phoneticPr fontId="2" type="noConversion"/>
  </si>
  <si>
    <t>284807E5-DF28-D920-E060-007F0100ZY25</t>
  </si>
  <si>
    <t>443a81a3-fe1a-4091-96c4-83895510ZL7f</t>
    <phoneticPr fontId="2" type="noConversion"/>
  </si>
  <si>
    <t>284807E5-DF28-D920-E060-007F0100ZL30</t>
    <phoneticPr fontId="2" type="noConversion"/>
  </si>
  <si>
    <t>!=</t>
    <phoneticPr fontId="2" type="noConversion"/>
  </si>
  <si>
    <t>[资产/负债类别]不为“1301 股权”时</t>
    <phoneticPr fontId="2" type="noConversion"/>
  </si>
  <si>
    <t>454b2ca2-6e31-4464-a8a3-f8bcf3639853</t>
    <phoneticPr fontId="2" type="noConversion"/>
  </si>
  <si>
    <t>b9bd2a58-a6cd-4490-b2cc-990b0f767925</t>
    <phoneticPr fontId="2" type="noConversion"/>
  </si>
  <si>
    <t>D</t>
    <phoneticPr fontId="2" type="noConversion"/>
  </si>
  <si>
    <t>a801d56a-aab3-45a6-8da2-cb4c55452fae</t>
    <phoneticPr fontId="2" type="noConversion"/>
  </si>
  <si>
    <t>145f8481-b011-4a85-a778-80594045d3ee</t>
    <phoneticPr fontId="2" type="noConversion"/>
  </si>
  <si>
    <t>1e194cb5-4e03-4115-bdc5-df05520fea4a</t>
    <phoneticPr fontId="2" type="noConversion"/>
  </si>
  <si>
    <t>284807E5-DF28-D920-E060-007F0100ZY26</t>
    <phoneticPr fontId="2" type="noConversion"/>
  </si>
  <si>
    <t>284807E5-DF28-D920-E060-007F0100ZY27</t>
    <phoneticPr fontId="2" type="noConversion"/>
  </si>
  <si>
    <t>284807E5-DF28-D920-E060-007F0100ZY28</t>
    <phoneticPr fontId="2" type="noConversion"/>
  </si>
  <si>
    <t>发行机构类型（按经济类型划分）要素不可为空</t>
    <phoneticPr fontId="2" type="noConversion"/>
  </si>
  <si>
    <t>inDatadict</t>
    <phoneticPr fontId="2" type="noConversion"/>
  </si>
  <si>
    <t>PARTY_TYPE1</t>
    <phoneticPr fontId="2" type="noConversion"/>
  </si>
  <si>
    <t>SVR_PARTY_TYPE1</t>
    <phoneticPr fontId="2" type="noConversion"/>
  </si>
  <si>
    <t>bussFinBondRepInfoDto.repPartyType1</t>
    <phoneticPr fontId="2" type="noConversion"/>
  </si>
  <si>
    <t>com.joyintech.tams.invest.common.ChbBaseCheckLib</t>
    <phoneticPr fontId="2" type="noConversion"/>
  </si>
  <si>
    <t>lessThanCharLength</t>
    <phoneticPr fontId="2" type="noConversion"/>
  </si>
  <si>
    <t>PART_TYPE1</t>
    <phoneticPr fontId="2" type="noConversion"/>
  </si>
  <si>
    <t>==</t>
    <phoneticPr fontId="2" type="noConversion"/>
  </si>
  <si>
    <t>发行机构类型（按规模划分）必须为空</t>
    <phoneticPr fontId="2" type="noConversion"/>
  </si>
  <si>
    <t>ISSUE_MODE</t>
    <phoneticPr fontId="2" type="noConversion"/>
  </si>
  <si>
    <t>==</t>
    <phoneticPr fontId="2" type="noConversion"/>
  </si>
  <si>
    <t>Y</t>
    <phoneticPr fontId="2" type="noConversion"/>
  </si>
  <si>
    <t>发行方式必须为空</t>
    <phoneticPr fontId="2" type="noConversion"/>
  </si>
  <si>
    <t>D</t>
    <phoneticPr fontId="2" type="noConversion"/>
  </si>
  <si>
    <t>issueType</t>
    <phoneticPr fontId="2" type="noConversion"/>
  </si>
  <si>
    <t>FinBondTargetAsset002</t>
    <phoneticPr fontId="2" type="noConversion"/>
  </si>
  <si>
    <t>ISSUE_MODE</t>
    <phoneticPr fontId="2" type="noConversion"/>
  </si>
  <si>
    <t>SVR_ISSUE_MODE_FUND</t>
    <phoneticPr fontId="2" type="noConversion"/>
  </si>
  <si>
    <t>com.joyintech.tams.invest.common.ChbBaseCheckLib</t>
    <phoneticPr fontId="2" type="noConversion"/>
  </si>
  <si>
    <t>1e6a261c-546d-4a15-a34a-e52b28353936</t>
    <phoneticPr fontId="2" type="noConversion"/>
  </si>
  <si>
    <t>c33b3f9e-2b30-4dbb-8c3d-c4520c3dd4b0</t>
    <phoneticPr fontId="2" type="noConversion"/>
  </si>
  <si>
    <t>d11da57a-1163-4d8e-b5fb-f6f3581189b2</t>
    <phoneticPr fontId="2" type="noConversion"/>
  </si>
  <si>
    <t>cb13d37b-01ac-4078-a7ae-7aea112e6d90</t>
    <phoneticPr fontId="2" type="noConversion"/>
  </si>
  <si>
    <t>f08cbfc9-7364-44e1-b9ac-ccc4dc70a2ad</t>
    <phoneticPr fontId="2" type="noConversion"/>
  </si>
  <si>
    <t>d02bc873-ae7e-4dc7-82f1-7d17027a927d</t>
    <phoneticPr fontId="2" type="noConversion"/>
  </si>
  <si>
    <t>40b1e522-9f74-4962-ba77-031418fefd5c</t>
    <phoneticPr fontId="2" type="noConversion"/>
  </si>
  <si>
    <t>59ab0bd6-76fc-4376-a277-fc77e58ebb39</t>
    <phoneticPr fontId="2" type="noConversion"/>
  </si>
  <si>
    <t>b899fc9e-10c0-4134-b0ab-d15c55ec61b8</t>
    <phoneticPr fontId="2" type="noConversion"/>
  </si>
  <si>
    <t>b7952577-3ac4-4d37-bdc2-4b6047b53ff7</t>
    <phoneticPr fontId="2" type="noConversion"/>
  </si>
  <si>
    <t>ccea9114-8adc-4341-95ec-a31b93091fda</t>
    <phoneticPr fontId="2" type="noConversion"/>
  </si>
  <si>
    <t>796015b0-ea24-4aa6-b589-2b8d7c83ef7k</t>
    <phoneticPr fontId="2" type="noConversion"/>
  </si>
  <si>
    <t>bussFinBondRepInfoDto.repIndustryLevel2</t>
    <phoneticPr fontId="2" type="noConversion"/>
  </si>
  <si>
    <t>8e908454-68ed-480c-bbca-0f9dcbdb4aa8</t>
    <phoneticPr fontId="2" type="noConversion"/>
  </si>
  <si>
    <t>bussFinBondRepInfoDto.repInstitSize</t>
    <phoneticPr fontId="2" type="noConversion"/>
  </si>
  <si>
    <t>9f908454-68ed-480c-bbca-0f9dcbdb4bn8</t>
    <phoneticPr fontId="2" type="noConversion"/>
  </si>
  <si>
    <t>7fd04b82-d6f1-4564-9e94-0ed98a58f92a</t>
    <phoneticPr fontId="2" type="noConversion"/>
  </si>
  <si>
    <t>bussFinBondRepInfoDto.repPartyType2</t>
    <phoneticPr fontId="2" type="noConversion"/>
  </si>
  <si>
    <t>f032c148-e29d-412e-a829-1ffaf6d70e71</t>
    <phoneticPr fontId="2" type="noConversion"/>
  </si>
  <si>
    <t>bussFinBondRepInfoDto.repPartyType2</t>
    <phoneticPr fontId="2" type="noConversion"/>
  </si>
  <si>
    <t>bussFinBondRepInfoDto.repPartyType3</t>
    <phoneticPr fontId="2" type="noConversion"/>
  </si>
  <si>
    <t>f14b85c7-ac4c-4cb3-976e-f0d4fcbc3d7e</t>
    <phoneticPr fontId="2" type="noConversion"/>
  </si>
  <si>
    <t>bussFinBondRepInfoDto.repPartyType3</t>
    <phoneticPr fontId="2" type="noConversion"/>
  </si>
  <si>
    <t>bussFinBondRepInfoDto.repRemark</t>
    <phoneticPr fontId="2" type="noConversion"/>
  </si>
  <si>
    <t>1e194cb5-4e03-4115-bdc5-df05520fea4a</t>
    <phoneticPr fontId="2" type="noConversion"/>
  </si>
  <si>
    <t>bussFinBondRepInfoDto.repRemark</t>
    <phoneticPr fontId="2" type="noConversion"/>
  </si>
  <si>
    <t>b9bd2a58-a6cd-4490-b2cc-990b0f767925</t>
    <phoneticPr fontId="2" type="noConversion"/>
  </si>
  <si>
    <t>E</t>
    <phoneticPr fontId="2" type="noConversion"/>
  </si>
  <si>
    <t>E</t>
    <phoneticPr fontId="2" type="noConversion"/>
  </si>
  <si>
    <t>284807E5-DF28-D920-E060-007F0100ZY30</t>
    <phoneticPr fontId="2" type="noConversion"/>
  </si>
  <si>
    <t>443a81a3-fe1a-4091-96c4-838955108a7f</t>
    <phoneticPr fontId="2" type="noConversion"/>
  </si>
  <si>
    <t>E</t>
    <phoneticPr fontId="2" type="noConversion"/>
  </si>
  <si>
    <t>D</t>
    <phoneticPr fontId="2" type="noConversion"/>
  </si>
  <si>
    <t>D</t>
    <phoneticPr fontId="2" type="noConversion"/>
  </si>
  <si>
    <t>B690A5B9-FE53-4725-E053-045AA8C093EE</t>
    <phoneticPr fontId="2" type="noConversion"/>
  </si>
  <si>
    <t>且登记托管机构为“06”或者“99”时</t>
    <phoneticPr fontId="2" type="noConversion"/>
  </si>
  <si>
    <t>[资产/负债类别]不为“1301 股权”</t>
    <phoneticPr fontId="2" type="noConversion"/>
  </si>
  <si>
    <t>284807E5-DF28-D920-E060-007F0100ZL40</t>
  </si>
  <si>
    <t>资产/负债类别不可以为空</t>
  </si>
  <si>
    <t>insert into CHB_DATACHECK_RULE_INV values ('284807E5-DF28-D920-E060-007F0100ZL40','FinBondTargetAsset002','isNotEmpty','repAssetType','','','N','资产/负债类别不可以为空','E','com.joyintech.tams.invest.common.ChbBaseCheckLib');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</si>
</sst>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222222"/>
      <name val="Consolas"/>
      <family val="3"/>
    </font>
    <font>
      <sz val="9"/>
      <color rgb="FF222222"/>
      <name val="宋体"/>
      <family val="2"/>
    </font>
    <font>
      <b/>
      <sz val="9"/>
      <color rgb="FF222222"/>
      <name val="宋体"/>
      <family val="2"/>
    </font>
    <font>
      <sz val="9"/>
      <color rgb="FF222222"/>
      <name val="宋体"/>
      <family val="3"/>
      <charset val="134"/>
    </font>
    <font>
      <strike/>
      <sz val="11"/>
      <color rgb="FFFF000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ill="1"/>
    <xf numFmtId="0" fontId="4" fillId="0" borderId="0" xfId="0" applyFont="1" applyFill="1" applyAlignment="1">
      <alignment horizontal="center"/>
    </xf>
    <xf numFmtId="0" fontId="5" fillId="0" borderId="0" xfId="0" applyFont="1"/>
    <xf numFmtId="0" fontId="4" fillId="0" borderId="0" xfId="0" applyFont="1"/>
    <xf numFmtId="0" fontId="8" fillId="0" borderId="0" xfId="0" applyFont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0" fillId="0" borderId="1" xfId="0" applyFill="1" applyBorder="1"/>
    <xf numFmtId="49" fontId="0" fillId="0" borderId="1" xfId="0" applyNumberFormat="1" applyFill="1" applyBorder="1"/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/>
    <xf numFmtId="49" fontId="0" fillId="2" borderId="1" xfId="0" applyNumberFormat="1" applyFill="1" applyBorder="1"/>
    <xf numFmtId="0" fontId="0" fillId="2" borderId="0" xfId="0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9" fillId="2" borderId="0" xfId="0" applyFont="1" applyFill="1"/>
    <xf numFmtId="0" fontId="4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Fill="1" applyBorder="1"/>
    <xf numFmtId="0" fontId="4" fillId="0" borderId="1" xfId="0" applyFont="1" applyFill="1" applyBorder="1" applyAlignment="1">
      <alignment horizontal="left"/>
    </xf>
    <xf numFmtId="0" fontId="0" fillId="3" borderId="1" xfId="0" applyFill="1" applyBorder="1"/>
    <xf numFmtId="49" fontId="0" fillId="3" borderId="1" xfId="0" applyNumberFormat="1" applyFill="1" applyBorder="1"/>
    <xf numFmtId="0" fontId="0" fillId="3" borderId="0" xfId="0" applyFill="1" applyBorder="1"/>
    <xf numFmtId="0" fontId="0" fillId="3" borderId="0" xfId="0" applyFill="1"/>
  </cellXfs>
  <cellStyles count="1">
    <cellStyle name="常规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zoomScaleNormal="100" workbookViewId="0">
      <selection activeCell="C16" sqref="C16"/>
    </sheetView>
  </sheetViews>
  <sheetFormatPr defaultRowHeight="13.5" x14ac:dyDescent="0.15"/>
  <cols>
    <col min="1" max="1" width="37.5" style="8" customWidth="1"/>
    <col min="2" max="2" width="20.125" style="8" customWidth="1"/>
    <col min="3" max="3" width="17.75" style="8" customWidth="1"/>
    <col min="4" max="4" width="18.375" style="8" customWidth="1"/>
    <col min="5" max="5" width="14.625" style="8" customWidth="1"/>
    <col min="6" max="6" width="16.125" style="9" customWidth="1"/>
    <col min="7" max="7" width="14.125" style="8" customWidth="1"/>
    <col min="8" max="8" width="17.5" style="8" customWidth="1"/>
    <col min="9" max="9" width="9" style="8"/>
    <col min="10" max="10" width="18" style="8" customWidth="1"/>
    <col min="11" max="11" width="18" style="28" customWidth="1"/>
    <col min="12" max="16384" width="9" style="1"/>
  </cols>
  <sheetData>
    <row r="1" spans="1:12" s="2" customForma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2" t="s">
        <v>186</v>
      </c>
      <c r="K1" s="12" t="s">
        <v>598</v>
      </c>
      <c r="L1" s="29" t="s">
        <v>190</v>
      </c>
    </row>
    <row r="2" spans="1:12" s="18" customFormat="1" x14ac:dyDescent="0.15">
      <c r="A2" s="15" t="s">
        <v>530</v>
      </c>
      <c r="B2" s="15" t="s">
        <v>185</v>
      </c>
      <c r="C2" s="15" t="s">
        <v>20</v>
      </c>
      <c r="D2" s="15" t="s">
        <v>109</v>
      </c>
      <c r="E2" s="15"/>
      <c r="F2" s="16" t="s">
        <v>33</v>
      </c>
      <c r="G2" s="15" t="s">
        <v>622</v>
      </c>
      <c r="H2" s="15" t="s">
        <v>623</v>
      </c>
      <c r="I2" s="17" t="s">
        <v>13</v>
      </c>
      <c r="J2" s="17" t="s">
        <v>692</v>
      </c>
      <c r="K2" s="17" t="s">
        <v>599</v>
      </c>
      <c r="L2" s="17" t="str">
        <f>CONCATENATE("insert into CHB_DATACHECK_RULE_INV values ('",A2,"','",B2,"','",C2,"','",J2,"','",E2,"','",F2,"','",G2,"','",H2,"','",I2,"','",K2,"');")</f>
        <v>insert into CHB_DATACHECK_RULE_INV values ('d43acc1a-f7ee-47c8-bc95-955808b6747a','FinBondTargetAsset002','inDatadict','bussFinBondRepInfoDto.repIndustryLevel2','','INSTITUTION_INDUSTRY_SECOND_LEVEL','Y','发行机构所属行业要素必须在值域范围内','E','com.joyintech.tams.invest.common.ChbBaseCheckLib');</v>
      </c>
    </row>
    <row r="3" spans="1:12" s="18" customFormat="1" x14ac:dyDescent="0.15">
      <c r="A3" s="15" t="s">
        <v>693</v>
      </c>
      <c r="B3" s="15" t="s">
        <v>185</v>
      </c>
      <c r="C3" s="15" t="s">
        <v>20</v>
      </c>
      <c r="D3" s="15" t="s">
        <v>542</v>
      </c>
      <c r="E3" s="15" t="s">
        <v>12</v>
      </c>
      <c r="F3" s="16" t="s">
        <v>497</v>
      </c>
      <c r="G3" s="15" t="s">
        <v>24</v>
      </c>
      <c r="H3" s="15" t="s">
        <v>125</v>
      </c>
      <c r="I3" s="17" t="s">
        <v>13</v>
      </c>
      <c r="J3" s="17" t="s">
        <v>694</v>
      </c>
      <c r="K3" s="17" t="s">
        <v>599</v>
      </c>
      <c r="L3" s="17" t="str">
        <f t="shared" ref="L3:L31" si="0">CONCATENATE("insert into CHB_DATACHECK_RULE_INV values ('",A3,"','",B3,"','",C3,"','",J3,"','",E3,"','",F3,"','",G3,"','",H3,"','",I3,"','",K3,"');")</f>
        <v>insert into CHB_DATACHECK_RULE_INV values ('8e908454-68ed-480c-bbca-0f9dcbdb4aa8','FinBondTargetAsset002','inDatadict','bussFinBondRepInfoDto.repInstitSize','==','INSTIT_SIZE','Y','人行机构规模要素不在值域范围内。','E','com.joyintech.tams.invest.common.ChbBaseCheckLib');</v>
      </c>
    </row>
    <row r="4" spans="1:12" s="18" customFormat="1" x14ac:dyDescent="0.15">
      <c r="A4" s="15" t="s">
        <v>695</v>
      </c>
      <c r="B4" s="15" t="s">
        <v>185</v>
      </c>
      <c r="C4" s="15" t="s">
        <v>515</v>
      </c>
      <c r="D4" s="15" t="s">
        <v>42</v>
      </c>
      <c r="E4" s="15"/>
      <c r="F4" s="16"/>
      <c r="G4" s="15" t="s">
        <v>23</v>
      </c>
      <c r="H4" s="15" t="s">
        <v>514</v>
      </c>
      <c r="I4" s="17" t="s">
        <v>13</v>
      </c>
      <c r="J4" s="17" t="s">
        <v>694</v>
      </c>
      <c r="K4" s="17" t="s">
        <v>599</v>
      </c>
      <c r="L4" s="17" t="str">
        <f t="shared" si="0"/>
        <v>insert into CHB_DATACHECK_RULE_INV values ('9f908454-68ed-480c-bbca-0f9dcbdb4bn8','FinBondTargetAsset002','isNotEmpty','bussFinBondRepInfoDto.repInstitSize','','','N','人行机构规模要素不可为空。','E','com.joyintech.tams.invest.common.ChbBaseCheckLib');</v>
      </c>
    </row>
    <row r="5" spans="1:12" s="18" customFormat="1" x14ac:dyDescent="0.15">
      <c r="A5" s="15" t="s">
        <v>696</v>
      </c>
      <c r="B5" s="15" t="s">
        <v>185</v>
      </c>
      <c r="C5" s="15" t="s">
        <v>20</v>
      </c>
      <c r="D5" s="15" t="s">
        <v>87</v>
      </c>
      <c r="E5" s="15"/>
      <c r="F5" s="16" t="s">
        <v>120</v>
      </c>
      <c r="G5" s="15" t="s">
        <v>24</v>
      </c>
      <c r="H5" s="15" t="s">
        <v>624</v>
      </c>
      <c r="I5" s="17" t="s">
        <v>13</v>
      </c>
      <c r="J5" s="17" t="s">
        <v>697</v>
      </c>
      <c r="K5" s="17" t="s">
        <v>599</v>
      </c>
      <c r="L5" s="17" t="str">
        <f t="shared" si="0"/>
        <v>insert into CHB_DATACHECK_RULE_INV values ('7fd04b82-d6f1-4564-9e94-0ed98a58f92a','FinBondTargetAsset002','inDatadict','bussFinBondRepInfoDto.repPartyType2','','SVR_PARTY_TYPE2','Y','发行机构类型（按经济类型划分）要素必须在值域范围内','E','com.joyintech.tams.invest.common.ChbBaseCheckLib');</v>
      </c>
    </row>
    <row r="6" spans="1:12" s="18" customFormat="1" x14ac:dyDescent="0.15">
      <c r="A6" s="15" t="s">
        <v>698</v>
      </c>
      <c r="B6" s="15" t="s">
        <v>185</v>
      </c>
      <c r="C6" s="15" t="s">
        <v>19</v>
      </c>
      <c r="D6" s="15" t="s">
        <v>110</v>
      </c>
      <c r="E6" s="15" t="s">
        <v>12</v>
      </c>
      <c r="F6" s="16">
        <v>0</v>
      </c>
      <c r="G6" s="15" t="s">
        <v>24</v>
      </c>
      <c r="H6" s="15" t="s">
        <v>532</v>
      </c>
      <c r="I6" s="17" t="s">
        <v>568</v>
      </c>
      <c r="J6" s="17" t="s">
        <v>699</v>
      </c>
      <c r="K6" s="17" t="s">
        <v>599</v>
      </c>
      <c r="L6" s="17" t="str">
        <f t="shared" si="0"/>
        <v>insert into CHB_DATACHECK_RULE_INV values ('f032c148-e29d-412e-a829-1ffaf6d70e71','FinBondTargetAsset002','lessThanCharLength','bussFinBondRepInfoDto.repPartyType2','==','0','Y','发行机构类型（按经济类型划分）必须为空','D','com.joyintech.tams.invest.common.ChbBaseCheckLib');</v>
      </c>
    </row>
    <row r="7" spans="1:12" s="18" customFormat="1" x14ac:dyDescent="0.15">
      <c r="A7" s="15" t="s">
        <v>564</v>
      </c>
      <c r="B7" s="15" t="s">
        <v>185</v>
      </c>
      <c r="C7" s="15" t="s">
        <v>19</v>
      </c>
      <c r="D7" s="15" t="s">
        <v>111</v>
      </c>
      <c r="E7" s="15" t="s">
        <v>12</v>
      </c>
      <c r="F7" s="16">
        <v>0</v>
      </c>
      <c r="G7" s="15" t="s">
        <v>24</v>
      </c>
      <c r="H7" s="15" t="s">
        <v>533</v>
      </c>
      <c r="I7" s="17" t="s">
        <v>572</v>
      </c>
      <c r="J7" s="17" t="s">
        <v>700</v>
      </c>
      <c r="K7" s="17" t="s">
        <v>599</v>
      </c>
      <c r="L7" s="17" t="str">
        <f t="shared" si="0"/>
        <v>insert into CHB_DATACHECK_RULE_INV values ('90da2a6d-b448-4486-92bd-c1fdf920684e','FinBondTargetAsset002','lessThanCharLength','bussFinBondRepInfoDto.repPartyType3','==','0','Y','发行机构类型（按技术领域划分）必须为空','D','com.joyintech.tams.invest.common.ChbBaseCheckLib');</v>
      </c>
    </row>
    <row r="8" spans="1:12" s="18" customFormat="1" x14ac:dyDescent="0.15">
      <c r="A8" s="15" t="s">
        <v>701</v>
      </c>
      <c r="B8" s="15" t="s">
        <v>185</v>
      </c>
      <c r="C8" s="15" t="s">
        <v>20</v>
      </c>
      <c r="D8" s="15" t="s">
        <v>88</v>
      </c>
      <c r="E8" s="15"/>
      <c r="F8" s="16" t="s">
        <v>121</v>
      </c>
      <c r="G8" s="15" t="s">
        <v>24</v>
      </c>
      <c r="H8" s="15" t="s">
        <v>625</v>
      </c>
      <c r="I8" s="17" t="s">
        <v>13</v>
      </c>
      <c r="J8" s="17" t="s">
        <v>702</v>
      </c>
      <c r="K8" s="17" t="s">
        <v>599</v>
      </c>
      <c r="L8" s="17" t="str">
        <f t="shared" si="0"/>
        <v>insert into CHB_DATACHECK_RULE_INV values ('f14b85c7-ac4c-4cb3-976e-f0d4fcbc3d7e','FinBondTargetAsset002','inDatadict','bussFinBondRepInfoDto.repPartyType3','','SVR_PARTY_TYPE3','Y','发行机构类型（按技术领域划分）要素必须在值域范围内','E','com.joyintech.tams.invest.common.ChbBaseCheckLib');</v>
      </c>
    </row>
    <row r="9" spans="1:12" s="18" customFormat="1" x14ac:dyDescent="0.15">
      <c r="A9" s="15" t="s">
        <v>534</v>
      </c>
      <c r="B9" s="15" t="s">
        <v>185</v>
      </c>
      <c r="C9" s="15" t="s">
        <v>19</v>
      </c>
      <c r="D9" s="15" t="s">
        <v>112</v>
      </c>
      <c r="E9" s="15" t="s">
        <v>12</v>
      </c>
      <c r="F9" s="16">
        <v>0</v>
      </c>
      <c r="G9" s="15" t="s">
        <v>24</v>
      </c>
      <c r="H9" s="15" t="s">
        <v>124</v>
      </c>
      <c r="I9" s="17" t="s">
        <v>13</v>
      </c>
      <c r="J9" s="17" t="s">
        <v>412</v>
      </c>
      <c r="K9" s="17" t="s">
        <v>599</v>
      </c>
      <c r="L9" s="17" t="str">
        <f t="shared" si="0"/>
        <v>insert into CHB_DATACHECK_RULE_INV values ('14745667-1528-43c0-9347-698dc70d6d3a','FinBondTargetAsset002','lessThanCharLength','bussFinBondRepInfoDto.repRegistorgComment','==','0','Y','登记托管机构说明必须为空','E','com.joyintech.tams.invest.common.ChbBaseCheckLib');</v>
      </c>
    </row>
    <row r="10" spans="1:12" s="18" customFormat="1" x14ac:dyDescent="0.15">
      <c r="A10" s="15" t="s">
        <v>565</v>
      </c>
      <c r="B10" s="15" t="s">
        <v>185</v>
      </c>
      <c r="C10" s="15" t="s">
        <v>14</v>
      </c>
      <c r="D10" s="15" t="s">
        <v>112</v>
      </c>
      <c r="E10" s="15"/>
      <c r="F10" s="16" t="s">
        <v>25</v>
      </c>
      <c r="G10" s="15" t="s">
        <v>24</v>
      </c>
      <c r="H10" s="15" t="s">
        <v>126</v>
      </c>
      <c r="I10" s="17" t="s">
        <v>13</v>
      </c>
      <c r="J10" s="17" t="s">
        <v>412</v>
      </c>
      <c r="K10" s="17" t="s">
        <v>599</v>
      </c>
      <c r="L10" s="17" t="str">
        <f t="shared" si="0"/>
        <v>insert into CHB_DATACHECK_RULE_INV values ('55e3fe90-cdc7-49f0-aad1-234faaadf3ee','FinBondTargetAsset002','isCustomizedString','bussFinBondRepInfoDto.repRegistorgComment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登记托管机构说明必须填写白名单中的文字。','E','com.joyintech.tams.invest.common.ChbBaseCheckLib');</v>
      </c>
    </row>
    <row r="11" spans="1:12" s="18" customFormat="1" x14ac:dyDescent="0.15">
      <c r="A11" s="15" t="s">
        <v>535</v>
      </c>
      <c r="B11" s="15" t="s">
        <v>185</v>
      </c>
      <c r="C11" s="15" t="s">
        <v>18</v>
      </c>
      <c r="D11" s="15" t="s">
        <v>7</v>
      </c>
      <c r="E11" s="15"/>
      <c r="F11" s="16">
        <v>0</v>
      </c>
      <c r="G11" s="15" t="s">
        <v>23</v>
      </c>
      <c r="H11" s="15" t="s">
        <v>26</v>
      </c>
      <c r="I11" s="17" t="s">
        <v>531</v>
      </c>
      <c r="J11" s="17" t="s">
        <v>703</v>
      </c>
      <c r="K11" s="17" t="s">
        <v>599</v>
      </c>
      <c r="L11" s="17" t="str">
        <f t="shared" si="0"/>
        <v>insert into CHB_DATACHECK_RULE_INV values ('979184d8-0972-49df-a57f-bda5e1f6fafc','FinBondTargetAsset002','isNotEmpty','bussFinBondRepInfoDto.repRemark','','0','N','备注要素不可为空','D','com.joyintech.tams.invest.common.ChbBaseCheckLib');</v>
      </c>
    </row>
    <row r="12" spans="1:12" s="18" customFormat="1" x14ac:dyDescent="0.15">
      <c r="A12" s="15" t="s">
        <v>536</v>
      </c>
      <c r="B12" s="15" t="s">
        <v>185</v>
      </c>
      <c r="C12" s="15" t="s">
        <v>18</v>
      </c>
      <c r="D12" s="15" t="s">
        <v>7</v>
      </c>
      <c r="E12" s="15"/>
      <c r="F12" s="16">
        <v>0</v>
      </c>
      <c r="G12" s="15" t="s">
        <v>23</v>
      </c>
      <c r="H12" s="15" t="s">
        <v>26</v>
      </c>
      <c r="I12" s="17" t="s">
        <v>653</v>
      </c>
      <c r="J12" s="17" t="s">
        <v>703</v>
      </c>
      <c r="K12" s="17" t="s">
        <v>599</v>
      </c>
      <c r="L12" s="17" t="str">
        <f t="shared" si="0"/>
        <v>insert into CHB_DATACHECK_RULE_INV values ('a801d56a-aab3-45a6-8da2-cb4c55452fae','FinBondTargetAsset002','isNotEmpty','bussFinBondRepInfoDto.repRemark','','0','N','备注要素不可为空','D','com.joyintech.tams.invest.common.ChbBaseCheckLib');</v>
      </c>
    </row>
    <row r="13" spans="1:12" s="18" customFormat="1" x14ac:dyDescent="0.15">
      <c r="A13" s="15" t="s">
        <v>704</v>
      </c>
      <c r="B13" s="15" t="s">
        <v>185</v>
      </c>
      <c r="C13" s="15" t="s">
        <v>18</v>
      </c>
      <c r="D13" s="15" t="s">
        <v>7</v>
      </c>
      <c r="E13" s="15"/>
      <c r="F13" s="16">
        <v>0</v>
      </c>
      <c r="G13" s="15" t="s">
        <v>23</v>
      </c>
      <c r="H13" s="15" t="s">
        <v>26</v>
      </c>
      <c r="I13" s="17" t="s">
        <v>653</v>
      </c>
      <c r="J13" s="17" t="s">
        <v>705</v>
      </c>
      <c r="K13" s="17" t="s">
        <v>599</v>
      </c>
      <c r="L13" s="17" t="str">
        <f t="shared" si="0"/>
        <v>insert into CHB_DATACHECK_RULE_INV values ('1e194cb5-4e03-4115-bdc5-df05520fea4a','FinBondTargetAsset002','isNotEmpty','bussFinBondRepInfoDto.repRemark','','0','N','备注要素不可为空','D','com.joyintech.tams.invest.common.ChbBaseCheckLib');</v>
      </c>
    </row>
    <row r="14" spans="1:12" s="18" customFormat="1" x14ac:dyDescent="0.15">
      <c r="A14" s="15" t="s">
        <v>537</v>
      </c>
      <c r="B14" s="15" t="s">
        <v>185</v>
      </c>
      <c r="C14" s="15" t="s">
        <v>18</v>
      </c>
      <c r="D14" s="15" t="s">
        <v>7</v>
      </c>
      <c r="E14" s="15"/>
      <c r="F14" s="16">
        <v>0</v>
      </c>
      <c r="G14" s="15" t="s">
        <v>23</v>
      </c>
      <c r="H14" s="15" t="s">
        <v>26</v>
      </c>
      <c r="I14" s="17" t="s">
        <v>653</v>
      </c>
      <c r="J14" s="17" t="s">
        <v>703</v>
      </c>
      <c r="K14" s="17" t="s">
        <v>599</v>
      </c>
      <c r="L14" s="17" t="str">
        <f t="shared" si="0"/>
        <v>insert into CHB_DATACHECK_RULE_INV values ('145f8481-b011-4a85-a778-80594045d3ee','FinBondTargetAsset002','isNotEmpty','bussFinBondRepInfoDto.repRemark','','0','N','备注要素不可为空','D','com.joyintech.tams.invest.common.ChbBaseCheckLib');</v>
      </c>
    </row>
    <row r="15" spans="1:12" s="18" customFormat="1" x14ac:dyDescent="0.15">
      <c r="A15" s="15" t="s">
        <v>706</v>
      </c>
      <c r="B15" s="15" t="s">
        <v>185</v>
      </c>
      <c r="C15" s="15" t="s">
        <v>18</v>
      </c>
      <c r="D15" s="15" t="s">
        <v>7</v>
      </c>
      <c r="E15" s="15"/>
      <c r="F15" s="16">
        <v>0</v>
      </c>
      <c r="G15" s="15" t="s">
        <v>23</v>
      </c>
      <c r="H15" s="15" t="s">
        <v>26</v>
      </c>
      <c r="I15" s="17" t="s">
        <v>653</v>
      </c>
      <c r="J15" s="17" t="s">
        <v>705</v>
      </c>
      <c r="K15" s="17" t="s">
        <v>599</v>
      </c>
      <c r="L15" s="17" t="str">
        <f t="shared" si="0"/>
        <v>insert into CHB_DATACHECK_RULE_INV values ('b9bd2a58-a6cd-4490-b2cc-990b0f767925','FinBondTargetAsset002','isNotEmpty','bussFinBondRepInfoDto.repRemark','','0','N','备注要素不可为空','D','com.joyintech.tams.invest.common.ChbBaseCheckLib');</v>
      </c>
    </row>
    <row r="16" spans="1:12" s="18" customFormat="1" x14ac:dyDescent="0.15">
      <c r="A16" s="15" t="s">
        <v>476</v>
      </c>
      <c r="B16" s="15" t="s">
        <v>185</v>
      </c>
      <c r="C16" s="15" t="s">
        <v>19</v>
      </c>
      <c r="D16" s="15" t="s">
        <v>7</v>
      </c>
      <c r="E16" s="15"/>
      <c r="F16" s="16">
        <v>257</v>
      </c>
      <c r="G16" s="15" t="s">
        <v>24</v>
      </c>
      <c r="H16" s="15" t="s">
        <v>27</v>
      </c>
      <c r="I16" s="17" t="s">
        <v>13</v>
      </c>
      <c r="J16" s="17" t="s">
        <v>78</v>
      </c>
      <c r="K16" s="17" t="s">
        <v>599</v>
      </c>
      <c r="L16" s="17" t="str">
        <f t="shared" si="0"/>
        <v>insert into CHB_DATACHECK_RULE_INV values ('7cfc7186-8d22-4859-99be-e83b5c4772a0','FinBondTargetAsset002','lessThanCharLength','bussFinBondRepInfoDto.repRemark','','257','Y','备注不能超过256字符','E','com.joyintech.tams.invest.common.ChbBaseCheckLib');</v>
      </c>
    </row>
    <row r="17" spans="1:12" s="18" customFormat="1" x14ac:dyDescent="0.15">
      <c r="A17" s="15" t="s">
        <v>680</v>
      </c>
      <c r="B17" s="15" t="s">
        <v>185</v>
      </c>
      <c r="C17" s="17" t="s">
        <v>14</v>
      </c>
      <c r="D17" s="17" t="s">
        <v>7</v>
      </c>
      <c r="E17" s="17"/>
      <c r="F17" s="20" t="s">
        <v>25</v>
      </c>
      <c r="G17" s="17" t="s">
        <v>24</v>
      </c>
      <c r="H17" s="17" t="s">
        <v>28</v>
      </c>
      <c r="I17" s="17" t="s">
        <v>13</v>
      </c>
      <c r="J17" s="17" t="s">
        <v>78</v>
      </c>
      <c r="K17" s="17" t="s">
        <v>599</v>
      </c>
      <c r="L17" s="17" t="str">
        <f t="shared" si="0"/>
        <v>insert into CHB_DATACHECK_RULE_INV values ('1e6a261c-546d-4a15-a34a-e52b28353936','FinBondTargetAsset002','isCustomizedString','bussFinBondRepInfoDt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18" spans="1:12" s="18" customFormat="1" x14ac:dyDescent="0.15">
      <c r="A18" s="15" t="s">
        <v>681</v>
      </c>
      <c r="B18" s="15" t="s">
        <v>185</v>
      </c>
      <c r="C18" s="17" t="s">
        <v>11</v>
      </c>
      <c r="D18" s="17" t="s">
        <v>89</v>
      </c>
      <c r="E18" s="17" t="s">
        <v>12</v>
      </c>
      <c r="F18" s="20" t="s">
        <v>118</v>
      </c>
      <c r="G18" s="17" t="s">
        <v>24</v>
      </c>
      <c r="H18" s="17" t="s">
        <v>626</v>
      </c>
      <c r="I18" s="17" t="s">
        <v>13</v>
      </c>
      <c r="J18" s="17" t="s">
        <v>50</v>
      </c>
      <c r="K18" s="17" t="s">
        <v>599</v>
      </c>
      <c r="L18" s="17" t="str">
        <f t="shared" si="0"/>
        <v>insert into CHB_DATACHECK_RULE_INV values ('c33b3f9e-2b30-4dbb-8c3d-c4520c3dd4b0','FinBondTargetAsset002','inArray','bussFinBondRepInfoDto.repSectype','==','25,26,27,28,99','Y','具体类别要素必须选择25-28、99中的一项','E','com.joyintech.tams.invest.common.ChbBaseCheckLib');</v>
      </c>
    </row>
    <row r="19" spans="1:12" s="18" customFormat="1" x14ac:dyDescent="0.15">
      <c r="A19" s="15" t="s">
        <v>682</v>
      </c>
      <c r="B19" s="15" t="s">
        <v>185</v>
      </c>
      <c r="C19" s="17" t="s">
        <v>11</v>
      </c>
      <c r="D19" s="17" t="s">
        <v>89</v>
      </c>
      <c r="E19" s="17" t="s">
        <v>12</v>
      </c>
      <c r="F19" s="20" t="s">
        <v>117</v>
      </c>
      <c r="G19" s="17" t="s">
        <v>24</v>
      </c>
      <c r="H19" s="17" t="s">
        <v>627</v>
      </c>
      <c r="I19" s="17" t="s">
        <v>13</v>
      </c>
      <c r="J19" s="17" t="s">
        <v>50</v>
      </c>
      <c r="K19" s="17" t="s">
        <v>599</v>
      </c>
      <c r="L19" s="17" t="str">
        <f t="shared" si="0"/>
        <v>insert into CHB_DATACHECK_RULE_INV values ('d11da57a-1163-4d8e-b5fb-f6f3581189b2','FinBondTargetAsset002','inArray','bussFinBondRepInfoDto.repSectype','==','22,23,24,99','Y','具体类别要素必须选择22-24、99中的一项','E','com.joyintech.tams.invest.common.ChbBaseCheckLib');</v>
      </c>
    </row>
    <row r="20" spans="1:12" s="18" customFormat="1" x14ac:dyDescent="0.15">
      <c r="A20" s="15" t="s">
        <v>538</v>
      </c>
      <c r="B20" s="15" t="s">
        <v>185</v>
      </c>
      <c r="C20" s="17" t="s">
        <v>11</v>
      </c>
      <c r="D20" s="17" t="s">
        <v>89</v>
      </c>
      <c r="E20" s="17" t="s">
        <v>12</v>
      </c>
      <c r="F20" s="20" t="s">
        <v>116</v>
      </c>
      <c r="G20" s="17" t="s">
        <v>24</v>
      </c>
      <c r="H20" s="17" t="s">
        <v>628</v>
      </c>
      <c r="I20" s="17" t="s">
        <v>13</v>
      </c>
      <c r="J20" s="17" t="s">
        <v>50</v>
      </c>
      <c r="K20" s="17" t="s">
        <v>599</v>
      </c>
      <c r="L20" s="17" t="str">
        <f t="shared" si="0"/>
        <v>insert into CHB_DATACHECK_RULE_INV values ('c35975de-3bf7-4b78-9bcd-45e7f9bc227e','FinBondTargetAsset002','inArray','bussFinBondRepInfoDto.repSectype','==','16,17,18,19,20,21,99','Y','具体类别要素必须选择16-21、99中的一项','E','com.joyintech.tams.invest.common.ChbBaseCheckLib');</v>
      </c>
    </row>
    <row r="21" spans="1:12" s="18" customFormat="1" x14ac:dyDescent="0.15">
      <c r="A21" s="15" t="s">
        <v>683</v>
      </c>
      <c r="B21" s="15" t="s">
        <v>185</v>
      </c>
      <c r="C21" s="17" t="s">
        <v>11</v>
      </c>
      <c r="D21" s="17" t="s">
        <v>89</v>
      </c>
      <c r="E21" s="17" t="s">
        <v>12</v>
      </c>
      <c r="F21" s="20" t="s">
        <v>115</v>
      </c>
      <c r="G21" s="17" t="s">
        <v>24</v>
      </c>
      <c r="H21" s="17" t="s">
        <v>629</v>
      </c>
      <c r="I21" s="17" t="s">
        <v>13</v>
      </c>
      <c r="J21" s="17" t="s">
        <v>50</v>
      </c>
      <c r="K21" s="17" t="s">
        <v>599</v>
      </c>
      <c r="L21" s="17" t="str">
        <f t="shared" si="0"/>
        <v>insert into CHB_DATACHECK_RULE_INV values ('cb13d37b-01ac-4078-a7ae-7aea112e6d90','FinBondTargetAsset002','inArray','bussFinBondRepInfoDto.repSectype','==','13,14,15,99','Y','具体类别要素必须选择13-15、99中的一项','E','com.joyintech.tams.invest.common.ChbBaseCheckLib');</v>
      </c>
    </row>
    <row r="22" spans="1:12" s="18" customFormat="1" x14ac:dyDescent="0.15">
      <c r="A22" s="15" t="s">
        <v>684</v>
      </c>
      <c r="B22" s="15" t="s">
        <v>185</v>
      </c>
      <c r="C22" s="17" t="s">
        <v>11</v>
      </c>
      <c r="D22" s="17" t="s">
        <v>89</v>
      </c>
      <c r="E22" s="17" t="s">
        <v>12</v>
      </c>
      <c r="F22" s="20" t="s">
        <v>114</v>
      </c>
      <c r="G22" s="17" t="s">
        <v>24</v>
      </c>
      <c r="H22" s="17" t="s">
        <v>630</v>
      </c>
      <c r="I22" s="17" t="s">
        <v>13</v>
      </c>
      <c r="J22" s="17" t="s">
        <v>50</v>
      </c>
      <c r="K22" s="17" t="s">
        <v>599</v>
      </c>
      <c r="L22" s="17" t="str">
        <f t="shared" si="0"/>
        <v>insert into CHB_DATACHECK_RULE_INV values ('f08cbfc9-7364-44e1-b9ac-ccc4dc70a2ad','FinBondTargetAsset002','inArray','bussFinBondRepInfoDto.repSectype','==','11,12,99','Y','具体类别要素必须选择11、12、99中的一项','E','com.joyintech.tams.invest.common.ChbBaseCheckLib');</v>
      </c>
    </row>
    <row r="23" spans="1:12" s="18" customFormat="1" x14ac:dyDescent="0.15">
      <c r="A23" s="15" t="s">
        <v>685</v>
      </c>
      <c r="B23" s="15" t="s">
        <v>185</v>
      </c>
      <c r="C23" s="17" t="s">
        <v>11</v>
      </c>
      <c r="D23" s="17" t="s">
        <v>89</v>
      </c>
      <c r="E23" s="17" t="s">
        <v>12</v>
      </c>
      <c r="F23" s="20" t="s">
        <v>113</v>
      </c>
      <c r="G23" s="17" t="s">
        <v>24</v>
      </c>
      <c r="H23" s="17" t="s">
        <v>631</v>
      </c>
      <c r="I23" s="17" t="s">
        <v>13</v>
      </c>
      <c r="J23" s="17" t="s">
        <v>495</v>
      </c>
      <c r="K23" s="17" t="s">
        <v>599</v>
      </c>
      <c r="L23" s="17" t="str">
        <f t="shared" si="0"/>
        <v>insert into CHB_DATACHECK_RULE_INV values ('d02bc873-ae7e-4dc7-82f1-7d17027a927d','FinBondTargetAsset002','inArray','bussFinBondRepInfoDto.repSectype','==','01,02,03,04,05,06,07,08,09,10,99','Y','具体类别要素必须选择01-10或 99中的一项','E','com.joyintech.tams.invest.common.ChbBaseCheckLib');</v>
      </c>
    </row>
    <row r="24" spans="1:12" s="18" customFormat="1" x14ac:dyDescent="0.15">
      <c r="A24" s="15" t="s">
        <v>686</v>
      </c>
      <c r="B24" s="15" t="s">
        <v>185</v>
      </c>
      <c r="C24" s="17" t="s">
        <v>20</v>
      </c>
      <c r="D24" s="17" t="s">
        <v>89</v>
      </c>
      <c r="E24" s="17"/>
      <c r="F24" s="20" t="s">
        <v>122</v>
      </c>
      <c r="G24" s="17" t="s">
        <v>24</v>
      </c>
      <c r="H24" s="17" t="s">
        <v>127</v>
      </c>
      <c r="I24" s="17" t="s">
        <v>13</v>
      </c>
      <c r="J24" s="17" t="s">
        <v>50</v>
      </c>
      <c r="K24" s="17" t="s">
        <v>599</v>
      </c>
      <c r="L24" s="17" t="str">
        <f t="shared" si="0"/>
        <v>insert into CHB_DATACHECK_RULE_INV values ('40b1e522-9f74-4962-ba77-031418fefd5c','FinBondTargetAsset002','inDatadict','bussFinBondRepInfoDto.repSectype','','SVR_SEC_DETAIL_TYPE','Y','具体类别不在值域范围内。','E','com.joyintech.tams.invest.common.ChbBaseCheckLib');</v>
      </c>
    </row>
    <row r="25" spans="1:12" s="18" customFormat="1" x14ac:dyDescent="0.15">
      <c r="A25" s="15" t="s">
        <v>687</v>
      </c>
      <c r="B25" s="15" t="s">
        <v>540</v>
      </c>
      <c r="C25" s="17" t="s">
        <v>18</v>
      </c>
      <c r="D25" s="17" t="s">
        <v>89</v>
      </c>
      <c r="E25" s="17"/>
      <c r="F25" s="20"/>
      <c r="G25" s="17" t="s">
        <v>23</v>
      </c>
      <c r="H25" s="17" t="s">
        <v>123</v>
      </c>
      <c r="I25" s="17" t="s">
        <v>539</v>
      </c>
      <c r="J25" s="17" t="s">
        <v>50</v>
      </c>
      <c r="K25" s="17" t="s">
        <v>599</v>
      </c>
      <c r="L25" s="17" t="str">
        <f t="shared" si="0"/>
        <v>insert into CHB_DATACHECK_RULE_INV values ('59ab0bd6-76fc-4376-a277-fc77e58ebb39','FinBondTargetAsset002','isNotEmpty','bussFinBondRepInfoDto.repSectype','','','N','具体类别不可以为空','D','com.joyintech.tams.invest.common.ChbBaseCheckLib');</v>
      </c>
    </row>
    <row r="26" spans="1:12" s="18" customFormat="1" x14ac:dyDescent="0.15">
      <c r="A26" s="15" t="s">
        <v>688</v>
      </c>
      <c r="B26" s="15" t="s">
        <v>185</v>
      </c>
      <c r="C26" s="17" t="s">
        <v>18</v>
      </c>
      <c r="D26" s="17" t="s">
        <v>22</v>
      </c>
      <c r="E26" s="17"/>
      <c r="F26" s="20"/>
      <c r="G26" s="17" t="s">
        <v>23</v>
      </c>
      <c r="H26" s="17" t="s">
        <v>29</v>
      </c>
      <c r="I26" s="17" t="s">
        <v>531</v>
      </c>
      <c r="J26" s="17" t="s">
        <v>57</v>
      </c>
      <c r="K26" s="17" t="s">
        <v>599</v>
      </c>
      <c r="L26" s="17" t="str">
        <f t="shared" si="0"/>
        <v>insert into CHB_DATACHECK_RULE_INV values ('b899fc9e-10c0-4134-b0ab-d15c55ec61b8','FinBondTargetAsset002','isNotEmpty','bussFinBondRepInfoDto.repTradeMarket','','','N','交易流通场所要素必填','D','com.joyintech.tams.invest.common.ChbBaseCheckLib');</v>
      </c>
    </row>
    <row r="27" spans="1:12" s="18" customFormat="1" x14ac:dyDescent="0.15">
      <c r="A27" s="15" t="s">
        <v>478</v>
      </c>
      <c r="B27" s="15" t="s">
        <v>185</v>
      </c>
      <c r="C27" s="17" t="s">
        <v>20</v>
      </c>
      <c r="D27" s="17" t="s">
        <v>22</v>
      </c>
      <c r="E27" s="17" t="s">
        <v>12</v>
      </c>
      <c r="F27" s="20" t="s">
        <v>30</v>
      </c>
      <c r="G27" s="17" t="s">
        <v>24</v>
      </c>
      <c r="H27" s="17" t="s">
        <v>17</v>
      </c>
      <c r="I27" s="17" t="s">
        <v>13</v>
      </c>
      <c r="J27" s="17" t="s">
        <v>57</v>
      </c>
      <c r="K27" s="17" t="s">
        <v>599</v>
      </c>
      <c r="L27" s="17" t="str">
        <f t="shared" si="0"/>
        <v>insert into CHB_DATACHECK_RULE_INV values ('38390ebb-906b-4d55-a40d-5399950b4bf7','FinBondTargetAsset002','inDatadict','bussFinBondRepInfoDto.repTradeMarket','==','SVR_TRADE_MARKET','Y','交易流通场所不在值域范围内','E','com.joyintech.tams.invest.common.ChbBaseCheckLib');</v>
      </c>
    </row>
    <row r="28" spans="1:12" s="18" customFormat="1" x14ac:dyDescent="0.15">
      <c r="A28" s="15" t="s">
        <v>689</v>
      </c>
      <c r="B28" s="15" t="s">
        <v>529</v>
      </c>
      <c r="C28" s="17" t="s">
        <v>661</v>
      </c>
      <c r="D28" s="17" t="s">
        <v>662</v>
      </c>
      <c r="E28" s="17"/>
      <c r="F28" s="20" t="s">
        <v>663</v>
      </c>
      <c r="G28" s="17" t="s">
        <v>622</v>
      </c>
      <c r="H28" s="17" t="s">
        <v>632</v>
      </c>
      <c r="I28" s="17" t="s">
        <v>502</v>
      </c>
      <c r="J28" s="17" t="s">
        <v>664</v>
      </c>
      <c r="K28" s="17" t="s">
        <v>665</v>
      </c>
      <c r="L28" s="17" t="str">
        <f t="shared" si="0"/>
        <v>insert into CHB_DATACHECK_RULE_INV values ('b7952577-3ac4-4d37-bdc2-4b6047b53ff7','FinBondTargetAsset002','inDatadict','bussFinBondRepInfoDto.repPartyType1','','SVR_PARTY_TYPE1','Y','发行机构类型（按规模划分）必须在值域范围内','E','com.joyintech.tams.invest.common.ChbBaseCheckLib');</v>
      </c>
    </row>
    <row r="29" spans="1:12" s="18" customFormat="1" x14ac:dyDescent="0.15">
      <c r="A29" s="15" t="s">
        <v>690</v>
      </c>
      <c r="B29" s="15" t="s">
        <v>529</v>
      </c>
      <c r="C29" s="17" t="s">
        <v>666</v>
      </c>
      <c r="D29" s="17" t="s">
        <v>667</v>
      </c>
      <c r="E29" s="17" t="s">
        <v>668</v>
      </c>
      <c r="F29" s="20">
        <v>0</v>
      </c>
      <c r="G29" s="17" t="s">
        <v>622</v>
      </c>
      <c r="H29" s="17" t="s">
        <v>669</v>
      </c>
      <c r="I29" s="17" t="s">
        <v>531</v>
      </c>
      <c r="J29" s="17" t="s">
        <v>664</v>
      </c>
      <c r="K29" s="17" t="s">
        <v>665</v>
      </c>
      <c r="L29" s="17" t="str">
        <f t="shared" si="0"/>
        <v>insert into CHB_DATACHECK_RULE_INV values ('ccea9114-8adc-4341-95ec-a31b93091fda','FinBondTargetAsset002','lessThanCharLength','bussFinBondRepInfoDto.repPartyType1','==','0','Y','发行机构类型（按规模划分）必须为空','D','com.joyintech.tams.invest.common.ChbBaseCheckLib');</v>
      </c>
    </row>
    <row r="30" spans="1:12" s="18" customFormat="1" x14ac:dyDescent="0.15">
      <c r="A30" s="15" t="s">
        <v>571</v>
      </c>
      <c r="B30" s="15" t="s">
        <v>529</v>
      </c>
      <c r="C30" s="17" t="s">
        <v>666</v>
      </c>
      <c r="D30" s="17" t="s">
        <v>670</v>
      </c>
      <c r="E30" s="17" t="s">
        <v>671</v>
      </c>
      <c r="F30" s="20">
        <v>0</v>
      </c>
      <c r="G30" s="17" t="s">
        <v>672</v>
      </c>
      <c r="H30" s="17" t="s">
        <v>673</v>
      </c>
      <c r="I30" s="17" t="s">
        <v>674</v>
      </c>
      <c r="J30" s="17" t="s">
        <v>675</v>
      </c>
      <c r="K30" s="17" t="s">
        <v>665</v>
      </c>
      <c r="L30" s="17" t="str">
        <f t="shared" si="0"/>
        <v>insert into CHB_DATACHECK_RULE_INV values ('3fc5b962-0721-4235-aad0-822c460ba13b','FinBondTargetAsset002','lessThanCharLength','issueType','==','0','Y','发行方式必须为空','D','com.joyintech.tams.invest.common.ChbBaseCheckLib');</v>
      </c>
    </row>
    <row r="31" spans="1:12" s="18" customFormat="1" x14ac:dyDescent="0.15">
      <c r="A31" s="15" t="s">
        <v>566</v>
      </c>
      <c r="B31" s="15" t="s">
        <v>676</v>
      </c>
      <c r="C31" s="17" t="s">
        <v>661</v>
      </c>
      <c r="D31" s="17" t="s">
        <v>677</v>
      </c>
      <c r="E31" s="17"/>
      <c r="F31" s="20" t="s">
        <v>678</v>
      </c>
      <c r="G31" s="17" t="s">
        <v>622</v>
      </c>
      <c r="H31" s="17" t="s">
        <v>633</v>
      </c>
      <c r="I31" s="17" t="s">
        <v>502</v>
      </c>
      <c r="J31" s="17" t="s">
        <v>675</v>
      </c>
      <c r="K31" s="17" t="s">
        <v>679</v>
      </c>
      <c r="L31" s="17" t="str">
        <f t="shared" si="0"/>
        <v>insert into CHB_DATACHECK_RULE_INV values ('a48d9365-faa2-4606-a28d-5c89ed874ee5','FinBondTargetAsset002','inDatadict','issueType','','SVR_ISSUE_MODE_FUND','Y','发行方式必须在值域范围内','E','com.joyintech.tams.invest.common.ChbBaseCheckLib');</v>
      </c>
    </row>
    <row r="32" spans="1:12" s="18" customFormat="1" x14ac:dyDescent="0.15">
      <c r="A32" s="15" t="s">
        <v>691</v>
      </c>
      <c r="B32" s="15" t="s">
        <v>185</v>
      </c>
      <c r="C32" s="17" t="s">
        <v>18</v>
      </c>
      <c r="D32" s="17" t="s">
        <v>497</v>
      </c>
      <c r="E32" s="17"/>
      <c r="F32" s="20"/>
      <c r="G32" s="17" t="s">
        <v>516</v>
      </c>
      <c r="H32" s="17" t="s">
        <v>508</v>
      </c>
      <c r="I32" s="17" t="s">
        <v>13</v>
      </c>
      <c r="J32" s="17" t="s">
        <v>325</v>
      </c>
      <c r="K32" s="17" t="s">
        <v>599</v>
      </c>
      <c r="L32" s="17" t="str">
        <f t="shared" ref="L32:L64" si="1">CONCATENATE("insert into CHB_DATACHECK_RULE_INV values ('",A32,"','",B32,"','",C32,"','",J32,"','",E32,"','",F32,"','",G32,"','",H32,"','",I32,"','",K32,"');")</f>
        <v>insert into CHB_DATACHECK_RULE_INV values ('796015b0-ea24-4aa6-b589-2b8d7c83ef7k','FinBondTargetAsset002','isNotEmpty','bussRepEquityInfoDto.repInstitSize','','','N','人行机构规模要素不可为空。','E','com.joyintech.tams.invest.common.ChbBaseCheckLib');</v>
      </c>
    </row>
    <row r="33" spans="1:12" s="18" customFormat="1" x14ac:dyDescent="0.15">
      <c r="A33" s="15" t="s">
        <v>543</v>
      </c>
      <c r="B33" s="15" t="s">
        <v>185</v>
      </c>
      <c r="C33" s="17" t="s">
        <v>20</v>
      </c>
      <c r="D33" s="17" t="s">
        <v>497</v>
      </c>
      <c r="E33" s="17" t="s">
        <v>12</v>
      </c>
      <c r="F33" s="20" t="s">
        <v>497</v>
      </c>
      <c r="G33" s="17" t="s">
        <v>24</v>
      </c>
      <c r="H33" s="17" t="s">
        <v>125</v>
      </c>
      <c r="I33" s="17" t="s">
        <v>13</v>
      </c>
      <c r="J33" s="17" t="s">
        <v>325</v>
      </c>
      <c r="K33" s="17" t="s">
        <v>599</v>
      </c>
      <c r="L33" s="17" t="str">
        <f t="shared" si="1"/>
        <v>insert into CHB_DATACHECK_RULE_INV values ('506015b0-ea24-4aa6-b589-2b8d7c83ba5d','FinBondTargetAsset002','inDatadict','bussRepEquityInfoDto.repInstitSize','==','INSTIT_SIZE','Y','人行机构规模要素不在值域范围内。','E','com.joyintech.tams.invest.common.ChbBaseCheckLib');</v>
      </c>
    </row>
    <row r="34" spans="1:12" s="18" customFormat="1" x14ac:dyDescent="0.15">
      <c r="A34" s="15" t="s">
        <v>545</v>
      </c>
      <c r="B34" s="15" t="s">
        <v>185</v>
      </c>
      <c r="C34" s="17" t="s">
        <v>18</v>
      </c>
      <c r="D34" s="17" t="s">
        <v>348</v>
      </c>
      <c r="E34" s="17"/>
      <c r="F34" s="20"/>
      <c r="G34" s="17" t="s">
        <v>23</v>
      </c>
      <c r="H34" s="17" t="s">
        <v>400</v>
      </c>
      <c r="I34" s="17" t="s">
        <v>544</v>
      </c>
      <c r="J34" s="17" t="s">
        <v>316</v>
      </c>
      <c r="K34" s="17" t="s">
        <v>599</v>
      </c>
      <c r="L34" s="17" t="str">
        <f t="shared" si="1"/>
        <v>insert into CHB_DATACHECK_RULE_INV values ('6baef1d8-56e8-49cb-a78a-c73f35b973a1','FinBondTargetAsset002','isNotEmpty','bussRepEquityInfoDto.repInvestStage','','','N','投资阶段要素不可为空。','D','com.joyintech.tams.invest.common.ChbBaseCheckLib');</v>
      </c>
    </row>
    <row r="35" spans="1:12" s="18" customFormat="1" x14ac:dyDescent="0.15">
      <c r="A35" s="15" t="s">
        <v>546</v>
      </c>
      <c r="B35" s="15" t="s">
        <v>185</v>
      </c>
      <c r="C35" s="17" t="s">
        <v>20</v>
      </c>
      <c r="D35" s="17" t="s">
        <v>348</v>
      </c>
      <c r="E35" s="17" t="s">
        <v>12</v>
      </c>
      <c r="F35" s="20" t="s">
        <v>498</v>
      </c>
      <c r="G35" s="17" t="s">
        <v>24</v>
      </c>
      <c r="H35" s="17" t="s">
        <v>354</v>
      </c>
      <c r="I35" s="17" t="s">
        <v>13</v>
      </c>
      <c r="J35" s="17" t="s">
        <v>316</v>
      </c>
      <c r="K35" s="17" t="s">
        <v>599</v>
      </c>
      <c r="L35" s="17" t="str">
        <f t="shared" si="1"/>
        <v>insert into CHB_DATACHECK_RULE_INV values ('f659932e-980f-49a2-8c48-6b5ffbdd9c0d','FinBondTargetAsset002','inDatadict','bussRepEquityInfoDto.repInvestStage','==','SVR_INVEST_STAGE','Y','投资阶段要素必须在值域范围内。','E','com.joyintech.tams.invest.common.ChbBaseCheckLib');</v>
      </c>
    </row>
    <row r="36" spans="1:12" s="18" customFormat="1" x14ac:dyDescent="0.15">
      <c r="A36" s="15" t="s">
        <v>548</v>
      </c>
      <c r="B36" s="15" t="s">
        <v>185</v>
      </c>
      <c r="C36" s="17" t="s">
        <v>18</v>
      </c>
      <c r="D36" s="17" t="s">
        <v>398</v>
      </c>
      <c r="E36" s="17"/>
      <c r="F36" s="20"/>
      <c r="G36" s="17" t="s">
        <v>23</v>
      </c>
      <c r="H36" s="17" t="s">
        <v>407</v>
      </c>
      <c r="I36" s="17" t="s">
        <v>531</v>
      </c>
      <c r="J36" s="17" t="s">
        <v>547</v>
      </c>
      <c r="K36" s="17" t="s">
        <v>599</v>
      </c>
      <c r="L36" s="17" t="str">
        <f t="shared" si="1"/>
        <v>insert into CHB_DATACHECK_RULE_INV values ('b46ff785-d69c-4074-8d84-b8f1ccd9a577','FinBondTargetAsset002','isNotEmpty','bussRepEquityInfoDto.repIsPledge','','','N','是否为质押融资要素不可为空','D','com.joyintech.tams.invest.common.ChbBaseCheckLib');</v>
      </c>
    </row>
    <row r="37" spans="1:12" s="18" customFormat="1" x14ac:dyDescent="0.15">
      <c r="A37" s="15" t="s">
        <v>587</v>
      </c>
      <c r="B37" s="15" t="s">
        <v>185</v>
      </c>
      <c r="C37" s="15" t="s">
        <v>11</v>
      </c>
      <c r="D37" s="17" t="s">
        <v>398</v>
      </c>
      <c r="E37" s="17" t="s">
        <v>12</v>
      </c>
      <c r="F37" s="20" t="s">
        <v>500</v>
      </c>
      <c r="G37" s="17" t="s">
        <v>24</v>
      </c>
      <c r="H37" s="17" t="s">
        <v>37</v>
      </c>
      <c r="I37" s="17" t="s">
        <v>531</v>
      </c>
      <c r="J37" s="17" t="s">
        <v>329</v>
      </c>
      <c r="K37" s="17" t="s">
        <v>599</v>
      </c>
      <c r="L37" s="17" t="str">
        <f t="shared" si="1"/>
        <v>insert into CHB_DATACHECK_RULE_INV values ('9f72f8e8-de6e-4eb4-a70d-0e3ebd7e86f4','FinBondTargetAsset002','inArray','bussRepEquityInfoDto.repIsPledge','==','N,01','Y','是否为质押融资不在值域范围内','D','com.joyintech.tams.invest.common.ChbBaseCheckLib');</v>
      </c>
    </row>
    <row r="38" spans="1:12" s="23" customFormat="1" x14ac:dyDescent="0.15">
      <c r="A38" s="15" t="s">
        <v>479</v>
      </c>
      <c r="B38" s="15" t="s">
        <v>185</v>
      </c>
      <c r="C38" s="17" t="s">
        <v>18</v>
      </c>
      <c r="D38" s="17" t="s">
        <v>510</v>
      </c>
      <c r="E38" s="17"/>
      <c r="F38" s="20"/>
      <c r="G38" s="17" t="s">
        <v>23</v>
      </c>
      <c r="H38" s="17" t="s">
        <v>401</v>
      </c>
      <c r="I38" s="17" t="s">
        <v>549</v>
      </c>
      <c r="J38" s="17" t="s">
        <v>409</v>
      </c>
      <c r="K38" s="17" t="s">
        <v>599</v>
      </c>
      <c r="L38" s="17" t="str">
        <f t="shared" si="1"/>
        <v>insert into CHB_DATACHECK_RULE_INV values ('3b71a727-421a-4a3a-bf8e-05f8a7782f55','FinBondTargetAsset002','isNotEmpty','bussRepEquityInfoDto.repPartyType1','','','N','企业类型（按规模划分）要素不可为空。','D','com.joyintech.tams.invest.common.ChbBaseCheckLib');</v>
      </c>
    </row>
    <row r="39" spans="1:12" s="23" customFormat="1" x14ac:dyDescent="0.15">
      <c r="A39" s="15" t="s">
        <v>550</v>
      </c>
      <c r="B39" s="15" t="s">
        <v>185</v>
      </c>
      <c r="C39" s="17" t="s">
        <v>20</v>
      </c>
      <c r="D39" s="17" t="s">
        <v>391</v>
      </c>
      <c r="E39" s="17" t="s">
        <v>12</v>
      </c>
      <c r="F39" s="20" t="s">
        <v>119</v>
      </c>
      <c r="G39" s="17" t="s">
        <v>24</v>
      </c>
      <c r="H39" s="17" t="s">
        <v>402</v>
      </c>
      <c r="I39" s="17" t="s">
        <v>13</v>
      </c>
      <c r="J39" s="17" t="s">
        <v>409</v>
      </c>
      <c r="K39" s="17" t="s">
        <v>599</v>
      </c>
      <c r="L39" s="17" t="str">
        <f t="shared" si="1"/>
        <v>insert into CHB_DATACHECK_RULE_INV values ('fbbfccd6-a957-40ba-8730-9de974827081','FinBondTargetAsset002','inDatadict','bussRepEquityInfoDto.repPartyType1','==','SVR_PARTY_TYPE1','Y','企业类型（按规模划分）不在值域范围内。','E','com.joyintech.tams.invest.common.ChbBaseCheckLib');</v>
      </c>
    </row>
    <row r="40" spans="1:12" s="18" customFormat="1" x14ac:dyDescent="0.15">
      <c r="A40" s="15" t="s">
        <v>563</v>
      </c>
      <c r="B40" s="15" t="s">
        <v>185</v>
      </c>
      <c r="C40" s="17" t="s">
        <v>18</v>
      </c>
      <c r="D40" s="17" t="s">
        <v>393</v>
      </c>
      <c r="E40" s="17"/>
      <c r="F40" s="20"/>
      <c r="G40" s="17" t="s">
        <v>23</v>
      </c>
      <c r="H40" s="17" t="s">
        <v>405</v>
      </c>
      <c r="I40" s="17" t="s">
        <v>531</v>
      </c>
      <c r="J40" s="17" t="s">
        <v>408</v>
      </c>
      <c r="K40" s="17" t="s">
        <v>599</v>
      </c>
      <c r="L40" s="17" t="str">
        <f t="shared" si="1"/>
        <v>insert into CHB_DATACHECK_RULE_INV values ('e79b89c0-7ac9-4bd4-9647-ef51f61b42c8','FinBondTargetAsset002','isNotEmpty','bussRepEquityInfoDto.repPartyType2','','','N','企业类型（按经济类型划分）要素不可为空。','D','com.joyintech.tams.invest.common.ChbBaseCheckLib');</v>
      </c>
    </row>
    <row r="41" spans="1:12" s="18" customFormat="1" x14ac:dyDescent="0.15">
      <c r="A41" s="15" t="s">
        <v>480</v>
      </c>
      <c r="B41" s="15" t="s">
        <v>529</v>
      </c>
      <c r="C41" s="17" t="s">
        <v>20</v>
      </c>
      <c r="D41" s="17" t="s">
        <v>393</v>
      </c>
      <c r="E41" s="17"/>
      <c r="F41" s="20" t="s">
        <v>120</v>
      </c>
      <c r="G41" s="17" t="s">
        <v>24</v>
      </c>
      <c r="H41" s="17" t="s">
        <v>406</v>
      </c>
      <c r="I41" s="17" t="s">
        <v>13</v>
      </c>
      <c r="J41" s="17" t="s">
        <v>408</v>
      </c>
      <c r="K41" s="17" t="s">
        <v>599</v>
      </c>
      <c r="L41" s="17" t="str">
        <f t="shared" si="1"/>
        <v>insert into CHB_DATACHECK_RULE_INV values ('ddfc3728-f92d-4d6d-b8cc-38977ff72984','FinBondTargetAsset002','inDatadict','bussRepEquityInfoDto.repPartyType2','','SVR_PARTY_TYPE2','Y','企业类型（按经济类型划分）不在值域范围内。','E','com.joyintech.tams.invest.common.ChbBaseCheckLib');</v>
      </c>
    </row>
    <row r="42" spans="1:12" s="18" customFormat="1" x14ac:dyDescent="0.15">
      <c r="A42" s="15" t="s">
        <v>481</v>
      </c>
      <c r="B42" s="15" t="s">
        <v>185</v>
      </c>
      <c r="C42" s="17" t="s">
        <v>18</v>
      </c>
      <c r="D42" s="17" t="s">
        <v>392</v>
      </c>
      <c r="E42" s="17"/>
      <c r="F42" s="20"/>
      <c r="G42" s="17" t="s">
        <v>23</v>
      </c>
      <c r="H42" s="17" t="s">
        <v>403</v>
      </c>
      <c r="I42" s="17" t="s">
        <v>531</v>
      </c>
      <c r="J42" s="17" t="s">
        <v>327</v>
      </c>
      <c r="K42" s="17" t="s">
        <v>599</v>
      </c>
      <c r="L42" s="17" t="str">
        <f t="shared" si="1"/>
        <v>insert into CHB_DATACHECK_RULE_INV values ('187ad201-7353-4dae-96f8-b1131bf1b4b9','FinBondTargetAsset002','isNotEmpty','bussRepEquityInfoDto.repPartyType3','','','N','企业类型（按技术领域划分）要素不可为空。','D','com.joyintech.tams.invest.common.ChbBaseCheckLib');</v>
      </c>
    </row>
    <row r="43" spans="1:12" s="18" customFormat="1" x14ac:dyDescent="0.15">
      <c r="A43" s="15" t="s">
        <v>482</v>
      </c>
      <c r="B43" s="15" t="s">
        <v>185</v>
      </c>
      <c r="C43" s="17" t="s">
        <v>20</v>
      </c>
      <c r="D43" s="17" t="s">
        <v>392</v>
      </c>
      <c r="E43" s="17"/>
      <c r="F43" s="20" t="s">
        <v>121</v>
      </c>
      <c r="G43" s="17" t="s">
        <v>24</v>
      </c>
      <c r="H43" s="17" t="s">
        <v>404</v>
      </c>
      <c r="I43" s="17" t="s">
        <v>13</v>
      </c>
      <c r="J43" s="17" t="s">
        <v>327</v>
      </c>
      <c r="K43" s="17" t="s">
        <v>599</v>
      </c>
      <c r="L43" s="17" t="str">
        <f t="shared" si="1"/>
        <v>insert into CHB_DATACHECK_RULE_INV values ('1f685a5c-1e8a-40b0-ac02-6b8d235f2dae','FinBondTargetAsset002','inDatadict','bussRepEquityInfoDto.repPartyType3','','SVR_PARTY_TYPE3','Y','企业类型（按技术领域划分）不在值域范围内。','E','com.joyintech.tams.invest.common.ChbBaseCheckLib');</v>
      </c>
    </row>
    <row r="44" spans="1:12" s="18" customFormat="1" x14ac:dyDescent="0.15">
      <c r="A44" s="15" t="s">
        <v>551</v>
      </c>
      <c r="B44" s="15" t="s">
        <v>185</v>
      </c>
      <c r="C44" s="17" t="s">
        <v>18</v>
      </c>
      <c r="D44" s="17" t="s">
        <v>7</v>
      </c>
      <c r="E44" s="17"/>
      <c r="F44" s="20">
        <v>0</v>
      </c>
      <c r="G44" s="17" t="s">
        <v>23</v>
      </c>
      <c r="H44" s="17" t="s">
        <v>26</v>
      </c>
      <c r="I44" s="17" t="s">
        <v>531</v>
      </c>
      <c r="J44" s="17" t="s">
        <v>337</v>
      </c>
      <c r="K44" s="17" t="s">
        <v>599</v>
      </c>
      <c r="L44" s="17" t="str">
        <f t="shared" si="1"/>
        <v>insert into CHB_DATACHECK_RULE_INV values ('a6fd2620-bb40-4047-bd72-8ae6c7adb685','FinBondTargetAsset002','isNotEmpty','bussRepEquityInfoDto.repRemark','','0','N','备注要素不可为空','D','com.joyintech.tams.invest.common.ChbBaseCheckLib');</v>
      </c>
    </row>
    <row r="45" spans="1:12" s="18" customFormat="1" x14ac:dyDescent="0.15">
      <c r="A45" s="15" t="s">
        <v>552</v>
      </c>
      <c r="B45" s="15" t="s">
        <v>185</v>
      </c>
      <c r="C45" s="17" t="s">
        <v>18</v>
      </c>
      <c r="D45" s="17" t="s">
        <v>7</v>
      </c>
      <c r="E45" s="17"/>
      <c r="F45" s="20">
        <v>0</v>
      </c>
      <c r="G45" s="17" t="s">
        <v>23</v>
      </c>
      <c r="H45" s="17" t="s">
        <v>26</v>
      </c>
      <c r="I45" s="17" t="s">
        <v>502</v>
      </c>
      <c r="J45" s="17" t="s">
        <v>337</v>
      </c>
      <c r="K45" s="17" t="s">
        <v>599</v>
      </c>
      <c r="L45" s="17" t="str">
        <f t="shared" si="1"/>
        <v>insert into CHB_DATACHECK_RULE_INV values ('ad13dd58-bbd2-43c2-a328-6c4b6b88693a','FinBondTargetAsset002','isNotEmpty','bussRepEquityInfoDto.repRemark','','0','N','备注要素不可为空','E','com.joyintech.tams.invest.common.ChbBaseCheckLib');</v>
      </c>
    </row>
    <row r="46" spans="1:12" s="18" customFormat="1" x14ac:dyDescent="0.15">
      <c r="A46" s="15" t="s">
        <v>483</v>
      </c>
      <c r="B46" s="15" t="s">
        <v>185</v>
      </c>
      <c r="C46" s="17" t="s">
        <v>18</v>
      </c>
      <c r="D46" s="17" t="s">
        <v>7</v>
      </c>
      <c r="E46" s="17"/>
      <c r="F46" s="20">
        <v>0</v>
      </c>
      <c r="G46" s="17" t="s">
        <v>23</v>
      </c>
      <c r="H46" s="17" t="s">
        <v>26</v>
      </c>
      <c r="I46" s="17" t="s">
        <v>13</v>
      </c>
      <c r="J46" s="17" t="s">
        <v>337</v>
      </c>
      <c r="K46" s="17" t="s">
        <v>599</v>
      </c>
      <c r="L46" s="17" t="str">
        <f t="shared" si="1"/>
        <v>insert into CHB_DATACHECK_RULE_INV values ('055d57b8-d300-4811-9a32-00f3a3200547','FinBondTargetAsset002','isNotEmpty','bussRepEquityInfoDto.repRemark','','0','N','备注要素不可为空','E','com.joyintech.tams.invest.common.ChbBaseCheckLib');</v>
      </c>
    </row>
    <row r="47" spans="1:12" s="18" customFormat="1" x14ac:dyDescent="0.15">
      <c r="A47" s="15" t="s">
        <v>484</v>
      </c>
      <c r="B47" s="15" t="s">
        <v>185</v>
      </c>
      <c r="C47" s="17" t="s">
        <v>18</v>
      </c>
      <c r="D47" s="17" t="s">
        <v>7</v>
      </c>
      <c r="E47" s="17"/>
      <c r="F47" s="20">
        <v>0</v>
      </c>
      <c r="G47" s="17" t="s">
        <v>23</v>
      </c>
      <c r="H47" s="17" t="s">
        <v>26</v>
      </c>
      <c r="I47" s="17" t="s">
        <v>13</v>
      </c>
      <c r="J47" s="17" t="s">
        <v>337</v>
      </c>
      <c r="K47" s="17" t="s">
        <v>599</v>
      </c>
      <c r="L47" s="17" t="str">
        <f t="shared" si="1"/>
        <v>insert into CHB_DATACHECK_RULE_INV values ('e2b0bccf-868d-4d46-aa43-483a2236a1f2','FinBondTargetAsset002','isNotEmpty','bussRepEquityInfoDto.repRemark','','0','N','备注要素不可为空','E','com.joyintech.tams.invest.common.ChbBaseCheckLib');</v>
      </c>
    </row>
    <row r="48" spans="1:12" s="18" customFormat="1" x14ac:dyDescent="0.15">
      <c r="A48" s="15" t="s">
        <v>485</v>
      </c>
      <c r="B48" s="15" t="s">
        <v>185</v>
      </c>
      <c r="C48" s="17" t="s">
        <v>18</v>
      </c>
      <c r="D48" s="17" t="s">
        <v>7</v>
      </c>
      <c r="E48" s="17"/>
      <c r="F48" s="20">
        <v>0</v>
      </c>
      <c r="G48" s="17" t="s">
        <v>23</v>
      </c>
      <c r="H48" s="17" t="s">
        <v>26</v>
      </c>
      <c r="I48" s="17" t="s">
        <v>528</v>
      </c>
      <c r="J48" s="17" t="s">
        <v>337</v>
      </c>
      <c r="K48" s="17" t="s">
        <v>599</v>
      </c>
      <c r="L48" s="17" t="str">
        <f t="shared" si="1"/>
        <v>insert into CHB_DATACHECK_RULE_INV values ('952d8ad8-c181-4e7e-b0a2-229183c7af07','FinBondTargetAsset002','isNotEmpty','bussRepEquityInfoDto.repRemark','','0','N','备注要素不可为空','E','com.joyintech.tams.invest.common.ChbBaseCheckLib');</v>
      </c>
    </row>
    <row r="49" spans="1:12" s="18" customFormat="1" x14ac:dyDescent="0.15">
      <c r="A49" s="15" t="s">
        <v>486</v>
      </c>
      <c r="B49" s="15" t="s">
        <v>185</v>
      </c>
      <c r="C49" s="17" t="s">
        <v>18</v>
      </c>
      <c r="D49" s="17" t="s">
        <v>7</v>
      </c>
      <c r="E49" s="17"/>
      <c r="F49" s="20">
        <v>0</v>
      </c>
      <c r="G49" s="17" t="s">
        <v>23</v>
      </c>
      <c r="H49" s="17" t="s">
        <v>26</v>
      </c>
      <c r="I49" s="17" t="s">
        <v>13</v>
      </c>
      <c r="J49" s="17" t="s">
        <v>337</v>
      </c>
      <c r="K49" s="17" t="s">
        <v>599</v>
      </c>
      <c r="L49" s="17" t="str">
        <f t="shared" si="1"/>
        <v>insert into CHB_DATACHECK_RULE_INV values ('ad57bed1-ad1c-4755-9b27-e73f1e0ebd77','FinBondTargetAsset002','isNotEmpty','bussRepEquityInfoDto.repRemark','','0','N','备注要素不可为空','E','com.joyintech.tams.invest.common.ChbBaseCheckLib');</v>
      </c>
    </row>
    <row r="50" spans="1:12" s="18" customFormat="1" x14ac:dyDescent="0.15">
      <c r="A50" s="15" t="s">
        <v>553</v>
      </c>
      <c r="B50" s="15" t="s">
        <v>185</v>
      </c>
      <c r="C50" s="17" t="s">
        <v>19</v>
      </c>
      <c r="D50" s="17" t="s">
        <v>7</v>
      </c>
      <c r="E50" s="17"/>
      <c r="F50" s="20">
        <v>257</v>
      </c>
      <c r="G50" s="17" t="s">
        <v>24</v>
      </c>
      <c r="H50" s="17" t="s">
        <v>27</v>
      </c>
      <c r="I50" s="17" t="s">
        <v>13</v>
      </c>
      <c r="J50" s="17" t="s">
        <v>337</v>
      </c>
      <c r="K50" s="17" t="s">
        <v>599</v>
      </c>
      <c r="L50" s="17" t="str">
        <f t="shared" si="1"/>
        <v>insert into CHB_DATACHECK_RULE_INV values ('cc98f035-9422-4e81-aa4a-acc1919b7fa7','FinBondTargetAsset002','lessThanCharLength','bussRepEquityInfoDto.repRemark','','257','Y','备注不能超过256字符','E','com.joyintech.tams.invest.common.ChbBaseCheckLib');</v>
      </c>
    </row>
    <row r="51" spans="1:12" s="18" customFormat="1" x14ac:dyDescent="0.15">
      <c r="A51" s="15" t="s">
        <v>487</v>
      </c>
      <c r="B51" s="15" t="s">
        <v>185</v>
      </c>
      <c r="C51" s="17" t="s">
        <v>14</v>
      </c>
      <c r="D51" s="17" t="s">
        <v>7</v>
      </c>
      <c r="E51" s="17"/>
      <c r="F51" s="20" t="s">
        <v>25</v>
      </c>
      <c r="G51" s="17" t="s">
        <v>24</v>
      </c>
      <c r="H51" s="17" t="s">
        <v>28</v>
      </c>
      <c r="I51" s="17" t="s">
        <v>13</v>
      </c>
      <c r="J51" s="17" t="s">
        <v>337</v>
      </c>
      <c r="K51" s="17" t="s">
        <v>599</v>
      </c>
      <c r="L51" s="17" t="str">
        <f t="shared" si="1"/>
        <v>insert into CHB_DATACHECK_RULE_INV values ('e71562fd-6297-43cf-bbef-5c93bd264d66','FinBondTargetAsset002','isCustomizedString','bussRepEquityInfoDt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52" spans="1:12" s="18" customFormat="1" ht="15" customHeight="1" x14ac:dyDescent="0.15">
      <c r="A52" s="15" t="s">
        <v>588</v>
      </c>
      <c r="B52" s="15" t="s">
        <v>185</v>
      </c>
      <c r="C52" s="17" t="s">
        <v>11</v>
      </c>
      <c r="D52" s="17" t="s">
        <v>351</v>
      </c>
      <c r="E52" s="17" t="s">
        <v>12</v>
      </c>
      <c r="F52" s="20" t="s">
        <v>500</v>
      </c>
      <c r="G52" s="17" t="s">
        <v>24</v>
      </c>
      <c r="H52" s="17" t="s">
        <v>356</v>
      </c>
      <c r="I52" s="17" t="s">
        <v>531</v>
      </c>
      <c r="J52" s="17" t="s">
        <v>554</v>
      </c>
      <c r="K52" s="17" t="s">
        <v>599</v>
      </c>
      <c r="L52" s="17" t="str">
        <f t="shared" si="1"/>
        <v>insert into CHB_DATACHECK_RULE_INV values ('c985a4d1-4653-41b5-9695-806a74f85515','FinBondTargetAsset002','inArray','bussRepEquityInfoDto.repDeptEquity','==','N,01','Y','是否为债转股要素不在值域范围内。','D','com.joyintech.tams.invest.common.ChbBaseCheckLib');</v>
      </c>
    </row>
    <row r="53" spans="1:12" s="18" customFormat="1" ht="15" customHeight="1" x14ac:dyDescent="0.15">
      <c r="A53" s="15" t="s">
        <v>589</v>
      </c>
      <c r="B53" s="15" t="s">
        <v>185</v>
      </c>
      <c r="C53" s="17" t="s">
        <v>18</v>
      </c>
      <c r="D53" s="17" t="s">
        <v>351</v>
      </c>
      <c r="E53" s="17"/>
      <c r="F53" s="20"/>
      <c r="G53" s="17" t="s">
        <v>23</v>
      </c>
      <c r="H53" s="17" t="s">
        <v>397</v>
      </c>
      <c r="I53" s="17" t="s">
        <v>531</v>
      </c>
      <c r="J53" s="17" t="s">
        <v>590</v>
      </c>
      <c r="K53" s="17" t="s">
        <v>599</v>
      </c>
      <c r="L53" s="17" t="str">
        <f t="shared" si="1"/>
        <v>insert into CHB_DATACHECK_RULE_INV values ('60da512f-aeed-43f9-8517-738eccdea871','FinBondTargetAsset002','isNotEmpty','bussRepEquityInfoDto.repDeptEquity','','','N','是否为债转股要素不能为空。','D','com.joyintech.tams.invest.common.ChbBaseCheckLib');</v>
      </c>
    </row>
    <row r="54" spans="1:12" s="18" customFormat="1" x14ac:dyDescent="0.15">
      <c r="A54" s="15" t="s">
        <v>567</v>
      </c>
      <c r="B54" s="15" t="s">
        <v>185</v>
      </c>
      <c r="C54" s="17" t="s">
        <v>18</v>
      </c>
      <c r="D54" s="17" t="s">
        <v>350</v>
      </c>
      <c r="E54" s="17"/>
      <c r="F54" s="20"/>
      <c r="G54" s="17" t="s">
        <v>23</v>
      </c>
      <c r="H54" s="17" t="s">
        <v>396</v>
      </c>
      <c r="I54" s="17" t="s">
        <v>568</v>
      </c>
      <c r="J54" s="17" t="s">
        <v>492</v>
      </c>
      <c r="K54" s="17" t="s">
        <v>599</v>
      </c>
      <c r="L54" s="17" t="str">
        <f t="shared" si="1"/>
        <v>insert into CHB_DATACHECK_RULE_INV values ('636c51b3-bde8-4980-8808-ca7ae6d20593','FinBondTargetAsset002','isNotEmpty','bussRepEquityInfoDto.repEquityQuit','','','N','股权退出安排要素不可为空。','D','com.joyintech.tams.invest.common.ChbBaseCheckLib');</v>
      </c>
    </row>
    <row r="55" spans="1:12" s="18" customFormat="1" x14ac:dyDescent="0.15">
      <c r="A55" s="15" t="s">
        <v>488</v>
      </c>
      <c r="B55" s="15" t="s">
        <v>185</v>
      </c>
      <c r="C55" s="17" t="s">
        <v>347</v>
      </c>
      <c r="D55" s="17" t="s">
        <v>350</v>
      </c>
      <c r="E55" s="17"/>
      <c r="F55" s="20" t="s">
        <v>353</v>
      </c>
      <c r="G55" s="17" t="s">
        <v>24</v>
      </c>
      <c r="H55" s="17" t="s">
        <v>355</v>
      </c>
      <c r="I55" s="17" t="s">
        <v>13</v>
      </c>
      <c r="J55" s="17" t="s">
        <v>492</v>
      </c>
      <c r="K55" s="17" t="s">
        <v>599</v>
      </c>
      <c r="L55" s="17" t="str">
        <f t="shared" si="1"/>
        <v>insert into CHB_DATACHECK_RULE_INV values ('7bf9b641-1c62-4dc8-b4da-08c6735072dc','FinBondTargetAsset002','isValidDate','bussRepEquityInfoDto.repEquityQuit','','yyyy-MM-dd','Y','股权退出安排必须为日期格式（YYYY-MM-DD）。','E','com.joyintech.tams.invest.common.ChbBaseCheckLib');</v>
      </c>
    </row>
    <row r="56" spans="1:12" s="18" customFormat="1" x14ac:dyDescent="0.15">
      <c r="A56" s="15" t="s">
        <v>555</v>
      </c>
      <c r="B56" s="15" t="s">
        <v>185</v>
      </c>
      <c r="C56" s="17" t="s">
        <v>18</v>
      </c>
      <c r="D56" s="17" t="s">
        <v>349</v>
      </c>
      <c r="E56" s="17"/>
      <c r="F56" s="20"/>
      <c r="G56" s="17" t="s">
        <v>23</v>
      </c>
      <c r="H56" s="17" t="s">
        <v>399</v>
      </c>
      <c r="I56" s="17" t="s">
        <v>556</v>
      </c>
      <c r="J56" s="17" t="s">
        <v>493</v>
      </c>
      <c r="K56" s="17" t="s">
        <v>599</v>
      </c>
      <c r="L56" s="17" t="str">
        <f t="shared" si="1"/>
        <v>insert into CHB_DATACHECK_RULE_INV values ('6542fcf4-8ef3-445d-be1e-befe58f98787','FinBondTargetAsset002','isNotEmpty','bussRepEquityInfoDto.repSharesType','','','N','股票类型要素不可为空','D','com.joyintech.tams.invest.common.ChbBaseCheckLib');</v>
      </c>
    </row>
    <row r="57" spans="1:12" s="23" customFormat="1" x14ac:dyDescent="0.15">
      <c r="A57" s="15" t="s">
        <v>557</v>
      </c>
      <c r="B57" s="15" t="s">
        <v>185</v>
      </c>
      <c r="C57" s="17" t="s">
        <v>20</v>
      </c>
      <c r="D57" s="17" t="s">
        <v>349</v>
      </c>
      <c r="E57" s="17" t="s">
        <v>12</v>
      </c>
      <c r="F57" s="20" t="s">
        <v>352</v>
      </c>
      <c r="G57" s="17" t="s">
        <v>24</v>
      </c>
      <c r="H57" s="17" t="s">
        <v>34</v>
      </c>
      <c r="I57" s="17" t="s">
        <v>13</v>
      </c>
      <c r="J57" s="17" t="s">
        <v>493</v>
      </c>
      <c r="K57" s="17" t="s">
        <v>599</v>
      </c>
      <c r="L57" s="17" t="str">
        <f t="shared" si="1"/>
        <v>insert into CHB_DATACHECK_RULE_INV values ('aed937ac-9344-496d-98ba-d6a6f4687cbc','FinBondTargetAsset002','inDatadict','bussRepEquityInfoDto.repSharesType','==','SVR_SHARES_TYPE','Y','股票类型不在值域范围内','E','com.joyintech.tams.invest.common.ChbBaseCheckLib');</v>
      </c>
    </row>
    <row r="58" spans="1:12" s="18" customFormat="1" x14ac:dyDescent="0.15">
      <c r="A58" s="15" t="s">
        <v>558</v>
      </c>
      <c r="B58" s="15" t="s">
        <v>185</v>
      </c>
      <c r="C58" s="17" t="s">
        <v>18</v>
      </c>
      <c r="D58" s="17" t="s">
        <v>22</v>
      </c>
      <c r="E58" s="17"/>
      <c r="F58" s="20"/>
      <c r="G58" s="17" t="s">
        <v>23</v>
      </c>
      <c r="H58" s="17" t="s">
        <v>29</v>
      </c>
      <c r="I58" s="17" t="s">
        <v>531</v>
      </c>
      <c r="J58" s="17" t="s">
        <v>494</v>
      </c>
      <c r="K58" s="17" t="s">
        <v>599</v>
      </c>
      <c r="L58" s="17" t="str">
        <f t="shared" si="1"/>
        <v>insert into CHB_DATACHECK_RULE_INV values ('487bc868-722c-4829-8f1f-763e69f7b028','FinBondTargetAsset002','isNotEmpty','bussRepEquityInfoDto.repTradeMarket','','','N','交易流通场所要素必填','D','com.joyintech.tams.invest.common.ChbBaseCheckLib');</v>
      </c>
    </row>
    <row r="59" spans="1:12" s="18" customFormat="1" x14ac:dyDescent="0.15">
      <c r="A59" s="15" t="s">
        <v>559</v>
      </c>
      <c r="B59" s="15" t="s">
        <v>185</v>
      </c>
      <c r="C59" s="17" t="s">
        <v>20</v>
      </c>
      <c r="D59" s="17" t="s">
        <v>22</v>
      </c>
      <c r="E59" s="17" t="s">
        <v>12</v>
      </c>
      <c r="F59" s="20" t="s">
        <v>30</v>
      </c>
      <c r="G59" s="17" t="s">
        <v>24</v>
      </c>
      <c r="H59" s="17" t="s">
        <v>17</v>
      </c>
      <c r="I59" s="17" t="s">
        <v>13</v>
      </c>
      <c r="J59" s="17" t="s">
        <v>494</v>
      </c>
      <c r="K59" s="17" t="s">
        <v>599</v>
      </c>
      <c r="L59" s="17" t="str">
        <f t="shared" si="1"/>
        <v>insert into CHB_DATACHECK_RULE_INV values ('5545a772-5ad0-4b0a-9c82-c19837501fa4','FinBondTargetAsset002','inDatadict','bussRepEquityInfoDto.repTradeMarket','==','SVR_TRADE_MARKET','Y','交易流通场所不在值域范围内','E','com.joyintech.tams.invest.common.ChbBaseCheckLib');</v>
      </c>
    </row>
    <row r="60" spans="1:12" s="18" customFormat="1" x14ac:dyDescent="0.15">
      <c r="A60" s="15" t="s">
        <v>581</v>
      </c>
      <c r="B60" s="15" t="s">
        <v>185</v>
      </c>
      <c r="C60" s="17" t="s">
        <v>573</v>
      </c>
      <c r="D60" s="17" t="s">
        <v>395</v>
      </c>
      <c r="E60" s="17"/>
      <c r="F60" s="20" t="s">
        <v>574</v>
      </c>
      <c r="G60" s="17" t="s">
        <v>23</v>
      </c>
      <c r="H60" s="17" t="s">
        <v>575</v>
      </c>
      <c r="I60" s="17" t="s">
        <v>618</v>
      </c>
      <c r="J60" s="17" t="s">
        <v>410</v>
      </c>
      <c r="K60" s="17" t="s">
        <v>599</v>
      </c>
      <c r="L60" s="17" t="str">
        <f t="shared" si="1"/>
        <v>insert into CHB_DATACHECK_RULE_INV values ('64c6c8a1-71f6-48f7-877f-4cd090d59b01','FinBondTargetAsset002','isCustomizedString','finprodMarketId','','^[0-9a-zA-Z]{1,}.[A-Z]{2,3}$','N','资产代码要素格式不对。正确的格式为：XXXXX.XXX(2位或3位)','D','com.joyintech.tams.invest.common.ChbBaseCheckLib');</v>
      </c>
    </row>
    <row r="61" spans="1:12" s="18" customFormat="1" x14ac:dyDescent="0.15">
      <c r="A61" s="15" t="s">
        <v>560</v>
      </c>
      <c r="B61" s="15" t="s">
        <v>185</v>
      </c>
      <c r="C61" s="17" t="s">
        <v>19</v>
      </c>
      <c r="D61" s="17" t="s">
        <v>395</v>
      </c>
      <c r="E61" s="17"/>
      <c r="F61" s="20">
        <v>16</v>
      </c>
      <c r="G61" s="17" t="s">
        <v>24</v>
      </c>
      <c r="H61" s="17" t="s">
        <v>610</v>
      </c>
      <c r="I61" s="17" t="s">
        <v>13</v>
      </c>
      <c r="J61" s="17" t="s">
        <v>410</v>
      </c>
      <c r="K61" s="17" t="s">
        <v>599</v>
      </c>
      <c r="L61" s="17" t="str">
        <f t="shared" si="1"/>
        <v>insert into CHB_DATACHECK_RULE_INV values ('443a81a3-fe1a-4091-96c4-838955108a7f','FinBondTargetAsset002','lessThanCharLength','finprodMarketId','','16','Y','资产代码过长（最大15字节）。','E','com.joyintech.tams.invest.common.ChbBaseCheckLib');</v>
      </c>
    </row>
    <row r="62" spans="1:12" s="18" customFormat="1" x14ac:dyDescent="0.15">
      <c r="A62" s="15" t="s">
        <v>569</v>
      </c>
      <c r="B62" s="15" t="s">
        <v>185</v>
      </c>
      <c r="C62" s="17" t="s">
        <v>347</v>
      </c>
      <c r="D62" s="17" t="s">
        <v>394</v>
      </c>
      <c r="E62" s="17" t="s">
        <v>12</v>
      </c>
      <c r="F62" s="20" t="s">
        <v>353</v>
      </c>
      <c r="G62" s="17" t="s">
        <v>24</v>
      </c>
      <c r="H62" s="17" t="s">
        <v>611</v>
      </c>
      <c r="I62" s="17" t="s">
        <v>561</v>
      </c>
      <c r="J62" s="17" t="s">
        <v>411</v>
      </c>
      <c r="K62" s="17" t="s">
        <v>599</v>
      </c>
      <c r="L62" s="17" t="str">
        <f t="shared" si="1"/>
        <v>insert into CHB_DATACHECK_RULE_INV values ('3fc4b95e-4469-4d07-b872-81386638951d','FinBondTargetAsset002','isValidDate','mdate','==','yyyy-MM-dd','Y','到期日要素必填且必须为日期格式（YYYY-MM-DD）。','D','com.joyintech.tams.invest.common.ChbBaseCheckLib');</v>
      </c>
    </row>
    <row r="63" spans="1:12" s="18" customFormat="1" x14ac:dyDescent="0.15">
      <c r="A63" s="15" t="s">
        <v>576</v>
      </c>
      <c r="B63" s="15" t="s">
        <v>185</v>
      </c>
      <c r="C63" s="17" t="s">
        <v>19</v>
      </c>
      <c r="D63" s="17" t="s">
        <v>112</v>
      </c>
      <c r="E63" s="20"/>
      <c r="F63" s="17">
        <v>257</v>
      </c>
      <c r="G63" s="17" t="s">
        <v>23</v>
      </c>
      <c r="H63" s="17" t="s">
        <v>612</v>
      </c>
      <c r="I63" s="17" t="s">
        <v>13</v>
      </c>
      <c r="J63" s="17" t="s">
        <v>412</v>
      </c>
      <c r="K63" s="17" t="s">
        <v>599</v>
      </c>
      <c r="L63" s="17" t="str">
        <f t="shared" si="1"/>
        <v>insert into CHB_DATACHECK_RULE_INV values ('55e3fe90-cdc7-49f0-aad1-234faaadf3ff','FinBondTargetAsset002','lessThanCharLength','bussFinBondRepInfoDto.repRegistorgComment','','257','N','登记托管机构说明要素不可为空且不可过长','E','com.joyintech.tams.invest.common.ChbBaseCheckLib');</v>
      </c>
    </row>
    <row r="64" spans="1:12" s="18" customFormat="1" x14ac:dyDescent="0.15">
      <c r="A64" s="17" t="s">
        <v>597</v>
      </c>
      <c r="B64" s="15" t="s">
        <v>185</v>
      </c>
      <c r="C64" s="17" t="s">
        <v>18</v>
      </c>
      <c r="D64" s="17" t="s">
        <v>582</v>
      </c>
      <c r="E64" s="17"/>
      <c r="F64" s="20"/>
      <c r="G64" s="17" t="s">
        <v>23</v>
      </c>
      <c r="H64" s="17" t="s">
        <v>613</v>
      </c>
      <c r="I64" s="17" t="s">
        <v>584</v>
      </c>
      <c r="J64" s="17" t="s">
        <v>585</v>
      </c>
      <c r="K64" s="17" t="s">
        <v>599</v>
      </c>
      <c r="L64" s="17" t="str">
        <f t="shared" si="1"/>
        <v>insert into CHB_DATACHECK_RULE_INV values ('B4D4ACB1-4DA7-14B5-E053-045AA8C0F0EF','FinBondTargetAsset002','isNotEmpty','bussRepEquityInfoDto.repIndustryLevel2','','','N','行业二级不可为空','E','com.joyintech.tams.invest.common.ChbBaseCheckLib');</v>
      </c>
    </row>
    <row r="65" spans="1:12" s="18" customFormat="1" x14ac:dyDescent="0.15">
      <c r="A65" s="15" t="s">
        <v>491</v>
      </c>
      <c r="B65" s="15" t="s">
        <v>185</v>
      </c>
      <c r="C65" s="17" t="s">
        <v>603</v>
      </c>
      <c r="D65" s="17" t="s">
        <v>311</v>
      </c>
      <c r="E65" s="17"/>
      <c r="F65" s="20"/>
      <c r="G65" s="17" t="s">
        <v>23</v>
      </c>
      <c r="H65" s="17" t="s">
        <v>614</v>
      </c>
      <c r="I65" s="17" t="s">
        <v>531</v>
      </c>
      <c r="J65" s="17" t="s">
        <v>600</v>
      </c>
      <c r="K65" s="17" t="s">
        <v>599</v>
      </c>
      <c r="L65" s="17" t="str">
        <f t="shared" ref="L65:L74" si="2">CONCATENATE("insert into CHB_DATACHECK_RULE_INV values ('",A65,"','",B65,"','",C65,"','",J65,"','",E65,"','",F65,"','",G65,"','",H65,"','",I65,"','",K65,"');")</f>
        <v>insert into CHB_DATACHECK_RULE_INV values ('29b188c5-3c7c-4ed6-8d51-972236e57005','FinBondTargetAsset002','isNotEmpty','finprodName','','','N','资产名称不可为空。','D','com.joyintech.tams.invest.common.ChbBaseCheckLib');</v>
      </c>
    </row>
    <row r="66" spans="1:12" s="18" customFormat="1" x14ac:dyDescent="0.15">
      <c r="A66" s="15" t="s">
        <v>604</v>
      </c>
      <c r="B66" s="15" t="s">
        <v>185</v>
      </c>
      <c r="C66" s="17" t="s">
        <v>14</v>
      </c>
      <c r="D66" s="17" t="s">
        <v>311</v>
      </c>
      <c r="E66" s="17"/>
      <c r="F66" s="20" t="s">
        <v>25</v>
      </c>
      <c r="G66" s="17" t="s">
        <v>24</v>
      </c>
      <c r="H66" s="17" t="s">
        <v>615</v>
      </c>
      <c r="I66" s="17" t="s">
        <v>13</v>
      </c>
      <c r="J66" s="17" t="s">
        <v>600</v>
      </c>
      <c r="K66" s="17" t="s">
        <v>599</v>
      </c>
      <c r="L66" s="17" t="str">
        <f t="shared" si="2"/>
        <v>insert into CHB_DATACHECK_RULE_INV values ('d4d88925-e5f2-4618-adb4-a6535a33f221','FinBondTargetAsset002','isCustomizedString','finprod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产名称必须填写白名单中的文字。','E','com.joyintech.tams.invest.common.ChbBaseCheckLib');</v>
      </c>
    </row>
    <row r="67" spans="1:12" s="18" customFormat="1" x14ac:dyDescent="0.15">
      <c r="A67" s="15" t="s">
        <v>605</v>
      </c>
      <c r="B67" s="15" t="s">
        <v>185</v>
      </c>
      <c r="C67" s="17" t="s">
        <v>606</v>
      </c>
      <c r="D67" s="17" t="s">
        <v>311</v>
      </c>
      <c r="E67" s="17"/>
      <c r="F67" s="20" t="s">
        <v>607</v>
      </c>
      <c r="G67" s="17" t="s">
        <v>24</v>
      </c>
      <c r="H67" s="17" t="s">
        <v>616</v>
      </c>
      <c r="I67" s="17" t="s">
        <v>608</v>
      </c>
      <c r="J67" s="17" t="s">
        <v>600</v>
      </c>
      <c r="K67" s="17" t="s">
        <v>599</v>
      </c>
      <c r="L67" s="17" t="str">
        <f t="shared" si="2"/>
        <v>insert into CHB_DATACHECK_RULE_INV values ('284807E5-DF28-D920-E060-007F0100ZY19','FinBondTargetAsset002','lessThanCharLength','finprodName','','201','Y','资产名称不能过长。','E','com.joyintech.tams.invest.common.ChbBaseCheckLib');</v>
      </c>
    </row>
    <row r="68" spans="1:12" s="18" customFormat="1" x14ac:dyDescent="0.15">
      <c r="A68" s="15" t="s">
        <v>609</v>
      </c>
      <c r="B68" s="15" t="s">
        <v>185</v>
      </c>
      <c r="C68" s="17" t="s">
        <v>14</v>
      </c>
      <c r="D68" s="17" t="s">
        <v>601</v>
      </c>
      <c r="E68" s="17"/>
      <c r="F68" s="20" t="s">
        <v>602</v>
      </c>
      <c r="G68" s="17" t="s">
        <v>24</v>
      </c>
      <c r="H68" s="17" t="s">
        <v>617</v>
      </c>
      <c r="I68" s="17" t="s">
        <v>13</v>
      </c>
      <c r="J68" s="17" t="s">
        <v>410</v>
      </c>
      <c r="K68" s="17" t="s">
        <v>599</v>
      </c>
      <c r="L68" s="17" t="str">
        <f t="shared" si="2"/>
        <v>insert into CHB_DATACHECK_RULE_INV values ('284807E5-DF28-D920-E060-007F0100ZY20','FinBondTargetAsset002','isCustomizedString','finprodMarketId','','^[\u0020-\u0026-\u0028-\u007B-\u007D-\u007E-\u2000-\u2040-\u2160-\u216B-\u3000-\u301F-\uFF00-\uFF65-\uFFE0-\uFFEF]{0,}$','Y','资产代码只能含有白名单内的阿拉伯数字，英文字母，半角符号，全角符号。','E','com.joyintech.tams.invest.common.ChbBaseCheckLib');</v>
      </c>
    </row>
    <row r="69" spans="1:12" s="18" customFormat="1" x14ac:dyDescent="0.15">
      <c r="A69" s="15" t="s">
        <v>634</v>
      </c>
      <c r="B69" s="15" t="s">
        <v>185</v>
      </c>
      <c r="C69" s="17" t="s">
        <v>18</v>
      </c>
      <c r="D69" s="17"/>
      <c r="E69" s="17"/>
      <c r="F69" s="20"/>
      <c r="G69" s="17" t="s">
        <v>23</v>
      </c>
      <c r="H69" s="17" t="s">
        <v>635</v>
      </c>
      <c r="I69" s="17" t="s">
        <v>531</v>
      </c>
      <c r="J69" s="17" t="s">
        <v>65</v>
      </c>
      <c r="K69" s="17" t="s">
        <v>599</v>
      </c>
      <c r="L69" s="17" t="str">
        <f t="shared" si="2"/>
        <v>insert into CHB_DATACHECK_RULE_INV values ('284807E5-DF28-D920-E060-007F0100ZY25','FinBondTargetAsset002','isNotEmpty','issueType','','','N','发行方式不可为空。','D','com.joyintech.tams.invest.common.ChbBaseCheckLib');</v>
      </c>
    </row>
    <row r="70" spans="1:12" s="18" customFormat="1" x14ac:dyDescent="0.15">
      <c r="A70" s="15" t="s">
        <v>657</v>
      </c>
      <c r="B70" s="15" t="s">
        <v>185</v>
      </c>
      <c r="C70" s="17" t="s">
        <v>18</v>
      </c>
      <c r="D70" s="17"/>
      <c r="E70" s="17"/>
      <c r="F70" s="20"/>
      <c r="G70" s="17" t="s">
        <v>23</v>
      </c>
      <c r="H70" s="17" t="s">
        <v>637</v>
      </c>
      <c r="I70" s="17" t="s">
        <v>531</v>
      </c>
      <c r="J70" s="17" t="s">
        <v>496</v>
      </c>
      <c r="K70" s="17" t="s">
        <v>599</v>
      </c>
      <c r="L70" s="17" t="str">
        <f t="shared" si="2"/>
        <v>insert into CHB_DATACHECK_RULE_INV values ('284807E5-DF28-D920-E060-007F0100ZY26','FinBondTargetAsset002','isNotEmpty','bussFinBondRepInfoDto.repPartyType1','','','N','发行机构类型（按规模划分）要素不可为空','D','com.joyintech.tams.invest.common.ChbBaseCheckLib');</v>
      </c>
    </row>
    <row r="71" spans="1:12" s="18" customFormat="1" x14ac:dyDescent="0.15">
      <c r="A71" s="15" t="s">
        <v>658</v>
      </c>
      <c r="B71" s="15" t="s">
        <v>185</v>
      </c>
      <c r="C71" s="17" t="s">
        <v>515</v>
      </c>
      <c r="D71" s="17"/>
      <c r="E71" s="17"/>
      <c r="F71" s="20"/>
      <c r="G71" s="17" t="s">
        <v>516</v>
      </c>
      <c r="H71" s="17" t="s">
        <v>639</v>
      </c>
      <c r="I71" s="17" t="s">
        <v>531</v>
      </c>
      <c r="J71" s="17" t="s">
        <v>55</v>
      </c>
      <c r="K71" s="17" t="s">
        <v>599</v>
      </c>
      <c r="L71" s="17" t="str">
        <f t="shared" si="2"/>
        <v>insert into CHB_DATACHECK_RULE_INV values ('284807E5-DF28-D920-E060-007F0100ZY27','FinBondTargetAsset002','isNotEmpty','bussFinBondRepInfoDto.repPartyType3','','','N','发行机构类型（按技术领域划分）要素不可为空','D','com.joyintech.tams.invest.common.ChbBaseCheckLib');</v>
      </c>
    </row>
    <row r="72" spans="1:12" s="18" customFormat="1" x14ac:dyDescent="0.15">
      <c r="A72" s="15" t="s">
        <v>659</v>
      </c>
      <c r="B72" s="15" t="s">
        <v>185</v>
      </c>
      <c r="C72" s="17" t="s">
        <v>515</v>
      </c>
      <c r="D72" s="17"/>
      <c r="E72" s="17"/>
      <c r="F72" s="20"/>
      <c r="G72" s="17" t="s">
        <v>23</v>
      </c>
      <c r="H72" s="17" t="s">
        <v>660</v>
      </c>
      <c r="I72" s="17" t="s">
        <v>531</v>
      </c>
      <c r="J72" s="17" t="s">
        <v>53</v>
      </c>
      <c r="K72" s="17" t="s">
        <v>599</v>
      </c>
      <c r="L72" s="17" t="str">
        <f t="shared" si="2"/>
        <v>insert into CHB_DATACHECK_RULE_INV values ('284807E5-DF28-D920-E060-007F0100ZY28','FinBondTargetAsset002','isNotEmpty','bussFinBondRepInfoDto.repPartyType2','','','N','发行机构类型（按经济类型划分）要素不可为空','D','com.joyintech.tams.invest.common.ChbBaseCheckLib');</v>
      </c>
    </row>
    <row r="73" spans="1:12" s="18" customFormat="1" x14ac:dyDescent="0.15">
      <c r="A73" s="15" t="s">
        <v>641</v>
      </c>
      <c r="B73" s="15" t="s">
        <v>185</v>
      </c>
      <c r="C73" s="17" t="s">
        <v>515</v>
      </c>
      <c r="D73" s="17"/>
      <c r="E73" s="17"/>
      <c r="F73" s="20"/>
      <c r="G73" s="17" t="s">
        <v>23</v>
      </c>
      <c r="H73" s="17" t="s">
        <v>642</v>
      </c>
      <c r="I73" s="17" t="s">
        <v>531</v>
      </c>
      <c r="J73" s="17" t="s">
        <v>188</v>
      </c>
      <c r="K73" s="17" t="s">
        <v>599</v>
      </c>
      <c r="L73" s="17" t="str">
        <f t="shared" si="2"/>
        <v>insert into CHB_DATACHECK_RULE_INV values ('284807E5-DF28-D920-E060-007F0100ZY29','FinBondTargetAsset002','isNotEmpty','bussFinBondRepInfoDto.repIndustryLevel2','','','N','发行机构所属行业要素不可为空','D','com.joyintech.tams.invest.common.ChbBaseCheckLib');</v>
      </c>
    </row>
    <row r="74" spans="1:12" s="18" customFormat="1" x14ac:dyDescent="0.15">
      <c r="A74" s="15" t="s">
        <v>643</v>
      </c>
      <c r="B74" s="15" t="s">
        <v>185</v>
      </c>
      <c r="C74" s="17" t="s">
        <v>19</v>
      </c>
      <c r="D74" s="17" t="s">
        <v>395</v>
      </c>
      <c r="E74" s="17"/>
      <c r="F74" s="20" t="s">
        <v>644</v>
      </c>
      <c r="G74" s="17" t="s">
        <v>24</v>
      </c>
      <c r="H74" s="17" t="s">
        <v>645</v>
      </c>
      <c r="I74" s="17" t="s">
        <v>13</v>
      </c>
      <c r="J74" s="17" t="s">
        <v>410</v>
      </c>
      <c r="K74" s="17" t="s">
        <v>599</v>
      </c>
      <c r="L74" s="17" t="str">
        <f t="shared" si="2"/>
        <v>insert into CHB_DATACHECK_RULE_INV values ('284807E5-DF28-D920-E060-007F0100ZY30','FinBondTargetAsset002','lessThanCharLength','finprodMarketId','','21','Y','资产代码过长（最大20字节）。','E','com.joyintech.tams.invest.common.ChbBaseCheckLib');</v>
      </c>
    </row>
    <row r="75" spans="1:12" s="33" customFormat="1" x14ac:dyDescent="0.15">
      <c r="A75" s="30" t="s">
        <v>717</v>
      </c>
      <c r="B75" s="30" t="s">
        <v>185</v>
      </c>
      <c r="C75" s="30" t="s">
        <v>18</v>
      </c>
      <c r="D75" s="30"/>
      <c r="E75" s="30"/>
      <c r="F75" s="31"/>
      <c r="G75" s="30" t="s">
        <v>23</v>
      </c>
      <c r="H75" s="30" t="s">
        <v>718</v>
      </c>
      <c r="I75" s="30" t="s">
        <v>531</v>
      </c>
      <c r="J75" s="30" t="s">
        <v>192</v>
      </c>
      <c r="K75" s="32" t="s">
        <v>599</v>
      </c>
      <c r="L75" s="33" t="s">
        <v>719</v>
      </c>
    </row>
  </sheetData>
  <autoFilter ref="A1:L1"/>
  <sortState ref="A2:L92">
    <sortCondition ref="J52"/>
  </sortState>
  <phoneticPr fontId="2" type="noConversion"/>
  <conditionalFormatting sqref="A75:A1048576 A64 A1">
    <cfRule type="duplicateValues" dxfId="35" priority="97"/>
    <cfRule type="duplicateValues" dxfId="34" priority="98"/>
  </conditionalFormatting>
  <conditionalFormatting sqref="A32">
    <cfRule type="duplicateValues" dxfId="33" priority="29"/>
    <cfRule type="duplicateValues" dxfId="32" priority="30"/>
  </conditionalFormatting>
  <conditionalFormatting sqref="A4">
    <cfRule type="duplicateValues" dxfId="31" priority="27"/>
    <cfRule type="duplicateValues" dxfId="30" priority="28"/>
  </conditionalFormatting>
  <conditionalFormatting sqref="A30:A31">
    <cfRule type="duplicateValues" dxfId="29" priority="205"/>
    <cfRule type="duplicateValues" dxfId="28" priority="206"/>
  </conditionalFormatting>
  <conditionalFormatting sqref="A63">
    <cfRule type="duplicateValues" dxfId="27" priority="25"/>
    <cfRule type="duplicateValues" dxfId="26" priority="26"/>
  </conditionalFormatting>
  <conditionalFormatting sqref="A52">
    <cfRule type="duplicateValues" dxfId="25" priority="19"/>
    <cfRule type="duplicateValues" dxfId="24" priority="20"/>
  </conditionalFormatting>
  <conditionalFormatting sqref="A53">
    <cfRule type="duplicateValues" dxfId="23" priority="17"/>
    <cfRule type="duplicateValues" dxfId="22" priority="18"/>
  </conditionalFormatting>
  <conditionalFormatting sqref="A33:A51 A54:A62">
    <cfRule type="duplicateValues" dxfId="21" priority="211"/>
    <cfRule type="duplicateValues" dxfId="20" priority="212"/>
  </conditionalFormatting>
  <conditionalFormatting sqref="A65:A68">
    <cfRule type="duplicateValues" dxfId="19" priority="15"/>
    <cfRule type="duplicateValues" dxfId="18" priority="16"/>
  </conditionalFormatting>
  <conditionalFormatting sqref="A2:A32">
    <cfRule type="duplicateValues" dxfId="17" priority="217"/>
    <cfRule type="duplicateValues" dxfId="16" priority="218"/>
  </conditionalFormatting>
  <conditionalFormatting sqref="A69:A74">
    <cfRule type="duplicateValues" dxfId="15" priority="1"/>
    <cfRule type="duplicateValues" dxfId="14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0"/>
  <sheetViews>
    <sheetView topLeftCell="C1" workbookViewId="0">
      <selection activeCell="A13" sqref="A13:XFD13"/>
    </sheetView>
  </sheetViews>
  <sheetFormatPr defaultRowHeight="13.5" x14ac:dyDescent="0.15"/>
  <cols>
    <col min="1" max="1" width="37.625" style="6" customWidth="1"/>
    <col min="2" max="2" width="38.375" style="6" customWidth="1"/>
    <col min="3" max="3" width="19.125" style="6" customWidth="1"/>
    <col min="4" max="4" width="16.875" style="6" customWidth="1"/>
    <col min="5" max="5" width="15.5" style="6" customWidth="1"/>
    <col min="6" max="6" width="30.125" style="6" customWidth="1"/>
    <col min="7" max="7" width="37.875" style="6" customWidth="1"/>
    <col min="8" max="8" width="11.75" style="6" customWidth="1"/>
    <col min="9" max="9" width="31.625" style="7" customWidth="1"/>
    <col min="10" max="16384" width="9" style="7"/>
  </cols>
  <sheetData>
    <row r="1" spans="1:10" s="14" customFormat="1" x14ac:dyDescent="0.15">
      <c r="A1" s="10" t="s">
        <v>10</v>
      </c>
      <c r="B1" s="10" t="s">
        <v>0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7</v>
      </c>
      <c r="H1" s="10" t="s">
        <v>8</v>
      </c>
      <c r="I1" s="12" t="s">
        <v>43</v>
      </c>
      <c r="J1" s="13" t="s">
        <v>191</v>
      </c>
    </row>
    <row r="2" spans="1:10" s="19" customFormat="1" x14ac:dyDescent="0.15">
      <c r="A2" s="15" t="s">
        <v>447</v>
      </c>
      <c r="B2" s="15" t="s">
        <v>470</v>
      </c>
      <c r="C2" s="15" t="s">
        <v>31</v>
      </c>
      <c r="D2" s="15" t="s">
        <v>348</v>
      </c>
      <c r="E2" s="15" t="s">
        <v>12</v>
      </c>
      <c r="F2" s="16">
        <v>99</v>
      </c>
      <c r="G2" s="15" t="s">
        <v>520</v>
      </c>
      <c r="H2" s="15" t="s">
        <v>502</v>
      </c>
      <c r="I2" s="15" t="s">
        <v>316</v>
      </c>
      <c r="J2" s="18" t="str">
        <f t="shared" ref="J2:J27" si="0">CONCATENATE("INSERT INTO CHB_DATACHECK_CONDITION_INV VALUES ('",A2,"','",B2,"','",C2,"','",I2,"','",E2,"','",F2,"','",G2,"','",H2,"');")</f>
        <v>INSERT INTO CHB_DATACHECK_CONDITION_INV VALUES ('a77463c3-1898-4c74-a76c-9bd0b336e50a','055d57b8-d300-4811-9a32-00f3a3200547','compareValue','bussRepEquityInfoDto.repInvestStage','==','99','投资阶段为“99 其他”','E');</v>
      </c>
    </row>
    <row r="3" spans="1:10" s="19" customFormat="1" x14ac:dyDescent="0.15">
      <c r="A3" s="15" t="s">
        <v>450</v>
      </c>
      <c r="B3" s="15" t="s">
        <v>473</v>
      </c>
      <c r="C3" s="15" t="s">
        <v>31</v>
      </c>
      <c r="D3" s="15" t="s">
        <v>393</v>
      </c>
      <c r="E3" s="15" t="s">
        <v>12</v>
      </c>
      <c r="F3" s="16">
        <v>99</v>
      </c>
      <c r="G3" s="15" t="s">
        <v>519</v>
      </c>
      <c r="H3" s="15" t="s">
        <v>502</v>
      </c>
      <c r="I3" s="15" t="s">
        <v>408</v>
      </c>
      <c r="J3" s="18" t="str">
        <f t="shared" si="0"/>
        <v>INSERT INTO CHB_DATACHECK_CONDITION_INV VALUES ('e9a3d190-1d01-45ad-96b7-edfc6eb2aac2','ad57bed1-ad1c-4755-9b27-e73f1e0ebd77','compareValue','bussRepEquityInfoDto.repPartyType2','==','99','企业类型（按经济类型划分）为“99 其他”','E');</v>
      </c>
    </row>
    <row r="4" spans="1:10" s="19" customFormat="1" x14ac:dyDescent="0.15">
      <c r="A4" s="15" t="s">
        <v>449</v>
      </c>
      <c r="B4" s="15" t="s">
        <v>472</v>
      </c>
      <c r="C4" s="15" t="s">
        <v>31</v>
      </c>
      <c r="D4" s="15" t="s">
        <v>392</v>
      </c>
      <c r="E4" s="15" t="s">
        <v>12</v>
      </c>
      <c r="F4" s="16">
        <v>99</v>
      </c>
      <c r="G4" s="15" t="s">
        <v>521</v>
      </c>
      <c r="H4" s="15" t="s">
        <v>527</v>
      </c>
      <c r="I4" s="15" t="s">
        <v>327</v>
      </c>
      <c r="J4" s="18" t="str">
        <f t="shared" si="0"/>
        <v>INSERT INTO CHB_DATACHECK_CONDITION_INV VALUES ('fe2715a9-448a-4b38-b251-fe764ec0df58','952d8ad8-c181-4e7e-b0a2-229183c7af07','compareValue','bussRepEquityInfoDto.repPartyType3','==','99','企业类型（按技术领域划分）为“99 其他”','E');</v>
      </c>
    </row>
    <row r="5" spans="1:10" s="19" customFormat="1" x14ac:dyDescent="0.15">
      <c r="A5" s="15" t="s">
        <v>448</v>
      </c>
      <c r="B5" s="15" t="s">
        <v>471</v>
      </c>
      <c r="C5" s="15" t="s">
        <v>31</v>
      </c>
      <c r="D5" s="15" t="s">
        <v>391</v>
      </c>
      <c r="E5" s="15" t="s">
        <v>12</v>
      </c>
      <c r="F5" s="16">
        <v>99</v>
      </c>
      <c r="G5" s="15" t="s">
        <v>522</v>
      </c>
      <c r="H5" s="15" t="s">
        <v>502</v>
      </c>
      <c r="I5" s="15" t="s">
        <v>409</v>
      </c>
      <c r="J5" s="18" t="str">
        <f t="shared" si="0"/>
        <v>INSERT INTO CHB_DATACHECK_CONDITION_INV VALUES ('5eb9bc21-96b8-4076-aff5-b1de9e4383e0','e2b0bccf-868d-4d46-aa43-483a2236a1f2','compareValue','bussRepEquityInfoDto.repPartyType1','==','99','企业类型（按规模划分）为“99 其他”','E');</v>
      </c>
    </row>
    <row r="6" spans="1:10" s="19" customFormat="1" x14ac:dyDescent="0.15">
      <c r="A6" s="15" t="s">
        <v>651</v>
      </c>
      <c r="B6" s="15" t="s">
        <v>652</v>
      </c>
      <c r="C6" s="15" t="s">
        <v>31</v>
      </c>
      <c r="D6" s="15" t="s">
        <v>89</v>
      </c>
      <c r="E6" s="15" t="s">
        <v>12</v>
      </c>
      <c r="F6" s="16" t="s">
        <v>32</v>
      </c>
      <c r="G6" s="15" t="s">
        <v>100</v>
      </c>
      <c r="H6" s="15" t="s">
        <v>531</v>
      </c>
      <c r="I6" s="15" t="s">
        <v>50</v>
      </c>
      <c r="J6" s="18" t="str">
        <f t="shared" si="0"/>
        <v>INSERT INTO CHB_DATACHECK_CONDITION_INV VALUES ('454b2ca2-6e31-4464-a8a3-f8bcf3639853','b9bd2a58-a6cd-4490-b2cc-990b0f767925','compareValue','bussFinBondRepInfoDto.repSectype','==','99','具体类别为其他债券时','D');</v>
      </c>
    </row>
    <row r="7" spans="1:10" s="19" customFormat="1" x14ac:dyDescent="0.15">
      <c r="A7" s="15" t="s">
        <v>446</v>
      </c>
      <c r="B7" s="15" t="s">
        <v>469</v>
      </c>
      <c r="C7" s="15" t="s">
        <v>31</v>
      </c>
      <c r="D7" s="15" t="s">
        <v>349</v>
      </c>
      <c r="E7" s="15" t="s">
        <v>12</v>
      </c>
      <c r="F7" s="16">
        <v>99</v>
      </c>
      <c r="G7" s="15" t="s">
        <v>523</v>
      </c>
      <c r="H7" s="15" t="s">
        <v>711</v>
      </c>
      <c r="I7" s="15" t="s">
        <v>493</v>
      </c>
      <c r="J7" s="18" t="str">
        <f t="shared" si="0"/>
        <v>INSERT INTO CHB_DATACHECK_CONDITION_INV VALUES ('dc5078ac-38b9-416b-97c5-b264a28fb4be','ad13dd58-bbd2-43c2-a328-6c4b6b88693a','compareValue','bussRepEquityInfoDto.repSharesType','==','99','股票类型为“99 其他”','E');</v>
      </c>
    </row>
    <row r="8" spans="1:10" s="19" customFormat="1" x14ac:dyDescent="0.15">
      <c r="A8" s="15" t="s">
        <v>432</v>
      </c>
      <c r="B8" s="15" t="s">
        <v>656</v>
      </c>
      <c r="C8" s="15" t="s">
        <v>31</v>
      </c>
      <c r="D8" s="15" t="s">
        <v>87</v>
      </c>
      <c r="E8" s="15" t="s">
        <v>12</v>
      </c>
      <c r="F8" s="16" t="s">
        <v>32</v>
      </c>
      <c r="G8" s="15" t="s">
        <v>524</v>
      </c>
      <c r="H8" s="15" t="s">
        <v>712</v>
      </c>
      <c r="I8" s="15" t="s">
        <v>55</v>
      </c>
      <c r="J8" s="18" t="str">
        <f t="shared" si="0"/>
        <v>INSERT INTO CHB_DATACHECK_CONDITION_INV VALUES ('8db38916-de8c-40d6-9172-cdd63776f6fa','1e194cb5-4e03-4115-bdc5-df05520fea4a','compareValue','bussFinBondRepInfoDto.repPartyType3','==','99','发行机构类型（按经济类型划分）为“99 其他”','D');</v>
      </c>
    </row>
    <row r="9" spans="1:10" s="19" customFormat="1" x14ac:dyDescent="0.15">
      <c r="A9" s="15" t="s">
        <v>433</v>
      </c>
      <c r="B9" s="15" t="s">
        <v>655</v>
      </c>
      <c r="C9" s="15" t="s">
        <v>31</v>
      </c>
      <c r="D9" s="15" t="s">
        <v>88</v>
      </c>
      <c r="E9" s="15" t="s">
        <v>12</v>
      </c>
      <c r="F9" s="16" t="s">
        <v>32</v>
      </c>
      <c r="G9" s="15" t="s">
        <v>525</v>
      </c>
      <c r="H9" s="15" t="s">
        <v>531</v>
      </c>
      <c r="I9" s="15" t="s">
        <v>53</v>
      </c>
      <c r="J9" s="18" t="str">
        <f t="shared" si="0"/>
        <v>INSERT INTO CHB_DATACHECK_CONDITION_INV VALUES ('5f5e1a3d-a6e6-4e67-bce1-77c7ca4985b8','145f8481-b011-4a85-a778-80594045d3ee','compareValue','bussFinBondRepInfoDto.repPartyType2','==','99','发行机构类型（按技术领域划分）为“99 其他”','D');</v>
      </c>
    </row>
    <row r="10" spans="1:10" s="19" customFormat="1" x14ac:dyDescent="0.15">
      <c r="A10" s="15" t="s">
        <v>431</v>
      </c>
      <c r="B10" s="15" t="s">
        <v>654</v>
      </c>
      <c r="C10" s="15" t="s">
        <v>31</v>
      </c>
      <c r="D10" s="15" t="s">
        <v>86</v>
      </c>
      <c r="E10" s="15" t="s">
        <v>12</v>
      </c>
      <c r="F10" s="16" t="s">
        <v>32</v>
      </c>
      <c r="G10" s="15" t="s">
        <v>526</v>
      </c>
      <c r="H10" s="15" t="s">
        <v>713</v>
      </c>
      <c r="I10" s="15" t="s">
        <v>496</v>
      </c>
      <c r="J10" s="18" t="str">
        <f t="shared" si="0"/>
        <v>INSERT INTO CHB_DATACHECK_CONDITION_INV VALUES ('1811ace6-0ad2-4e2f-b887-caa4a2be7a99','a801d56a-aab3-45a6-8da2-cb4c55452fae','compareValue','bussFinBondRepInfoDto.repPartyType1','==','99','发行机构类型（按规模划分）为“99 其他”','D');</v>
      </c>
    </row>
    <row r="11" spans="1:10" s="19" customFormat="1" x14ac:dyDescent="0.15">
      <c r="A11" s="15" t="s">
        <v>413</v>
      </c>
      <c r="B11" s="15" t="s">
        <v>458</v>
      </c>
      <c r="C11" s="15" t="s">
        <v>11</v>
      </c>
      <c r="D11" s="15" t="s">
        <v>21</v>
      </c>
      <c r="E11" s="15" t="s">
        <v>12</v>
      </c>
      <c r="F11" s="16" t="s">
        <v>39</v>
      </c>
      <c r="G11" s="15"/>
      <c r="H11" s="15" t="s">
        <v>502</v>
      </c>
      <c r="I11" s="15" t="s">
        <v>192</v>
      </c>
      <c r="J11" s="18" t="str">
        <f t="shared" si="0"/>
        <v>INSERT INTO CHB_DATACHECK_CONDITION_INV VALUES ('f01749df-41da-47e0-bf63-0d016add9835','59ab0bd6-76fc-4376-a277-fc77e58ebb39','inArray','repAssetType','==','1112,1113,1114,1115,1116,1117','','E');</v>
      </c>
    </row>
    <row r="12" spans="1:10" s="19" customFormat="1" x14ac:dyDescent="0.15">
      <c r="A12" s="15" t="s">
        <v>425</v>
      </c>
      <c r="B12" s="15" t="s">
        <v>646</v>
      </c>
      <c r="C12" s="15" t="s">
        <v>11</v>
      </c>
      <c r="D12" s="15" t="s">
        <v>21</v>
      </c>
      <c r="E12" s="15" t="s">
        <v>12</v>
      </c>
      <c r="F12" s="16" t="s">
        <v>40</v>
      </c>
      <c r="G12" s="15"/>
      <c r="H12" s="15" t="s">
        <v>502</v>
      </c>
      <c r="I12" s="15" t="s">
        <v>192</v>
      </c>
      <c r="J12" s="18" t="str">
        <f t="shared" si="0"/>
        <v>INSERT INTO CHB_DATACHECK_CONDITION_INV VALUES ('69dc6672-0099-4bfb-aebd-22bac1ad04de','284807E5-DF28-D920-E060-007F0100ZY25','inArray','repAssetType','==','1101,1110,1109,1102,1111,1112,1113,1114,1115,1116,1117,2101,2501,2502','','E');</v>
      </c>
    </row>
    <row r="13" spans="1:10" s="19" customFormat="1" x14ac:dyDescent="0.15">
      <c r="A13" s="15" t="s">
        <v>426</v>
      </c>
      <c r="B13" s="15" t="s">
        <v>636</v>
      </c>
      <c r="C13" s="15" t="s">
        <v>11</v>
      </c>
      <c r="D13" s="15" t="s">
        <v>21</v>
      </c>
      <c r="E13" s="15" t="s">
        <v>12</v>
      </c>
      <c r="F13" s="16" t="s">
        <v>40</v>
      </c>
      <c r="G13" s="15"/>
      <c r="H13" s="15" t="s">
        <v>707</v>
      </c>
      <c r="I13" s="15" t="s">
        <v>192</v>
      </c>
      <c r="J13" s="18" t="str">
        <f t="shared" si="0"/>
        <v>INSERT INTO CHB_DATACHECK_CONDITION_INV VALUES ('d90006b2-56af-4c37-8f01-015ddf7b6732','284807E5-DF28-D920-E060-007F0100ZY26','inArray','repAssetType','==','1101,1110,1109,1102,1111,1112,1113,1114,1115,1116,1117,2101,2501,2502','','E');</v>
      </c>
    </row>
    <row r="14" spans="1:10" s="19" customFormat="1" x14ac:dyDescent="0.15">
      <c r="A14" s="15" t="s">
        <v>427</v>
      </c>
      <c r="B14" s="15" t="s">
        <v>640</v>
      </c>
      <c r="C14" s="15" t="s">
        <v>11</v>
      </c>
      <c r="D14" s="15" t="s">
        <v>21</v>
      </c>
      <c r="E14" s="15" t="s">
        <v>12</v>
      </c>
      <c r="F14" s="16" t="s">
        <v>40</v>
      </c>
      <c r="G14" s="15"/>
      <c r="H14" s="15" t="s">
        <v>708</v>
      </c>
      <c r="I14" s="15" t="s">
        <v>192</v>
      </c>
      <c r="J14" s="18" t="str">
        <f t="shared" si="0"/>
        <v>INSERT INTO CHB_DATACHECK_CONDITION_INV VALUES ('7d32f2f5-68fc-4f94-b61d-c2ca1099d095','284807E5-DF28-D920-E060-007F0100ZY28','inArray','repAssetType','==','1101,1110,1109,1102,1111,1112,1113,1114,1115,1116,1117,2101,2501,2502','','E');</v>
      </c>
    </row>
    <row r="15" spans="1:10" s="19" customFormat="1" x14ac:dyDescent="0.15">
      <c r="A15" s="15" t="s">
        <v>428</v>
      </c>
      <c r="B15" s="15" t="s">
        <v>638</v>
      </c>
      <c r="C15" s="15" t="s">
        <v>11</v>
      </c>
      <c r="D15" s="15" t="s">
        <v>21</v>
      </c>
      <c r="E15" s="15" t="s">
        <v>12</v>
      </c>
      <c r="F15" s="16" t="s">
        <v>40</v>
      </c>
      <c r="G15" s="15"/>
      <c r="H15" s="15" t="s">
        <v>502</v>
      </c>
      <c r="I15" s="15" t="s">
        <v>192</v>
      </c>
      <c r="J15" s="18" t="str">
        <f t="shared" si="0"/>
        <v>INSERT INTO CHB_DATACHECK_CONDITION_INV VALUES ('c562386e-9e93-44b7-b61e-6baadb7391d8','284807E5-DF28-D920-E060-007F0100ZY27','inArray','repAssetType','==','1101,1110,1109,1102,1111,1112,1113,1114,1115,1116,1117,2101,2501,2502','','E');</v>
      </c>
    </row>
    <row r="16" spans="1:10" s="19" customFormat="1" x14ac:dyDescent="0.15">
      <c r="A16" s="15" t="s">
        <v>429</v>
      </c>
      <c r="B16" s="15" t="s">
        <v>641</v>
      </c>
      <c r="C16" s="15" t="s">
        <v>11</v>
      </c>
      <c r="D16" s="15" t="s">
        <v>21</v>
      </c>
      <c r="E16" s="15" t="s">
        <v>12</v>
      </c>
      <c r="F16" s="16" t="s">
        <v>40</v>
      </c>
      <c r="G16" s="15"/>
      <c r="H16" s="15" t="s">
        <v>707</v>
      </c>
      <c r="I16" s="15" t="s">
        <v>192</v>
      </c>
      <c r="J16" s="18" t="str">
        <f t="shared" si="0"/>
        <v>INSERT INTO CHB_DATACHECK_CONDITION_INV VALUES ('c5181dd3-c21f-4b44-a5c4-e319f3a8f5db','284807E5-DF28-D920-E060-007F0100ZY29','inArray','repAssetType','==','1101,1110,1109,1102,1111,1112,1113,1114,1115,1116,1117,2101,2501,2502','','E');</v>
      </c>
    </row>
    <row r="17" spans="1:10" s="19" customFormat="1" x14ac:dyDescent="0.15">
      <c r="A17" s="15" t="s">
        <v>513</v>
      </c>
      <c r="B17" s="15" t="s">
        <v>570</v>
      </c>
      <c r="C17" s="15" t="s">
        <v>31</v>
      </c>
      <c r="D17" s="15" t="s">
        <v>86</v>
      </c>
      <c r="E17" s="15" t="s">
        <v>12</v>
      </c>
      <c r="F17" s="16" t="s">
        <v>512</v>
      </c>
      <c r="G17" s="15" t="s">
        <v>517</v>
      </c>
      <c r="H17" s="15" t="s">
        <v>502</v>
      </c>
      <c r="I17" s="17" t="s">
        <v>496</v>
      </c>
      <c r="J17" s="18" t="str">
        <f t="shared" si="0"/>
        <v>INSERT INTO CHB_DATACHECK_CONDITION_INV VALUES ('dc181dd3-c21f-4b44-a5c4-e319f3a89ui7','9f908454-68ed-480c-bbca-0f9dcbdb4bn8','compareValue','bussFinBondRepInfoDto.repPartyType1','==','01','当发行机构类型（按规模划分）为“01 中小微企业”时','E');</v>
      </c>
    </row>
    <row r="18" spans="1:10" s="19" customFormat="1" x14ac:dyDescent="0.15">
      <c r="A18" s="15" t="s">
        <v>437</v>
      </c>
      <c r="B18" s="15" t="s">
        <v>462</v>
      </c>
      <c r="C18" s="15" t="s">
        <v>11</v>
      </c>
      <c r="D18" s="15" t="s">
        <v>21</v>
      </c>
      <c r="E18" s="15" t="s">
        <v>12</v>
      </c>
      <c r="F18" s="16" t="s">
        <v>499</v>
      </c>
      <c r="G18" s="15"/>
      <c r="H18" s="15" t="s">
        <v>502</v>
      </c>
      <c r="I18" s="15" t="s">
        <v>192</v>
      </c>
      <c r="J18" s="18" t="str">
        <f t="shared" si="0"/>
        <v>INSERT INTO CHB_DATACHECK_CONDITION_INV VALUES ('56662242-48aa-448c-8b50-2b010df75bab','3b71a727-421a-4a3a-bf8e-05f8a7782f55','inArray','repAssetType','==','1301','','E');</v>
      </c>
    </row>
    <row r="19" spans="1:10" s="19" customFormat="1" x14ac:dyDescent="0.15">
      <c r="A19" s="15" t="s">
        <v>438</v>
      </c>
      <c r="B19" s="15" t="s">
        <v>463</v>
      </c>
      <c r="C19" s="15" t="s">
        <v>11</v>
      </c>
      <c r="D19" s="15" t="s">
        <v>21</v>
      </c>
      <c r="E19" s="15" t="s">
        <v>12</v>
      </c>
      <c r="F19" s="16" t="s">
        <v>108</v>
      </c>
      <c r="G19" s="15"/>
      <c r="H19" s="15" t="s">
        <v>502</v>
      </c>
      <c r="I19" s="15" t="s">
        <v>192</v>
      </c>
      <c r="J19" s="18" t="str">
        <f t="shared" si="0"/>
        <v>INSERT INTO CHB_DATACHECK_CONDITION_INV VALUES ('1b1ab1e6-9467-46bb-aed2-af32049ad361','fbbfccd6-a957-40ba-8730-9de974827081','inArray','repAssetType','==','1301,1302,1305','','E');</v>
      </c>
    </row>
    <row r="20" spans="1:10" s="19" customFormat="1" x14ac:dyDescent="0.15">
      <c r="A20" s="15" t="s">
        <v>439</v>
      </c>
      <c r="B20" s="15" t="s">
        <v>466</v>
      </c>
      <c r="C20" s="15" t="s">
        <v>11</v>
      </c>
      <c r="D20" s="15" t="s">
        <v>21</v>
      </c>
      <c r="E20" s="15" t="s">
        <v>12</v>
      </c>
      <c r="F20" s="16" t="s">
        <v>108</v>
      </c>
      <c r="G20" s="15"/>
      <c r="H20" s="15" t="s">
        <v>502</v>
      </c>
      <c r="I20" s="15" t="s">
        <v>192</v>
      </c>
      <c r="J20" s="18" t="str">
        <f t="shared" si="0"/>
        <v>INSERT INTO CHB_DATACHECK_CONDITION_INV VALUES ('e00c28f2-ccb7-468b-9273-f765e1bb9caf','187ad201-7353-4dae-96f8-b1131bf1b4b9','inArray','repAssetType','==','1301,1302,1305','','E');</v>
      </c>
    </row>
    <row r="21" spans="1:10" s="19" customFormat="1" x14ac:dyDescent="0.15">
      <c r="A21" s="15" t="s">
        <v>440</v>
      </c>
      <c r="B21" s="15" t="s">
        <v>467</v>
      </c>
      <c r="C21" s="15" t="s">
        <v>11</v>
      </c>
      <c r="D21" s="15" t="s">
        <v>21</v>
      </c>
      <c r="E21" s="15" t="s">
        <v>12</v>
      </c>
      <c r="F21" s="16" t="s">
        <v>108</v>
      </c>
      <c r="G21" s="15"/>
      <c r="H21" s="15" t="s">
        <v>502</v>
      </c>
      <c r="I21" s="15" t="s">
        <v>192</v>
      </c>
      <c r="J21" s="18" t="str">
        <f t="shared" si="0"/>
        <v>INSERT INTO CHB_DATACHECK_CONDITION_INV VALUES ('4f136937-b477-4bbb-b1b8-aa5cbc43554c','1f685a5c-1e8a-40b0-ac02-6b8d235f2dae','inArray','repAssetType','==','1301,1302,1305','','E');</v>
      </c>
    </row>
    <row r="22" spans="1:10" s="19" customFormat="1" x14ac:dyDescent="0.15">
      <c r="A22" s="21" t="s">
        <v>509</v>
      </c>
      <c r="B22" s="15" t="s">
        <v>507</v>
      </c>
      <c r="C22" s="15" t="s">
        <v>31</v>
      </c>
      <c r="D22" s="15" t="s">
        <v>511</v>
      </c>
      <c r="E22" s="15" t="s">
        <v>12</v>
      </c>
      <c r="F22" s="16" t="s">
        <v>512</v>
      </c>
      <c r="G22" s="15" t="s">
        <v>518</v>
      </c>
      <c r="H22" s="15" t="s">
        <v>502</v>
      </c>
      <c r="I22" s="17" t="s">
        <v>409</v>
      </c>
      <c r="J22" s="18" t="str">
        <f t="shared" si="0"/>
        <v>INSERT INTO CHB_DATACHECK_CONDITION_INV VALUES ('90vbdf70-267f-4cf9-a439-6d98e2fu8vc','796015b0-ea24-4aa6-b589-2b8d7c83ef7k','compareValue','bussRepEquityInfoDto.repPartyType1','==','01','当企业类型（按规模划分）为“01 中小微企业”时','E');</v>
      </c>
    </row>
    <row r="23" spans="1:10" s="19" customFormat="1" x14ac:dyDescent="0.15">
      <c r="A23" s="21" t="s">
        <v>506</v>
      </c>
      <c r="B23" s="15" t="s">
        <v>489</v>
      </c>
      <c r="C23" s="15" t="s">
        <v>11</v>
      </c>
      <c r="D23" s="15" t="s">
        <v>21</v>
      </c>
      <c r="E23" s="15" t="s">
        <v>12</v>
      </c>
      <c r="F23" s="16" t="s">
        <v>499</v>
      </c>
      <c r="G23" s="15"/>
      <c r="H23" s="15" t="s">
        <v>502</v>
      </c>
      <c r="I23" s="15" t="s">
        <v>192</v>
      </c>
      <c r="J23" s="17" t="str">
        <f t="shared" si="0"/>
        <v>INSERT INTO CHB_DATACHECK_CONDITION_INV VALUES ('8fvbdf70-267f-4cf9-a439-9a98e2ff179c','6542fcf4-8ef3-445d-be1e-befe58f98787','inArray','repAssetType','==','1301','','E');</v>
      </c>
    </row>
    <row r="24" spans="1:10" s="19" customFormat="1" x14ac:dyDescent="0.15">
      <c r="A24" s="21" t="s">
        <v>441</v>
      </c>
      <c r="B24" s="15" t="s">
        <v>464</v>
      </c>
      <c r="C24" s="15" t="s">
        <v>11</v>
      </c>
      <c r="D24" s="15" t="s">
        <v>21</v>
      </c>
      <c r="E24" s="15" t="s">
        <v>12</v>
      </c>
      <c r="F24" s="16" t="s">
        <v>499</v>
      </c>
      <c r="G24" s="15"/>
      <c r="H24" s="15" t="s">
        <v>502</v>
      </c>
      <c r="I24" s="15" t="s">
        <v>192</v>
      </c>
      <c r="J24" s="17" t="str">
        <f t="shared" si="0"/>
        <v>INSERT INTO CHB_DATACHECK_CONDITION_INV VALUES ('bf7bdf70-267f-4cf9-a439-9a98e2ff156c','e79b89c0-7ac9-4bd4-9647-ef51f61b42c8','inArray','repAssetType','==','1301','','E');</v>
      </c>
    </row>
    <row r="25" spans="1:10" s="19" customFormat="1" x14ac:dyDescent="0.15">
      <c r="A25" s="15" t="s">
        <v>442</v>
      </c>
      <c r="B25" s="15" t="s">
        <v>465</v>
      </c>
      <c r="C25" s="15" t="s">
        <v>11</v>
      </c>
      <c r="D25" s="15" t="s">
        <v>21</v>
      </c>
      <c r="E25" s="15" t="s">
        <v>12</v>
      </c>
      <c r="F25" s="16" t="s">
        <v>499</v>
      </c>
      <c r="G25" s="15"/>
      <c r="H25" s="15" t="s">
        <v>502</v>
      </c>
      <c r="I25" s="15" t="s">
        <v>192</v>
      </c>
      <c r="J25" s="17" t="str">
        <f t="shared" si="0"/>
        <v>INSERT INTO CHB_DATACHECK_CONDITION_INV VALUES ('d7148dfa-c126-4488-b989-67cb212787f7','ddfc3728-f92d-4d6d-b8cc-38977ff72984','inArray','repAssetType','==','1301','','E');</v>
      </c>
    </row>
    <row r="26" spans="1:10" s="19" customFormat="1" x14ac:dyDescent="0.15">
      <c r="A26" s="15" t="s">
        <v>443</v>
      </c>
      <c r="B26" s="15" t="s">
        <v>460</v>
      </c>
      <c r="C26" s="15" t="s">
        <v>11</v>
      </c>
      <c r="D26" s="15" t="s">
        <v>21</v>
      </c>
      <c r="E26" s="15" t="s">
        <v>12</v>
      </c>
      <c r="F26" s="16" t="s">
        <v>499</v>
      </c>
      <c r="G26" s="15"/>
      <c r="H26" s="15" t="s">
        <v>531</v>
      </c>
      <c r="I26" s="15" t="s">
        <v>192</v>
      </c>
      <c r="J26" s="17" t="str">
        <f t="shared" si="0"/>
        <v>INSERT INTO CHB_DATACHECK_CONDITION_INV VALUES ('71a49c69-3ea9-4403-aa68-15ab53fd6939','b46ff785-d69c-4074-8d84-b8f1ccd9a577','inArray','repAssetType','==','1301','','D');</v>
      </c>
    </row>
    <row r="27" spans="1:10" s="22" customFormat="1" x14ac:dyDescent="0.15">
      <c r="A27" s="15" t="s">
        <v>444</v>
      </c>
      <c r="B27" s="15" t="s">
        <v>461</v>
      </c>
      <c r="C27" s="15" t="s">
        <v>11</v>
      </c>
      <c r="D27" s="15" t="s">
        <v>21</v>
      </c>
      <c r="E27" s="15" t="s">
        <v>12</v>
      </c>
      <c r="F27" s="16" t="s">
        <v>499</v>
      </c>
      <c r="G27" s="15"/>
      <c r="H27" s="15" t="s">
        <v>531</v>
      </c>
      <c r="I27" s="15" t="s">
        <v>192</v>
      </c>
      <c r="J27" s="18" t="str">
        <f t="shared" si="0"/>
        <v>INSERT INTO CHB_DATACHECK_CONDITION_INV VALUES ('be3a4882-564c-4162-9c5f-c224e010727d','9f72f8e8-de6e-4eb4-a70d-0e3ebd7e86f4','inArray','repAssetType','==','1301','','D');</v>
      </c>
    </row>
    <row r="28" spans="1:10" s="19" customFormat="1" x14ac:dyDescent="0.15">
      <c r="A28" s="15" t="s">
        <v>423</v>
      </c>
      <c r="B28" s="15" t="s">
        <v>453</v>
      </c>
      <c r="C28" s="15" t="s">
        <v>11</v>
      </c>
      <c r="D28" s="15" t="s">
        <v>21</v>
      </c>
      <c r="E28" s="15" t="s">
        <v>12</v>
      </c>
      <c r="F28" s="16" t="s">
        <v>106</v>
      </c>
      <c r="G28" s="15"/>
      <c r="H28" s="15" t="s">
        <v>502</v>
      </c>
      <c r="I28" s="15" t="s">
        <v>192</v>
      </c>
      <c r="J28" s="18" t="str">
        <f t="shared" ref="J28:J47" si="1">CONCATENATE("INSERT INTO CHB_DATACHECK_CONDITION_INV VALUES ('",A28,"','",B28,"','",C28,"','",I28,"','",E28,"','",F28,"','",G28,"','",H28,"');")</f>
        <v>INSERT INTO CHB_DATACHECK_CONDITION_INV VALUES ('329af277-54df-4f48-9d2c-1d6851bce6f0','d11da57a-1163-4d8e-b5fb-f6f3581189b2','inArray','repAssetType','==','1116','','E');</v>
      </c>
    </row>
    <row r="29" spans="1:10" s="19" customFormat="1" x14ac:dyDescent="0.15">
      <c r="A29" s="15" t="s">
        <v>424</v>
      </c>
      <c r="B29" s="15" t="s">
        <v>452</v>
      </c>
      <c r="C29" s="15" t="s">
        <v>11</v>
      </c>
      <c r="D29" s="15" t="s">
        <v>21</v>
      </c>
      <c r="E29" s="15" t="s">
        <v>12</v>
      </c>
      <c r="F29" s="16" t="s">
        <v>107</v>
      </c>
      <c r="G29" s="15"/>
      <c r="H29" s="15" t="s">
        <v>502</v>
      </c>
      <c r="I29" s="15" t="s">
        <v>192</v>
      </c>
      <c r="J29" s="18" t="str">
        <f t="shared" si="1"/>
        <v>INSERT INTO CHB_DATACHECK_CONDITION_INV VALUES ('2c3858d4-0302-4385-8f7b-f58bab7f5c65','c33b3f9e-2b30-4dbb-8c3d-c4520c3dd4b0','inArray','repAssetType','==','1117','','E');</v>
      </c>
    </row>
    <row r="30" spans="1:10" s="19" customFormat="1" x14ac:dyDescent="0.15">
      <c r="A30" s="15" t="s">
        <v>419</v>
      </c>
      <c r="B30" s="15" t="s">
        <v>457</v>
      </c>
      <c r="C30" s="15" t="s">
        <v>11</v>
      </c>
      <c r="D30" s="15" t="s">
        <v>21</v>
      </c>
      <c r="E30" s="15" t="s">
        <v>12</v>
      </c>
      <c r="F30" s="16" t="s">
        <v>102</v>
      </c>
      <c r="G30" s="15"/>
      <c r="H30" s="15" t="s">
        <v>502</v>
      </c>
      <c r="I30" s="15" t="s">
        <v>192</v>
      </c>
      <c r="J30" s="18" t="str">
        <f t="shared" si="1"/>
        <v>INSERT INTO CHB_DATACHECK_CONDITION_INV VALUES ('bdb3bcdf-701e-43fd-9a2b-0153ffb91acd','d02bc873-ae7e-4dc7-82f1-7d17027a927d','inArray','repAssetType','==','1112','','E');</v>
      </c>
    </row>
    <row r="31" spans="1:10" s="19" customFormat="1" x14ac:dyDescent="0.15">
      <c r="A31" s="15" t="s">
        <v>420</v>
      </c>
      <c r="B31" s="15" t="s">
        <v>456</v>
      </c>
      <c r="C31" s="15" t="s">
        <v>11</v>
      </c>
      <c r="D31" s="15" t="s">
        <v>21</v>
      </c>
      <c r="E31" s="15" t="s">
        <v>12</v>
      </c>
      <c r="F31" s="16" t="s">
        <v>103</v>
      </c>
      <c r="G31" s="15"/>
      <c r="H31" s="15" t="s">
        <v>502</v>
      </c>
      <c r="I31" s="15" t="s">
        <v>192</v>
      </c>
      <c r="J31" s="18" t="str">
        <f t="shared" si="1"/>
        <v>INSERT INTO CHB_DATACHECK_CONDITION_INV VALUES ('011d1891-47d8-49f8-81c0-271d8e301235','f08cbfc9-7364-44e1-b9ac-ccc4dc70a2ad','inArray','repAssetType','==','1113','','E');</v>
      </c>
    </row>
    <row r="32" spans="1:10" s="19" customFormat="1" x14ac:dyDescent="0.15">
      <c r="A32" s="15" t="s">
        <v>422</v>
      </c>
      <c r="B32" s="15" t="s">
        <v>454</v>
      </c>
      <c r="C32" s="15" t="s">
        <v>11</v>
      </c>
      <c r="D32" s="15" t="s">
        <v>21</v>
      </c>
      <c r="E32" s="15" t="s">
        <v>12</v>
      </c>
      <c r="F32" s="16" t="s">
        <v>105</v>
      </c>
      <c r="G32" s="15"/>
      <c r="H32" s="15" t="s">
        <v>502</v>
      </c>
      <c r="I32" s="15" t="s">
        <v>192</v>
      </c>
      <c r="J32" s="18" t="str">
        <f t="shared" si="1"/>
        <v>INSERT INTO CHB_DATACHECK_CONDITION_INV VALUES ('f6078e94-ee2a-4767-99b0-27cf87c0e984','c35975de-3bf7-4b78-9bcd-45e7f9bc227e','inArray','repAssetType','==','1115','','E');</v>
      </c>
    </row>
    <row r="33" spans="1:10" s="19" customFormat="1" x14ac:dyDescent="0.15">
      <c r="A33" s="15" t="s">
        <v>421</v>
      </c>
      <c r="B33" s="15" t="s">
        <v>455</v>
      </c>
      <c r="C33" s="15" t="s">
        <v>11</v>
      </c>
      <c r="D33" s="15" t="s">
        <v>21</v>
      </c>
      <c r="E33" s="15" t="s">
        <v>12</v>
      </c>
      <c r="F33" s="16" t="s">
        <v>104</v>
      </c>
      <c r="G33" s="15"/>
      <c r="H33" s="15" t="s">
        <v>502</v>
      </c>
      <c r="I33" s="15" t="s">
        <v>192</v>
      </c>
      <c r="J33" s="18" t="str">
        <f t="shared" si="1"/>
        <v>INSERT INTO CHB_DATACHECK_CONDITION_INV VALUES ('7f226577-31a1-4fb5-98b2-7c295f940ed0','cb13d37b-01ac-4078-a7ae-7aea112e6d90','inArray','repAssetType','==','1114','','E');</v>
      </c>
    </row>
    <row r="34" spans="1:10" s="19" customFormat="1" x14ac:dyDescent="0.15">
      <c r="A34" s="15" t="s">
        <v>414</v>
      </c>
      <c r="B34" s="15" t="s">
        <v>571</v>
      </c>
      <c r="C34" s="15" t="s">
        <v>11</v>
      </c>
      <c r="D34" s="15" t="s">
        <v>21</v>
      </c>
      <c r="E34" s="15" t="s">
        <v>38</v>
      </c>
      <c r="F34" s="16" t="s">
        <v>189</v>
      </c>
      <c r="G34" s="15"/>
      <c r="H34" s="15" t="s">
        <v>568</v>
      </c>
      <c r="I34" s="15" t="s">
        <v>192</v>
      </c>
      <c r="J34" s="18" t="str">
        <f t="shared" si="1"/>
        <v>INSERT INTO CHB_DATACHECK_CONDITION_INV VALUES ('3dac6c81-bdb7-47b7-8851-0f218e7ea198','3fc5b962-0721-4235-aad0-822c460ba13b','inArray','repAssetType','!=','1101,1110,1109,1102,1111,1112,1113,1114,1115,1116,1117,2101,2501,2502','','D');</v>
      </c>
    </row>
    <row r="35" spans="1:10" s="19" customFormat="1" x14ac:dyDescent="0.15">
      <c r="A35" s="15" t="s">
        <v>415</v>
      </c>
      <c r="B35" s="15" t="s">
        <v>541</v>
      </c>
      <c r="C35" s="15" t="s">
        <v>11</v>
      </c>
      <c r="D35" s="15" t="s">
        <v>21</v>
      </c>
      <c r="E35" s="15" t="s">
        <v>38</v>
      </c>
      <c r="F35" s="16" t="s">
        <v>40</v>
      </c>
      <c r="G35" s="15"/>
      <c r="H35" s="15" t="s">
        <v>568</v>
      </c>
      <c r="I35" s="15" t="s">
        <v>192</v>
      </c>
      <c r="J35" s="18" t="str">
        <f t="shared" si="1"/>
        <v>INSERT INTO CHB_DATACHECK_CONDITION_INV VALUES ('44d916d0-1856-4b1f-aa63-71ee3f4c1d0d','ccea9114-8adc-4341-95ec-a31b93091fda','inArray','repAssetType','!=','1101,1110,1109,1102,1111,1112,1113,1114,1115,1116,1117,2101,2501,2502','','D');</v>
      </c>
    </row>
    <row r="36" spans="1:10" s="19" customFormat="1" x14ac:dyDescent="0.15">
      <c r="A36" s="15" t="s">
        <v>416</v>
      </c>
      <c r="B36" s="15" t="s">
        <v>562</v>
      </c>
      <c r="C36" s="15" t="s">
        <v>11</v>
      </c>
      <c r="D36" s="15" t="s">
        <v>21</v>
      </c>
      <c r="E36" s="15" t="s">
        <v>38</v>
      </c>
      <c r="F36" s="16" t="s">
        <v>40</v>
      </c>
      <c r="G36" s="15"/>
      <c r="H36" s="15" t="s">
        <v>502</v>
      </c>
      <c r="I36" s="15" t="s">
        <v>192</v>
      </c>
      <c r="J36" s="18" t="str">
        <f t="shared" si="1"/>
        <v>INSERT INTO CHB_DATACHECK_CONDITION_INV VALUES ('322a26c6-cfca-45cd-b09a-67d294cd1636','f032c148-e29d-412e-a829-1ffaf6d70e71','inArray','repAssetType','!=','1101,1110,1109,1102,1111,1112,1113,1114,1115,1116,1117,2101,2501,2502','','E');</v>
      </c>
    </row>
    <row r="37" spans="1:10" s="19" customFormat="1" x14ac:dyDescent="0.15">
      <c r="A37" s="15" t="s">
        <v>417</v>
      </c>
      <c r="B37" s="15" t="s">
        <v>564</v>
      </c>
      <c r="C37" s="15" t="s">
        <v>11</v>
      </c>
      <c r="D37" s="15" t="s">
        <v>21</v>
      </c>
      <c r="E37" s="15" t="s">
        <v>38</v>
      </c>
      <c r="F37" s="16" t="s">
        <v>40</v>
      </c>
      <c r="G37" s="15"/>
      <c r="H37" s="15" t="s">
        <v>502</v>
      </c>
      <c r="I37" s="15" t="s">
        <v>192</v>
      </c>
      <c r="J37" s="18" t="str">
        <f t="shared" si="1"/>
        <v>INSERT INTO CHB_DATACHECK_CONDITION_INV VALUES ('d5a1c39e-c129-4e79-ad58-3939909dbbde','90da2a6d-b448-4486-92bd-c1fdf920684e','inArray','repAssetType','!=','1101,1110,1109,1102,1111,1112,1113,1114,1115,1116,1117,2101,2501,2502','','E');</v>
      </c>
    </row>
    <row r="38" spans="1:10" s="19" customFormat="1" x14ac:dyDescent="0.15">
      <c r="A38" s="15" t="s">
        <v>418</v>
      </c>
      <c r="B38" s="15" t="s">
        <v>534</v>
      </c>
      <c r="C38" s="15" t="s">
        <v>11</v>
      </c>
      <c r="D38" s="15" t="s">
        <v>577</v>
      </c>
      <c r="E38" s="15" t="s">
        <v>38</v>
      </c>
      <c r="F38" s="16" t="s">
        <v>619</v>
      </c>
      <c r="G38" s="15" t="s">
        <v>620</v>
      </c>
      <c r="H38" s="15" t="s">
        <v>502</v>
      </c>
      <c r="I38" s="15" t="s">
        <v>579</v>
      </c>
      <c r="J38" s="18" t="str">
        <f t="shared" si="1"/>
        <v>INSERT INTO CHB_DATACHECK_CONDITION_INV VALUES ('5f927f5d-2e95-4a45-a787-4f3f8c1c72c3','14745667-1528-43c0-9347-698dc70d6d3a','inArray','registOrg','!=','06,99','当登记托管机构不为“06”或“99”时','E');</v>
      </c>
    </row>
    <row r="39" spans="1:10" s="19" customFormat="1" x14ac:dyDescent="0.15">
      <c r="A39" s="15" t="s">
        <v>430</v>
      </c>
      <c r="B39" s="15" t="s">
        <v>451</v>
      </c>
      <c r="C39" s="15" t="s">
        <v>31</v>
      </c>
      <c r="D39" s="15" t="s">
        <v>22</v>
      </c>
      <c r="E39" s="15" t="s">
        <v>12</v>
      </c>
      <c r="F39" s="16" t="s">
        <v>32</v>
      </c>
      <c r="G39" s="15" t="s">
        <v>501</v>
      </c>
      <c r="H39" s="15" t="s">
        <v>13</v>
      </c>
      <c r="I39" s="15" t="s">
        <v>57</v>
      </c>
      <c r="J39" s="18" t="str">
        <f t="shared" si="1"/>
        <v>INSERT INTO CHB_DATACHECK_CONDITION_INV VALUES ('dc64f83e-121b-4640-b238-955a1ccd4b57','979184d8-0972-49df-a57f-bda5e1f6fafc','compareValue','bussFinBondRepInfoDto.repTradeMarket','==','99','当交易流通场所为“99 其他交易流通场所”时','E');</v>
      </c>
    </row>
    <row r="40" spans="1:10" s="19" customFormat="1" x14ac:dyDescent="0.15">
      <c r="A40" s="15" t="s">
        <v>445</v>
      </c>
      <c r="B40" s="15" t="s">
        <v>468</v>
      </c>
      <c r="C40" s="15" t="s">
        <v>31</v>
      </c>
      <c r="D40" s="15" t="s">
        <v>22</v>
      </c>
      <c r="E40" s="15" t="s">
        <v>12</v>
      </c>
      <c r="F40" s="16">
        <v>99</v>
      </c>
      <c r="G40" s="15" t="s">
        <v>501</v>
      </c>
      <c r="H40" s="15" t="s">
        <v>13</v>
      </c>
      <c r="I40" s="15" t="s">
        <v>494</v>
      </c>
      <c r="J40" s="18" t="str">
        <f t="shared" si="1"/>
        <v>INSERT INTO CHB_DATACHECK_CONDITION_INV VALUES ('c0a5bee5-c104-4db7-af74-9afd62bbf700','a6fd2620-bb40-4047-bd72-8ae6c7adb685','compareValue','bussRepEquityInfoDto.repTradeMarket','==','99','当交易流通场所为“99 其他交易流通场所”时','E');</v>
      </c>
    </row>
    <row r="41" spans="1:10" s="19" customFormat="1" x14ac:dyDescent="0.15">
      <c r="A41" s="15" t="s">
        <v>434</v>
      </c>
      <c r="B41" s="15" t="s">
        <v>475</v>
      </c>
      <c r="C41" s="15" t="s">
        <v>11</v>
      </c>
      <c r="D41" s="15" t="s">
        <v>21</v>
      </c>
      <c r="E41" s="15" t="s">
        <v>12</v>
      </c>
      <c r="F41" s="16" t="s">
        <v>101</v>
      </c>
      <c r="G41" s="15"/>
      <c r="H41" s="15" t="s">
        <v>13</v>
      </c>
      <c r="I41" s="15" t="s">
        <v>192</v>
      </c>
      <c r="J41" s="18" t="str">
        <f t="shared" si="1"/>
        <v>INSERT INTO CHB_DATACHECK_CONDITION_INV VALUES ('b0e8389a-0258-47a8-a663-43bc0a3d15fe','636c51b3-bde8-4980-8808-ca7ae6d20593','inArray','repAssetType','==','1301','','E');</v>
      </c>
    </row>
    <row r="42" spans="1:10" s="19" customFormat="1" ht="12.75" customHeight="1" x14ac:dyDescent="0.15">
      <c r="A42" s="15" t="s">
        <v>435</v>
      </c>
      <c r="B42" s="15" t="s">
        <v>474</v>
      </c>
      <c r="C42" s="15" t="s">
        <v>11</v>
      </c>
      <c r="D42" s="15" t="s">
        <v>21</v>
      </c>
      <c r="E42" s="15" t="s">
        <v>12</v>
      </c>
      <c r="F42" s="16" t="s">
        <v>101</v>
      </c>
      <c r="G42" s="15"/>
      <c r="H42" s="15" t="s">
        <v>531</v>
      </c>
      <c r="I42" s="15" t="s">
        <v>192</v>
      </c>
      <c r="J42" s="18" t="str">
        <f t="shared" si="1"/>
        <v>INSERT INTO CHB_DATACHECK_CONDITION_INV VALUES ('1b6e44d6-ef2f-4241-aa15-7baef1b2405a','60da512f-aeed-43f9-8517-738eccdea871','inArray','repAssetType','==','1301','','D');</v>
      </c>
    </row>
    <row r="43" spans="1:10" s="19" customFormat="1" x14ac:dyDescent="0.15">
      <c r="A43" s="15" t="s">
        <v>436</v>
      </c>
      <c r="B43" s="15" t="s">
        <v>459</v>
      </c>
      <c r="C43" s="15" t="s">
        <v>11</v>
      </c>
      <c r="D43" s="15" t="s">
        <v>21</v>
      </c>
      <c r="E43" s="15" t="s">
        <v>12</v>
      </c>
      <c r="F43" s="16" t="s">
        <v>101</v>
      </c>
      <c r="G43" s="15"/>
      <c r="H43" s="15" t="s">
        <v>13</v>
      </c>
      <c r="I43" s="15" t="s">
        <v>192</v>
      </c>
      <c r="J43" s="18" t="str">
        <f t="shared" si="1"/>
        <v>INSERT INTO CHB_DATACHECK_CONDITION_INV VALUES ('2def2d7a-7f8c-4636-a7c7-d59b2f912140','6baef1d8-56e8-49cb-a78a-c73f35b973a1','inArray','repAssetType','==','1301','','E');</v>
      </c>
    </row>
    <row r="44" spans="1:10" s="19" customFormat="1" x14ac:dyDescent="0.15">
      <c r="A44" s="15" t="s">
        <v>504</v>
      </c>
      <c r="B44" s="15" t="s">
        <v>477</v>
      </c>
      <c r="C44" s="15" t="s">
        <v>11</v>
      </c>
      <c r="D44" s="15" t="s">
        <v>21</v>
      </c>
      <c r="E44" s="15" t="s">
        <v>12</v>
      </c>
      <c r="F44" s="16" t="s">
        <v>40</v>
      </c>
      <c r="G44" s="15"/>
      <c r="H44" s="15" t="s">
        <v>502</v>
      </c>
      <c r="I44" s="15" t="s">
        <v>192</v>
      </c>
      <c r="J44" s="18" t="str">
        <f t="shared" si="1"/>
        <v>INSERT INTO CHB_DATACHECK_CONDITION_INV VALUES ('b4d4acb1-4DA2-14B5-e053-045AA8C0F0EF','b899fc9e-10c0-4134-b0ab-d15c55ec61b8','inArray','repAssetType','==','1101,1110,1109,1102,1111,1112,1113,1114,1115,1116,1117,2101,2501,2502','','E');</v>
      </c>
    </row>
    <row r="45" spans="1:10" s="19" customFormat="1" x14ac:dyDescent="0.15">
      <c r="A45" s="15" t="s">
        <v>505</v>
      </c>
      <c r="B45" s="15" t="s">
        <v>490</v>
      </c>
      <c r="C45" s="15" t="s">
        <v>11</v>
      </c>
      <c r="D45" s="15" t="s">
        <v>21</v>
      </c>
      <c r="E45" s="15" t="s">
        <v>12</v>
      </c>
      <c r="F45" s="16" t="s">
        <v>503</v>
      </c>
      <c r="G45" s="15"/>
      <c r="H45" s="15" t="s">
        <v>13</v>
      </c>
      <c r="I45" s="15" t="s">
        <v>192</v>
      </c>
      <c r="J45" s="18" t="str">
        <f t="shared" si="1"/>
        <v>INSERT INTO CHB_DATACHECK_CONDITION_INV VALUES ('b4d4acb1-4DA3-14B5-e053-045AA8C0F0EF','487bc868-722c-4829-8f1f-763e69f7b028','inArray','repAssetType','==','1301','','E');</v>
      </c>
    </row>
    <row r="46" spans="1:10" s="19" customFormat="1" x14ac:dyDescent="0.15">
      <c r="A46" s="15" t="s">
        <v>714</v>
      </c>
      <c r="B46" s="15" t="s">
        <v>576</v>
      </c>
      <c r="C46" s="15" t="s">
        <v>11</v>
      </c>
      <c r="D46" s="15" t="s">
        <v>21</v>
      </c>
      <c r="E46" s="15" t="s">
        <v>649</v>
      </c>
      <c r="F46" s="16" t="s">
        <v>499</v>
      </c>
      <c r="G46" s="15"/>
      <c r="H46" s="15" t="s">
        <v>13</v>
      </c>
      <c r="I46" s="15" t="s">
        <v>192</v>
      </c>
      <c r="J46" s="18" t="str">
        <f t="shared" ref="J46" si="2">CONCATENATE("INSERT INTO CHB_DATACHECK_CONDITION_INV VALUES ('",A46,"','",B46,"','",C46,"','",I46,"','",E46,"','",F46,"','",G46,"','",H46,"');")</f>
        <v>INSERT INTO CHB_DATACHECK_CONDITION_INV VALUES ('B690A5B9-FE53-4725-E053-045AA8C093EE','55e3fe90-cdc7-49f0-aad1-234faaadf3ff','inArray','repAssetType','!=','1301','','E');</v>
      </c>
    </row>
    <row r="47" spans="1:10" s="19" customFormat="1" x14ac:dyDescent="0.15">
      <c r="A47" s="15" t="s">
        <v>580</v>
      </c>
      <c r="B47" s="15" t="s">
        <v>576</v>
      </c>
      <c r="C47" s="15" t="s">
        <v>11</v>
      </c>
      <c r="D47" s="15" t="s">
        <v>577</v>
      </c>
      <c r="E47" s="15" t="s">
        <v>12</v>
      </c>
      <c r="F47" s="15" t="s">
        <v>621</v>
      </c>
      <c r="G47" s="15" t="s">
        <v>715</v>
      </c>
      <c r="H47" s="15" t="s">
        <v>13</v>
      </c>
      <c r="I47" s="15" t="s">
        <v>578</v>
      </c>
      <c r="J47" s="18" t="str">
        <f t="shared" si="1"/>
        <v>INSERT INTO CHB_DATACHECK_CONDITION_INV VALUES ('b4d4acb1-4DA3-14B5-e053-045AA8C0F0EG','55e3fe90-cdc7-49f0-aad1-234faaadf3ff','inArray','registOrg','==','06,99','且登记托管机构为“06”或者“99”时','E');</v>
      </c>
    </row>
    <row r="48" spans="1:10" s="19" customFormat="1" x14ac:dyDescent="0.15">
      <c r="A48" s="15" t="s">
        <v>586</v>
      </c>
      <c r="B48" s="17" t="s">
        <v>583</v>
      </c>
      <c r="C48" s="15" t="s">
        <v>11</v>
      </c>
      <c r="D48" s="15" t="s">
        <v>21</v>
      </c>
      <c r="E48" s="15" t="s">
        <v>12</v>
      </c>
      <c r="F48" s="16" t="s">
        <v>101</v>
      </c>
      <c r="G48" s="15"/>
      <c r="H48" s="15" t="s">
        <v>13</v>
      </c>
      <c r="I48" s="15" t="s">
        <v>192</v>
      </c>
      <c r="J48" s="18" t="str">
        <f t="shared" ref="J48:J50" si="3">CONCATENATE("INSERT INTO CHB_DATACHECK_CONDITION_INV VALUES ('",A48,"','",B48,"','",C48,"','",I48,"','",E48,"','",F48,"','",G48,"','",H48,"');")</f>
        <v>INSERT INTO CHB_DATACHECK_CONDITION_INV VALUES ('B4D4ACB1-4DA9-14B5-E053-045AA8C0F0EF','B4D4ACB1-4DA7-14B5-E053-045AA8C0F0EF','inArray','repAssetType','==','1301','','E');</v>
      </c>
    </row>
    <row r="49" spans="1:10" s="19" customFormat="1" x14ac:dyDescent="0.15">
      <c r="A49" s="15" t="s">
        <v>647</v>
      </c>
      <c r="B49" s="17" t="s">
        <v>709</v>
      </c>
      <c r="C49" s="15" t="s">
        <v>11</v>
      </c>
      <c r="D49" s="15"/>
      <c r="E49" s="15" t="s">
        <v>12</v>
      </c>
      <c r="F49" s="16" t="s">
        <v>101</v>
      </c>
      <c r="G49" s="15"/>
      <c r="H49" s="15" t="s">
        <v>13</v>
      </c>
      <c r="I49" s="15" t="s">
        <v>192</v>
      </c>
      <c r="J49" s="18" t="str">
        <f t="shared" si="3"/>
        <v>INSERT INTO CHB_DATACHECK_CONDITION_INV VALUES ('443a81a3-fe1a-4091-96c4-83895510ZL7f','284807E5-DF28-D920-E060-007F0100ZY30','inArray','repAssetType','==','1301','','E');</v>
      </c>
    </row>
    <row r="50" spans="1:10" s="19" customFormat="1" x14ac:dyDescent="0.15">
      <c r="A50" s="15" t="s">
        <v>648</v>
      </c>
      <c r="B50" s="17" t="s">
        <v>710</v>
      </c>
      <c r="C50" s="15" t="s">
        <v>11</v>
      </c>
      <c r="D50" s="15"/>
      <c r="E50" s="15" t="s">
        <v>649</v>
      </c>
      <c r="F50" s="16" t="s">
        <v>101</v>
      </c>
      <c r="G50" s="15"/>
      <c r="H50" s="15" t="s">
        <v>13</v>
      </c>
      <c r="I50" s="15" t="s">
        <v>192</v>
      </c>
      <c r="J50" s="18" t="str">
        <f t="shared" si="3"/>
        <v>INSERT INTO CHB_DATACHECK_CONDITION_INV VALUES ('284807E5-DF28-D920-E060-007F0100ZL30','443a81a3-fe1a-4091-96c4-838955108a7f','inArray','repAssetType','!=','1301','','E');</v>
      </c>
    </row>
  </sheetData>
  <autoFilter ref="A1:I50"/>
  <sortState ref="A2:K64">
    <sortCondition descending="1" ref="G1"/>
  </sortState>
  <phoneticPr fontId="2" type="noConversion"/>
  <conditionalFormatting sqref="B45">
    <cfRule type="duplicateValues" dxfId="13" priority="17"/>
    <cfRule type="duplicateValues" dxfId="12" priority="18"/>
  </conditionalFormatting>
  <conditionalFormatting sqref="B44">
    <cfRule type="duplicateValues" dxfId="11" priority="15"/>
    <cfRule type="duplicateValues" dxfId="10" priority="16"/>
  </conditionalFormatting>
  <conditionalFormatting sqref="B23">
    <cfRule type="duplicateValues" dxfId="9" priority="13"/>
    <cfRule type="duplicateValues" dxfId="8" priority="14"/>
  </conditionalFormatting>
  <conditionalFormatting sqref="B22">
    <cfRule type="duplicateValues" dxfId="7" priority="9"/>
    <cfRule type="duplicateValues" dxfId="6" priority="10"/>
  </conditionalFormatting>
  <conditionalFormatting sqref="B17">
    <cfRule type="duplicateValues" dxfId="5" priority="7"/>
    <cfRule type="duplicateValues" dxfId="4" priority="8"/>
  </conditionalFormatting>
  <conditionalFormatting sqref="B48">
    <cfRule type="duplicateValues" dxfId="3" priority="5"/>
    <cfRule type="duplicateValues" dxfId="2" priority="6"/>
  </conditionalFormatting>
  <conditionalFormatting sqref="B49:B50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D10" sqref="D10"/>
    </sheetView>
  </sheetViews>
  <sheetFormatPr defaultRowHeight="13.5" x14ac:dyDescent="0.15"/>
  <cols>
    <col min="1" max="5" width="30.125" customWidth="1"/>
  </cols>
  <sheetData>
    <row r="1" spans="1:4" x14ac:dyDescent="0.15">
      <c r="A1" s="24" t="s">
        <v>591</v>
      </c>
      <c r="B1" s="24" t="s">
        <v>592</v>
      </c>
      <c r="C1" s="24" t="s">
        <v>593</v>
      </c>
      <c r="D1" s="25" t="s">
        <v>594</v>
      </c>
    </row>
    <row r="2" spans="1:4" x14ac:dyDescent="0.15">
      <c r="A2" s="26" t="s">
        <v>185</v>
      </c>
      <c r="B2" s="27">
        <v>1101</v>
      </c>
      <c r="C2" s="26" t="s">
        <v>595</v>
      </c>
      <c r="D2" t="str">
        <f t="shared" ref="D2:D17" si="0">CONCATENATE("insert into CHB_DATACHECK_REP_TYPE_INV values ('",A2,"','",B2,"','",C2,"');")</f>
        <v>insert into CHB_DATACHECK_REP_TYPE_INV values ('FinBondTargetAsset002','1101','bussFinBondRepInfoDto');</v>
      </c>
    </row>
    <row r="3" spans="1:4" x14ac:dyDescent="0.15">
      <c r="A3" s="26" t="s">
        <v>185</v>
      </c>
      <c r="B3" s="27">
        <v>1102</v>
      </c>
      <c r="C3" s="26" t="s">
        <v>595</v>
      </c>
      <c r="D3" t="str">
        <f t="shared" si="0"/>
        <v>insert into CHB_DATACHECK_REP_TYPE_INV values ('FinBondTargetAsset002','1102','bussFinBondRepInfoDto');</v>
      </c>
    </row>
    <row r="4" spans="1:4" x14ac:dyDescent="0.15">
      <c r="A4" s="26" t="s">
        <v>185</v>
      </c>
      <c r="B4" s="27">
        <v>1109</v>
      </c>
      <c r="C4" s="26" t="s">
        <v>595</v>
      </c>
      <c r="D4" t="str">
        <f t="shared" si="0"/>
        <v>insert into CHB_DATACHECK_REP_TYPE_INV values ('FinBondTargetAsset002','1109','bussFinBondRepInfoDto');</v>
      </c>
    </row>
    <row r="5" spans="1:4" x14ac:dyDescent="0.15">
      <c r="A5" s="26" t="s">
        <v>185</v>
      </c>
      <c r="B5" s="27">
        <v>1110</v>
      </c>
      <c r="C5" s="26" t="s">
        <v>595</v>
      </c>
      <c r="D5" t="str">
        <f t="shared" si="0"/>
        <v>insert into CHB_DATACHECK_REP_TYPE_INV values ('FinBondTargetAsset002','1110','bussFinBondRepInfoDto');</v>
      </c>
    </row>
    <row r="6" spans="1:4" x14ac:dyDescent="0.15">
      <c r="A6" s="26" t="s">
        <v>185</v>
      </c>
      <c r="B6" s="27">
        <v>1111</v>
      </c>
      <c r="C6" s="26" t="s">
        <v>595</v>
      </c>
      <c r="D6" t="str">
        <f t="shared" si="0"/>
        <v>insert into CHB_DATACHECK_REP_TYPE_INV values ('FinBondTargetAsset002','1111','bussFinBondRepInfoDto');</v>
      </c>
    </row>
    <row r="7" spans="1:4" x14ac:dyDescent="0.15">
      <c r="A7" s="26" t="s">
        <v>185</v>
      </c>
      <c r="B7" s="27">
        <v>1112</v>
      </c>
      <c r="C7" s="26" t="s">
        <v>595</v>
      </c>
      <c r="D7" t="str">
        <f t="shared" si="0"/>
        <v>insert into CHB_DATACHECK_REP_TYPE_INV values ('FinBondTargetAsset002','1112','bussFinBondRepInfoDto');</v>
      </c>
    </row>
    <row r="8" spans="1:4" x14ac:dyDescent="0.15">
      <c r="A8" s="26" t="s">
        <v>185</v>
      </c>
      <c r="B8" s="27">
        <v>1113</v>
      </c>
      <c r="C8" s="26" t="s">
        <v>595</v>
      </c>
      <c r="D8" t="str">
        <f t="shared" si="0"/>
        <v>insert into CHB_DATACHECK_REP_TYPE_INV values ('FinBondTargetAsset002','1113','bussFinBondRepInfoDto');</v>
      </c>
    </row>
    <row r="9" spans="1:4" x14ac:dyDescent="0.15">
      <c r="A9" s="26" t="s">
        <v>185</v>
      </c>
      <c r="B9" s="27">
        <v>1114</v>
      </c>
      <c r="C9" s="26" t="s">
        <v>595</v>
      </c>
      <c r="D9" t="str">
        <f t="shared" si="0"/>
        <v>insert into CHB_DATACHECK_REP_TYPE_INV values ('FinBondTargetAsset002','1114','bussFinBondRepInfoDto');</v>
      </c>
    </row>
    <row r="10" spans="1:4" x14ac:dyDescent="0.15">
      <c r="A10" s="26" t="s">
        <v>185</v>
      </c>
      <c r="B10" s="27">
        <v>1115</v>
      </c>
      <c r="C10" s="26" t="s">
        <v>595</v>
      </c>
      <c r="D10" t="str">
        <f t="shared" si="0"/>
        <v>insert into CHB_DATACHECK_REP_TYPE_INV values ('FinBondTargetAsset002','1115','bussFinBondRepInfoDto');</v>
      </c>
    </row>
    <row r="11" spans="1:4" x14ac:dyDescent="0.15">
      <c r="A11" s="26" t="s">
        <v>185</v>
      </c>
      <c r="B11" s="27">
        <v>1116</v>
      </c>
      <c r="C11" s="26" t="s">
        <v>595</v>
      </c>
      <c r="D11" t="str">
        <f t="shared" si="0"/>
        <v>insert into CHB_DATACHECK_REP_TYPE_INV values ('FinBondTargetAsset002','1116','bussFinBondRepInfoDto');</v>
      </c>
    </row>
    <row r="12" spans="1:4" x14ac:dyDescent="0.15">
      <c r="A12" s="26" t="s">
        <v>185</v>
      </c>
      <c r="B12" s="27">
        <v>1117</v>
      </c>
      <c r="C12" s="26" t="s">
        <v>595</v>
      </c>
      <c r="D12" t="str">
        <f t="shared" si="0"/>
        <v>insert into CHB_DATACHECK_REP_TYPE_INV values ('FinBondTargetAsset002','1117','bussFinBondRepInfoDto');</v>
      </c>
    </row>
    <row r="13" spans="1:4" x14ac:dyDescent="0.15">
      <c r="A13" s="26" t="s">
        <v>185</v>
      </c>
      <c r="B13" s="27">
        <v>2101</v>
      </c>
      <c r="C13" s="26" t="s">
        <v>595</v>
      </c>
      <c r="D13" t="str">
        <f t="shared" si="0"/>
        <v>insert into CHB_DATACHECK_REP_TYPE_INV values ('FinBondTargetAsset002','2101','bussFinBondRepInfoDto');</v>
      </c>
    </row>
    <row r="14" spans="1:4" x14ac:dyDescent="0.15">
      <c r="A14" s="26" t="s">
        <v>185</v>
      </c>
      <c r="B14" s="27">
        <v>2501</v>
      </c>
      <c r="C14" s="26" t="s">
        <v>595</v>
      </c>
      <c r="D14" t="str">
        <f t="shared" si="0"/>
        <v>insert into CHB_DATACHECK_REP_TYPE_INV values ('FinBondTargetAsset002','2501','bussFinBondRepInfoDto');</v>
      </c>
    </row>
    <row r="15" spans="1:4" x14ac:dyDescent="0.15">
      <c r="A15" s="26" t="s">
        <v>185</v>
      </c>
      <c r="B15" s="27">
        <v>2502</v>
      </c>
      <c r="C15" s="26" t="s">
        <v>595</v>
      </c>
      <c r="D15" t="str">
        <f t="shared" si="0"/>
        <v>insert into CHB_DATACHECK_REP_TYPE_INV values ('FinBondTargetAsset002','2502','bussFinBondRepInfoDto');</v>
      </c>
    </row>
    <row r="16" spans="1:4" x14ac:dyDescent="0.15">
      <c r="A16" s="26" t="s">
        <v>185</v>
      </c>
      <c r="B16" s="27">
        <v>1301</v>
      </c>
      <c r="C16" s="26" t="s">
        <v>596</v>
      </c>
      <c r="D16" t="str">
        <f t="shared" si="0"/>
        <v>insert into CHB_DATACHECK_REP_TYPE_INV values ('FinBondTargetAsset002','1301','bussRepEquityInfoDto');</v>
      </c>
    </row>
    <row r="17" spans="1:4" x14ac:dyDescent="0.15">
      <c r="A17" s="26" t="s">
        <v>185</v>
      </c>
      <c r="B17" s="27">
        <v>1305</v>
      </c>
      <c r="C17" s="26" t="s">
        <v>596</v>
      </c>
      <c r="D17" t="str">
        <f t="shared" si="0"/>
        <v>insert into CHB_DATACHECK_REP_TYPE_INV values ('FinBondTargetAsset002','1305','bussRepEquityInfoDto');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13" workbookViewId="0">
      <selection activeCell="A3" sqref="A3:C10"/>
    </sheetView>
  </sheetViews>
  <sheetFormatPr defaultRowHeight="13.5" x14ac:dyDescent="0.15"/>
  <cols>
    <col min="1" max="1" width="36.75" customWidth="1"/>
    <col min="2" max="2" width="64.375" customWidth="1"/>
    <col min="3" max="3" width="37" customWidth="1"/>
  </cols>
  <sheetData>
    <row r="1" spans="1:3" x14ac:dyDescent="0.15">
      <c r="A1" t="s">
        <v>47</v>
      </c>
      <c r="B1" t="s">
        <v>49</v>
      </c>
      <c r="C1" t="s">
        <v>48</v>
      </c>
    </row>
    <row r="2" spans="1:3" x14ac:dyDescent="0.15">
      <c r="A2" s="4" t="s">
        <v>312</v>
      </c>
    </row>
    <row r="3" spans="1:3" ht="14.25" x14ac:dyDescent="0.2">
      <c r="A3" s="3" t="s">
        <v>85</v>
      </c>
      <c r="B3" s="3" t="s">
        <v>192</v>
      </c>
      <c r="C3" s="3" t="s">
        <v>15</v>
      </c>
    </row>
    <row r="4" spans="1:3" ht="14.25" x14ac:dyDescent="0.2">
      <c r="A4" s="3" t="s">
        <v>79</v>
      </c>
      <c r="B4" s="3" t="s">
        <v>50</v>
      </c>
      <c r="C4" s="3" t="s">
        <v>79</v>
      </c>
    </row>
    <row r="5" spans="1:3" ht="14.25" x14ac:dyDescent="0.2">
      <c r="A5" s="3" t="s">
        <v>45</v>
      </c>
      <c r="B5" s="3" t="s">
        <v>51</v>
      </c>
      <c r="C5" s="3" t="s">
        <v>45</v>
      </c>
    </row>
    <row r="6" spans="1:3" ht="14.25" x14ac:dyDescent="0.2">
      <c r="A6" s="3" t="s">
        <v>44</v>
      </c>
      <c r="B6" s="3" t="s">
        <v>52</v>
      </c>
      <c r="C6" s="3" t="s">
        <v>44</v>
      </c>
    </row>
    <row r="7" spans="1:3" ht="14.25" x14ac:dyDescent="0.2">
      <c r="A7" s="3" t="s">
        <v>46</v>
      </c>
      <c r="B7" s="3" t="s">
        <v>53</v>
      </c>
      <c r="C7" s="3" t="s">
        <v>46</v>
      </c>
    </row>
    <row r="8" spans="1:3" ht="14.25" x14ac:dyDescent="0.2">
      <c r="A8" s="3" t="s">
        <v>54</v>
      </c>
      <c r="B8" s="3" t="s">
        <v>55</v>
      </c>
      <c r="C8" s="3" t="s">
        <v>54</v>
      </c>
    </row>
    <row r="9" spans="1:3" ht="14.25" x14ac:dyDescent="0.2">
      <c r="A9" s="3" t="s">
        <v>56</v>
      </c>
      <c r="B9" s="3" t="s">
        <v>187</v>
      </c>
      <c r="C9" s="3" t="s">
        <v>56</v>
      </c>
    </row>
    <row r="10" spans="1:3" ht="14.25" x14ac:dyDescent="0.2">
      <c r="A10" s="3" t="s">
        <v>16</v>
      </c>
      <c r="B10" s="3" t="s">
        <v>57</v>
      </c>
      <c r="C10" s="3" t="s">
        <v>80</v>
      </c>
    </row>
    <row r="11" spans="1:3" ht="14.25" x14ac:dyDescent="0.2">
      <c r="A11" s="3" t="s">
        <v>58</v>
      </c>
      <c r="B11" s="3" t="s">
        <v>59</v>
      </c>
      <c r="C11" s="3"/>
    </row>
    <row r="12" spans="1:3" ht="14.25" x14ac:dyDescent="0.2">
      <c r="A12" s="3" t="s">
        <v>60</v>
      </c>
      <c r="B12" s="3" t="s">
        <v>61</v>
      </c>
      <c r="C12" s="3"/>
    </row>
    <row r="13" spans="1:3" ht="14.25" x14ac:dyDescent="0.2">
      <c r="A13" s="3" t="s">
        <v>62</v>
      </c>
      <c r="B13" s="3" t="s">
        <v>63</v>
      </c>
      <c r="C13" s="3"/>
    </row>
    <row r="14" spans="1:3" ht="14.25" x14ac:dyDescent="0.2">
      <c r="A14" s="3" t="s">
        <v>64</v>
      </c>
      <c r="B14" s="3" t="s">
        <v>65</v>
      </c>
      <c r="C14" s="3" t="s">
        <v>64</v>
      </c>
    </row>
    <row r="15" spans="1:3" ht="14.25" x14ac:dyDescent="0.2">
      <c r="A15" s="3" t="s">
        <v>66</v>
      </c>
      <c r="B15" s="3" t="s">
        <v>67</v>
      </c>
      <c r="C15" s="3" t="s">
        <v>66</v>
      </c>
    </row>
    <row r="16" spans="1:3" ht="14.25" x14ac:dyDescent="0.2">
      <c r="A16" s="3" t="s">
        <v>68</v>
      </c>
      <c r="B16" s="3" t="s">
        <v>69</v>
      </c>
      <c r="C16" s="3" t="s">
        <v>81</v>
      </c>
    </row>
    <row r="17" spans="1:3" ht="14.25" x14ac:dyDescent="0.2">
      <c r="A17" s="3" t="s">
        <v>70</v>
      </c>
      <c r="B17" s="3" t="s">
        <v>71</v>
      </c>
      <c r="C17" s="3" t="s">
        <v>82</v>
      </c>
    </row>
    <row r="18" spans="1:3" ht="14.25" x14ac:dyDescent="0.2">
      <c r="A18" s="3" t="s">
        <v>72</v>
      </c>
      <c r="B18" s="3" t="s">
        <v>73</v>
      </c>
      <c r="C18" s="3" t="s">
        <v>83</v>
      </c>
    </row>
    <row r="19" spans="1:3" ht="14.25" x14ac:dyDescent="0.2">
      <c r="A19" s="3" t="s">
        <v>74</v>
      </c>
      <c r="B19" s="3" t="s">
        <v>75</v>
      </c>
      <c r="C19" s="3" t="s">
        <v>84</v>
      </c>
    </row>
    <row r="20" spans="1:3" ht="14.25" x14ac:dyDescent="0.2">
      <c r="A20" s="3" t="s">
        <v>76</v>
      </c>
      <c r="B20" s="3" t="s">
        <v>77</v>
      </c>
      <c r="C20" s="3"/>
    </row>
    <row r="21" spans="1:3" ht="14.25" x14ac:dyDescent="0.2">
      <c r="A21" s="3" t="s">
        <v>9</v>
      </c>
      <c r="B21" s="3" t="s">
        <v>78</v>
      </c>
      <c r="C21" s="3" t="s">
        <v>9</v>
      </c>
    </row>
    <row r="22" spans="1:3" ht="14.25" x14ac:dyDescent="0.2">
      <c r="C22" s="3"/>
    </row>
    <row r="23" spans="1:3" x14ac:dyDescent="0.15">
      <c r="A23" s="4" t="s">
        <v>314</v>
      </c>
    </row>
    <row r="24" spans="1:3" ht="14.25" x14ac:dyDescent="0.2">
      <c r="A24" s="3" t="s">
        <v>315</v>
      </c>
      <c r="B24" s="3" t="s">
        <v>316</v>
      </c>
      <c r="C24" s="3" t="s">
        <v>315</v>
      </c>
    </row>
    <row r="25" spans="1:3" ht="14.25" x14ac:dyDescent="0.2">
      <c r="A25" s="3" t="s">
        <v>317</v>
      </c>
      <c r="B25" s="3" t="s">
        <v>318</v>
      </c>
      <c r="C25" s="3" t="s">
        <v>338</v>
      </c>
    </row>
    <row r="26" spans="1:3" ht="14.25" x14ac:dyDescent="0.2">
      <c r="A26" s="5" t="s">
        <v>321</v>
      </c>
      <c r="B26" s="3" t="s">
        <v>319</v>
      </c>
      <c r="C26" s="3" t="s">
        <v>320</v>
      </c>
    </row>
    <row r="27" spans="1:3" ht="14.25" x14ac:dyDescent="0.2">
      <c r="A27" s="3" t="s">
        <v>322</v>
      </c>
      <c r="B27" s="3" t="s">
        <v>323</v>
      </c>
      <c r="C27" s="3" t="s">
        <v>322</v>
      </c>
    </row>
    <row r="28" spans="1:3" ht="14.25" x14ac:dyDescent="0.2">
      <c r="A28" s="5" t="s">
        <v>339</v>
      </c>
      <c r="B28" s="3" t="s">
        <v>324</v>
      </c>
      <c r="C28" s="3" t="s">
        <v>339</v>
      </c>
    </row>
    <row r="29" spans="1:3" ht="14.25" x14ac:dyDescent="0.2">
      <c r="A29" s="3" t="s">
        <v>44</v>
      </c>
      <c r="B29" s="3" t="s">
        <v>325</v>
      </c>
      <c r="C29" s="3" t="s">
        <v>44</v>
      </c>
    </row>
    <row r="30" spans="1:3" ht="14.25" x14ac:dyDescent="0.2">
      <c r="A30" s="3" t="s">
        <v>36</v>
      </c>
      <c r="B30" s="3" t="s">
        <v>326</v>
      </c>
      <c r="C30" s="3" t="s">
        <v>36</v>
      </c>
    </row>
    <row r="31" spans="1:3" ht="14.25" x14ac:dyDescent="0.2">
      <c r="A31" s="3" t="s">
        <v>35</v>
      </c>
      <c r="B31" s="3" t="s">
        <v>327</v>
      </c>
      <c r="C31" s="3" t="s">
        <v>35</v>
      </c>
    </row>
    <row r="32" spans="1:3" ht="14.25" x14ac:dyDescent="0.2">
      <c r="A32" s="5" t="s">
        <v>340</v>
      </c>
      <c r="B32" s="3" t="s">
        <v>329</v>
      </c>
      <c r="C32" s="3" t="s">
        <v>328</v>
      </c>
    </row>
    <row r="33" spans="1:3" ht="14.25" x14ac:dyDescent="0.2">
      <c r="A33" s="3" t="s">
        <v>16</v>
      </c>
      <c r="B33" s="3" t="s">
        <v>330</v>
      </c>
      <c r="C33" s="3" t="s">
        <v>16</v>
      </c>
    </row>
    <row r="34" spans="1:3" ht="14.25" x14ac:dyDescent="0.2">
      <c r="A34" s="3" t="s">
        <v>68</v>
      </c>
      <c r="B34" s="3" t="s">
        <v>331</v>
      </c>
      <c r="C34" s="3" t="s">
        <v>81</v>
      </c>
    </row>
    <row r="35" spans="1:3" ht="14.25" x14ac:dyDescent="0.2">
      <c r="A35" s="3" t="s">
        <v>72</v>
      </c>
      <c r="B35" s="3" t="s">
        <v>332</v>
      </c>
      <c r="C35" s="3" t="s">
        <v>82</v>
      </c>
    </row>
    <row r="36" spans="1:3" ht="14.25" x14ac:dyDescent="0.2">
      <c r="A36" s="3" t="s">
        <v>74</v>
      </c>
      <c r="B36" s="3" t="s">
        <v>334</v>
      </c>
      <c r="C36" s="3" t="s">
        <v>84</v>
      </c>
    </row>
    <row r="37" spans="1:3" ht="14.25" x14ac:dyDescent="0.2">
      <c r="A37" s="5" t="s">
        <v>341</v>
      </c>
      <c r="B37" s="3" t="s">
        <v>333</v>
      </c>
      <c r="C37" s="3" t="s">
        <v>342</v>
      </c>
    </row>
    <row r="38" spans="1:3" ht="14.25" x14ac:dyDescent="0.2">
      <c r="A38" s="5" t="s">
        <v>343</v>
      </c>
      <c r="B38" s="3" t="s">
        <v>335</v>
      </c>
      <c r="C38" s="3" t="s">
        <v>344</v>
      </c>
    </row>
    <row r="39" spans="1:3" ht="14.25" x14ac:dyDescent="0.2">
      <c r="A39" s="5" t="s">
        <v>345</v>
      </c>
      <c r="B39" s="3" t="s">
        <v>336</v>
      </c>
      <c r="C39" s="3" t="s">
        <v>346</v>
      </c>
    </row>
    <row r="40" spans="1:3" ht="14.25" x14ac:dyDescent="0.2">
      <c r="A40" s="3" t="s">
        <v>9</v>
      </c>
      <c r="B40" s="3" t="s">
        <v>337</v>
      </c>
      <c r="C40" s="3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topLeftCell="A175" workbookViewId="0">
      <selection activeCell="L181" sqref="L181:L216"/>
    </sheetView>
  </sheetViews>
  <sheetFormatPr defaultRowHeight="13.5" x14ac:dyDescent="0.15"/>
  <sheetData>
    <row r="1" spans="1:12" x14ac:dyDescent="0.15">
      <c r="A1" s="4" t="s">
        <v>183</v>
      </c>
      <c r="B1" s="4"/>
      <c r="L1" s="4" t="s">
        <v>184</v>
      </c>
    </row>
    <row r="2" spans="1:12" ht="14.25" x14ac:dyDescent="0.2">
      <c r="A2" t="s">
        <v>198</v>
      </c>
      <c r="H2" s="3"/>
      <c r="L2" t="s">
        <v>128</v>
      </c>
    </row>
    <row r="3" spans="1:12" ht="14.25" x14ac:dyDescent="0.2">
      <c r="A3" t="s">
        <v>199</v>
      </c>
      <c r="H3" s="3"/>
      <c r="L3" t="s">
        <v>129</v>
      </c>
    </row>
    <row r="4" spans="1:12" ht="14.25" x14ac:dyDescent="0.2">
      <c r="A4" t="s">
        <v>200</v>
      </c>
      <c r="H4" s="3"/>
      <c r="L4" t="s">
        <v>130</v>
      </c>
    </row>
    <row r="5" spans="1:12" ht="14.25" x14ac:dyDescent="0.2">
      <c r="A5" t="s">
        <v>201</v>
      </c>
      <c r="H5" s="3"/>
      <c r="L5" t="s">
        <v>135</v>
      </c>
    </row>
    <row r="6" spans="1:12" ht="14.25" x14ac:dyDescent="0.2">
      <c r="A6" t="s">
        <v>202</v>
      </c>
      <c r="H6" s="3"/>
      <c r="L6" t="s">
        <v>131</v>
      </c>
    </row>
    <row r="7" spans="1:12" ht="14.25" x14ac:dyDescent="0.2">
      <c r="A7" t="s">
        <v>203</v>
      </c>
      <c r="H7" s="3"/>
      <c r="L7" t="s">
        <v>193</v>
      </c>
    </row>
    <row r="8" spans="1:12" ht="14.25" x14ac:dyDescent="0.2">
      <c r="A8" t="s">
        <v>204</v>
      </c>
      <c r="H8" s="3"/>
      <c r="L8" t="s">
        <v>194</v>
      </c>
    </row>
    <row r="9" spans="1:12" ht="14.25" x14ac:dyDescent="0.2">
      <c r="A9" t="s">
        <v>205</v>
      </c>
      <c r="H9" s="3"/>
      <c r="L9" t="s">
        <v>132</v>
      </c>
    </row>
    <row r="10" spans="1:12" ht="14.25" x14ac:dyDescent="0.2">
      <c r="A10" t="s">
        <v>206</v>
      </c>
      <c r="H10" s="3"/>
      <c r="L10" t="s">
        <v>133</v>
      </c>
    </row>
    <row r="11" spans="1:12" ht="14.25" x14ac:dyDescent="0.2">
      <c r="A11" t="s">
        <v>207</v>
      </c>
      <c r="H11" s="3"/>
      <c r="L11" t="s">
        <v>137</v>
      </c>
    </row>
    <row r="12" spans="1:12" ht="14.25" x14ac:dyDescent="0.2">
      <c r="A12" t="s">
        <v>208</v>
      </c>
      <c r="H12" s="3"/>
      <c r="L12" t="s">
        <v>134</v>
      </c>
    </row>
    <row r="13" spans="1:12" ht="14.25" x14ac:dyDescent="0.2">
      <c r="A13" t="s">
        <v>209</v>
      </c>
      <c r="H13" s="3"/>
      <c r="L13" t="s">
        <v>138</v>
      </c>
    </row>
    <row r="14" spans="1:12" ht="14.25" x14ac:dyDescent="0.2">
      <c r="A14" t="s">
        <v>210</v>
      </c>
      <c r="H14" s="3"/>
      <c r="L14" t="s">
        <v>139</v>
      </c>
    </row>
    <row r="15" spans="1:12" ht="14.25" x14ac:dyDescent="0.2">
      <c r="A15" t="s">
        <v>211</v>
      </c>
      <c r="H15" s="3"/>
      <c r="L15" t="s">
        <v>140</v>
      </c>
    </row>
    <row r="16" spans="1:12" ht="14.25" x14ac:dyDescent="0.2">
      <c r="A16" t="s">
        <v>212</v>
      </c>
      <c r="H16" s="3"/>
      <c r="L16" t="s">
        <v>141</v>
      </c>
    </row>
    <row r="17" spans="1:12" ht="14.25" x14ac:dyDescent="0.2">
      <c r="A17" t="s">
        <v>213</v>
      </c>
      <c r="H17" s="3"/>
      <c r="L17" t="s">
        <v>142</v>
      </c>
    </row>
    <row r="18" spans="1:12" ht="14.25" x14ac:dyDescent="0.2">
      <c r="A18" t="s">
        <v>214</v>
      </c>
      <c r="H18" s="3"/>
      <c r="L18" t="s">
        <v>195</v>
      </c>
    </row>
    <row r="19" spans="1:12" ht="14.25" x14ac:dyDescent="0.2">
      <c r="A19" t="s">
        <v>215</v>
      </c>
      <c r="H19" s="3"/>
      <c r="L19" t="s">
        <v>144</v>
      </c>
    </row>
    <row r="20" spans="1:12" ht="14.25" x14ac:dyDescent="0.2">
      <c r="A20" t="s">
        <v>216</v>
      </c>
      <c r="H20" s="3"/>
      <c r="L20" t="s">
        <v>196</v>
      </c>
    </row>
    <row r="21" spans="1:12" x14ac:dyDescent="0.15">
      <c r="A21" t="s">
        <v>217</v>
      </c>
      <c r="L21" t="s">
        <v>197</v>
      </c>
    </row>
    <row r="22" spans="1:12" x14ac:dyDescent="0.15">
      <c r="A22" t="s">
        <v>218</v>
      </c>
      <c r="L22" t="s">
        <v>161</v>
      </c>
    </row>
    <row r="23" spans="1:12" x14ac:dyDescent="0.15">
      <c r="A23" t="s">
        <v>219</v>
      </c>
      <c r="L23" t="s">
        <v>162</v>
      </c>
    </row>
    <row r="24" spans="1:12" x14ac:dyDescent="0.15">
      <c r="A24" t="s">
        <v>220</v>
      </c>
      <c r="L24" t="s">
        <v>163</v>
      </c>
    </row>
    <row r="25" spans="1:12" x14ac:dyDescent="0.15">
      <c r="A25" t="s">
        <v>221</v>
      </c>
      <c r="L25" t="s">
        <v>180</v>
      </c>
    </row>
    <row r="26" spans="1:12" x14ac:dyDescent="0.15">
      <c r="A26" t="s">
        <v>222</v>
      </c>
      <c r="L26" t="s">
        <v>128</v>
      </c>
    </row>
    <row r="27" spans="1:12" x14ac:dyDescent="0.15">
      <c r="A27" t="s">
        <v>223</v>
      </c>
      <c r="L27" t="s">
        <v>129</v>
      </c>
    </row>
    <row r="28" spans="1:12" x14ac:dyDescent="0.15">
      <c r="A28" t="s">
        <v>224</v>
      </c>
      <c r="L28" t="s">
        <v>130</v>
      </c>
    </row>
    <row r="29" spans="1:12" x14ac:dyDescent="0.15">
      <c r="A29" t="s">
        <v>225</v>
      </c>
      <c r="L29" t="s">
        <v>135</v>
      </c>
    </row>
    <row r="30" spans="1:12" x14ac:dyDescent="0.15">
      <c r="A30" t="s">
        <v>226</v>
      </c>
      <c r="L30" t="s">
        <v>131</v>
      </c>
    </row>
    <row r="31" spans="1:12" x14ac:dyDescent="0.15">
      <c r="A31" t="s">
        <v>227</v>
      </c>
      <c r="L31" t="s">
        <v>136</v>
      </c>
    </row>
    <row r="32" spans="1:12" x14ac:dyDescent="0.15">
      <c r="A32" t="s">
        <v>228</v>
      </c>
      <c r="L32" t="s">
        <v>132</v>
      </c>
    </row>
    <row r="33" spans="1:12" x14ac:dyDescent="0.15">
      <c r="A33" t="s">
        <v>229</v>
      </c>
      <c r="L33" t="s">
        <v>133</v>
      </c>
    </row>
    <row r="34" spans="1:12" x14ac:dyDescent="0.15">
      <c r="A34" t="s">
        <v>230</v>
      </c>
      <c r="L34" t="s">
        <v>137</v>
      </c>
    </row>
    <row r="35" spans="1:12" x14ac:dyDescent="0.15">
      <c r="A35" t="s">
        <v>231</v>
      </c>
      <c r="L35" t="s">
        <v>134</v>
      </c>
    </row>
    <row r="36" spans="1:12" x14ac:dyDescent="0.15">
      <c r="A36" t="s">
        <v>232</v>
      </c>
      <c r="L36" t="s">
        <v>138</v>
      </c>
    </row>
    <row r="37" spans="1:12" x14ac:dyDescent="0.15">
      <c r="A37" t="s">
        <v>233</v>
      </c>
      <c r="L37" t="s">
        <v>139</v>
      </c>
    </row>
    <row r="38" spans="1:12" x14ac:dyDescent="0.15">
      <c r="A38" t="s">
        <v>234</v>
      </c>
      <c r="L38" t="s">
        <v>140</v>
      </c>
    </row>
    <row r="39" spans="1:12" x14ac:dyDescent="0.15">
      <c r="A39" t="s">
        <v>235</v>
      </c>
      <c r="L39" t="s">
        <v>141</v>
      </c>
    </row>
    <row r="40" spans="1:12" x14ac:dyDescent="0.15">
      <c r="A40" t="s">
        <v>236</v>
      </c>
      <c r="L40" t="s">
        <v>142</v>
      </c>
    </row>
    <row r="41" spans="1:12" x14ac:dyDescent="0.15">
      <c r="A41" t="s">
        <v>237</v>
      </c>
      <c r="L41" t="s">
        <v>143</v>
      </c>
    </row>
    <row r="42" spans="1:12" x14ac:dyDescent="0.15">
      <c r="A42" t="s">
        <v>238</v>
      </c>
      <c r="L42" t="s">
        <v>144</v>
      </c>
    </row>
    <row r="43" spans="1:12" x14ac:dyDescent="0.15">
      <c r="A43" t="s">
        <v>239</v>
      </c>
      <c r="L43" t="s">
        <v>145</v>
      </c>
    </row>
    <row r="44" spans="1:12" x14ac:dyDescent="0.15">
      <c r="A44" t="s">
        <v>240</v>
      </c>
      <c r="L44" t="s">
        <v>146</v>
      </c>
    </row>
    <row r="45" spans="1:12" x14ac:dyDescent="0.15">
      <c r="A45" t="s">
        <v>241</v>
      </c>
      <c r="L45" t="s">
        <v>147</v>
      </c>
    </row>
    <row r="46" spans="1:12" x14ac:dyDescent="0.15">
      <c r="A46" t="s">
        <v>242</v>
      </c>
      <c r="L46" t="s">
        <v>148</v>
      </c>
    </row>
    <row r="47" spans="1:12" x14ac:dyDescent="0.15">
      <c r="A47" t="s">
        <v>243</v>
      </c>
      <c r="L47" t="s">
        <v>149</v>
      </c>
    </row>
    <row r="48" spans="1:12" x14ac:dyDescent="0.15">
      <c r="A48" t="s">
        <v>244</v>
      </c>
      <c r="L48" t="s">
        <v>150</v>
      </c>
    </row>
    <row r="49" spans="1:12" x14ac:dyDescent="0.15">
      <c r="A49" t="s">
        <v>245</v>
      </c>
      <c r="L49" t="s">
        <v>151</v>
      </c>
    </row>
    <row r="50" spans="1:12" x14ac:dyDescent="0.15">
      <c r="A50" t="s">
        <v>246</v>
      </c>
      <c r="L50" t="s">
        <v>152</v>
      </c>
    </row>
    <row r="51" spans="1:12" x14ac:dyDescent="0.15">
      <c r="A51" t="s">
        <v>247</v>
      </c>
      <c r="L51" t="s">
        <v>153</v>
      </c>
    </row>
    <row r="52" spans="1:12" x14ac:dyDescent="0.15">
      <c r="A52" t="s">
        <v>248</v>
      </c>
      <c r="L52" t="s">
        <v>154</v>
      </c>
    </row>
    <row r="53" spans="1:12" x14ac:dyDescent="0.15">
      <c r="A53" t="s">
        <v>249</v>
      </c>
      <c r="L53" t="s">
        <v>155</v>
      </c>
    </row>
    <row r="54" spans="1:12" x14ac:dyDescent="0.15">
      <c r="A54" t="s">
        <v>250</v>
      </c>
      <c r="L54" t="s">
        <v>156</v>
      </c>
    </row>
    <row r="55" spans="1:12" x14ac:dyDescent="0.15">
      <c r="A55" t="s">
        <v>251</v>
      </c>
      <c r="L55" t="s">
        <v>157</v>
      </c>
    </row>
    <row r="56" spans="1:12" x14ac:dyDescent="0.15">
      <c r="A56" t="s">
        <v>252</v>
      </c>
      <c r="L56" t="s">
        <v>158</v>
      </c>
    </row>
    <row r="57" spans="1:12" x14ac:dyDescent="0.15">
      <c r="A57" t="s">
        <v>253</v>
      </c>
      <c r="L57" t="s">
        <v>159</v>
      </c>
    </row>
    <row r="58" spans="1:12" x14ac:dyDescent="0.15">
      <c r="A58" t="s">
        <v>254</v>
      </c>
      <c r="L58" t="s">
        <v>160</v>
      </c>
    </row>
    <row r="59" spans="1:12" x14ac:dyDescent="0.15">
      <c r="A59" t="s">
        <v>255</v>
      </c>
      <c r="L59" t="s">
        <v>161</v>
      </c>
    </row>
    <row r="60" spans="1:12" x14ac:dyDescent="0.15">
      <c r="A60" t="s">
        <v>256</v>
      </c>
      <c r="L60" t="s">
        <v>162</v>
      </c>
    </row>
    <row r="61" spans="1:12" x14ac:dyDescent="0.15">
      <c r="A61" t="s">
        <v>257</v>
      </c>
      <c r="L61" t="s">
        <v>163</v>
      </c>
    </row>
    <row r="62" spans="1:12" x14ac:dyDescent="0.15">
      <c r="A62" t="s">
        <v>258</v>
      </c>
      <c r="L62" t="s">
        <v>164</v>
      </c>
    </row>
    <row r="63" spans="1:12" x14ac:dyDescent="0.15">
      <c r="A63" t="s">
        <v>259</v>
      </c>
      <c r="L63" t="s">
        <v>165</v>
      </c>
    </row>
    <row r="64" spans="1:12" x14ac:dyDescent="0.15">
      <c r="A64" t="s">
        <v>260</v>
      </c>
      <c r="L64" t="s">
        <v>166</v>
      </c>
    </row>
    <row r="65" spans="1:12" x14ac:dyDescent="0.15">
      <c r="A65" t="s">
        <v>261</v>
      </c>
      <c r="L65" t="s">
        <v>167</v>
      </c>
    </row>
    <row r="66" spans="1:12" x14ac:dyDescent="0.15">
      <c r="A66" t="s">
        <v>262</v>
      </c>
      <c r="L66" t="s">
        <v>168</v>
      </c>
    </row>
    <row r="67" spans="1:12" x14ac:dyDescent="0.15">
      <c r="A67" t="s">
        <v>263</v>
      </c>
      <c r="L67" t="s">
        <v>169</v>
      </c>
    </row>
    <row r="68" spans="1:12" x14ac:dyDescent="0.15">
      <c r="A68" t="s">
        <v>264</v>
      </c>
      <c r="L68" t="s">
        <v>170</v>
      </c>
    </row>
    <row r="69" spans="1:12" x14ac:dyDescent="0.15">
      <c r="A69" t="s">
        <v>265</v>
      </c>
      <c r="L69" t="s">
        <v>171</v>
      </c>
    </row>
    <row r="70" spans="1:12" x14ac:dyDescent="0.15">
      <c r="A70" t="s">
        <v>266</v>
      </c>
      <c r="L70" t="s">
        <v>172</v>
      </c>
    </row>
    <row r="71" spans="1:12" x14ac:dyDescent="0.15">
      <c r="A71" t="s">
        <v>267</v>
      </c>
      <c r="L71" t="s">
        <v>173</v>
      </c>
    </row>
    <row r="72" spans="1:12" x14ac:dyDescent="0.15">
      <c r="A72" t="s">
        <v>268</v>
      </c>
      <c r="L72" t="s">
        <v>174</v>
      </c>
    </row>
    <row r="73" spans="1:12" x14ac:dyDescent="0.15">
      <c r="A73" t="s">
        <v>269</v>
      </c>
      <c r="L73" t="s">
        <v>175</v>
      </c>
    </row>
    <row r="74" spans="1:12" x14ac:dyDescent="0.15">
      <c r="A74" t="s">
        <v>270</v>
      </c>
      <c r="L74" t="s">
        <v>176</v>
      </c>
    </row>
    <row r="75" spans="1:12" x14ac:dyDescent="0.15">
      <c r="A75" t="s">
        <v>271</v>
      </c>
      <c r="L75" t="s">
        <v>177</v>
      </c>
    </row>
    <row r="76" spans="1:12" x14ac:dyDescent="0.15">
      <c r="A76" t="s">
        <v>272</v>
      </c>
      <c r="L76" t="s">
        <v>178</v>
      </c>
    </row>
    <row r="77" spans="1:12" x14ac:dyDescent="0.15">
      <c r="A77" t="s">
        <v>273</v>
      </c>
      <c r="L77" t="s">
        <v>179</v>
      </c>
    </row>
    <row r="78" spans="1:12" x14ac:dyDescent="0.15">
      <c r="A78" t="s">
        <v>274</v>
      </c>
      <c r="L78" t="s">
        <v>180</v>
      </c>
    </row>
    <row r="79" spans="1:12" x14ac:dyDescent="0.15">
      <c r="A79" t="s">
        <v>275</v>
      </c>
      <c r="L79" t="s">
        <v>128</v>
      </c>
    </row>
    <row r="80" spans="1:12" x14ac:dyDescent="0.15">
      <c r="A80" t="s">
        <v>276</v>
      </c>
      <c r="L80" t="s">
        <v>129</v>
      </c>
    </row>
    <row r="81" spans="1:12" x14ac:dyDescent="0.15">
      <c r="A81" t="s">
        <v>277</v>
      </c>
      <c r="L81" t="s">
        <v>130</v>
      </c>
    </row>
    <row r="82" spans="1:12" x14ac:dyDescent="0.15">
      <c r="A82" t="s">
        <v>209</v>
      </c>
      <c r="L82" t="s">
        <v>135</v>
      </c>
    </row>
    <row r="83" spans="1:12" x14ac:dyDescent="0.15">
      <c r="A83" t="s">
        <v>210</v>
      </c>
      <c r="L83" t="s">
        <v>131</v>
      </c>
    </row>
    <row r="84" spans="1:12" x14ac:dyDescent="0.15">
      <c r="A84" t="s">
        <v>211</v>
      </c>
      <c r="L84" t="s">
        <v>136</v>
      </c>
    </row>
    <row r="85" spans="1:12" x14ac:dyDescent="0.15">
      <c r="A85" t="s">
        <v>212</v>
      </c>
      <c r="L85" t="s">
        <v>132</v>
      </c>
    </row>
    <row r="86" spans="1:12" x14ac:dyDescent="0.15">
      <c r="A86" t="s">
        <v>213</v>
      </c>
      <c r="L86" t="s">
        <v>133</v>
      </c>
    </row>
    <row r="87" spans="1:12" x14ac:dyDescent="0.15">
      <c r="A87" t="s">
        <v>214</v>
      </c>
      <c r="L87" t="s">
        <v>137</v>
      </c>
    </row>
    <row r="88" spans="1:12" x14ac:dyDescent="0.15">
      <c r="A88" t="s">
        <v>278</v>
      </c>
      <c r="L88" t="s">
        <v>134</v>
      </c>
    </row>
    <row r="89" spans="1:12" x14ac:dyDescent="0.15">
      <c r="A89" t="s">
        <v>232</v>
      </c>
      <c r="L89" t="s">
        <v>138</v>
      </c>
    </row>
    <row r="90" spans="1:12" x14ac:dyDescent="0.15">
      <c r="A90" t="s">
        <v>233</v>
      </c>
      <c r="L90" t="s">
        <v>139</v>
      </c>
    </row>
    <row r="91" spans="1:12" x14ac:dyDescent="0.15">
      <c r="A91" t="s">
        <v>234</v>
      </c>
      <c r="L91" t="s">
        <v>140</v>
      </c>
    </row>
    <row r="92" spans="1:12" x14ac:dyDescent="0.15">
      <c r="A92" t="s">
        <v>235</v>
      </c>
      <c r="L92" t="s">
        <v>141</v>
      </c>
    </row>
    <row r="93" spans="1:12" x14ac:dyDescent="0.15">
      <c r="A93" t="s">
        <v>236</v>
      </c>
      <c r="L93" t="s">
        <v>142</v>
      </c>
    </row>
    <row r="94" spans="1:12" x14ac:dyDescent="0.15">
      <c r="A94" t="s">
        <v>237</v>
      </c>
      <c r="L94" t="s">
        <v>181</v>
      </c>
    </row>
    <row r="95" spans="1:12" x14ac:dyDescent="0.15">
      <c r="A95" t="s">
        <v>238</v>
      </c>
      <c r="L95" t="s">
        <v>182</v>
      </c>
    </row>
    <row r="96" spans="1:12" x14ac:dyDescent="0.15">
      <c r="A96" t="s">
        <v>279</v>
      </c>
      <c r="L96" t="s">
        <v>164</v>
      </c>
    </row>
    <row r="97" spans="1:12" x14ac:dyDescent="0.15">
      <c r="A97" t="s">
        <v>280</v>
      </c>
      <c r="L97" t="s">
        <v>165</v>
      </c>
    </row>
    <row r="98" spans="1:12" x14ac:dyDescent="0.15">
      <c r="A98" t="s">
        <v>260</v>
      </c>
      <c r="L98" t="s">
        <v>166</v>
      </c>
    </row>
    <row r="99" spans="1:12" x14ac:dyDescent="0.15">
      <c r="A99" t="s">
        <v>261</v>
      </c>
      <c r="L99" t="s">
        <v>167</v>
      </c>
    </row>
    <row r="100" spans="1:12" x14ac:dyDescent="0.15">
      <c r="A100" t="s">
        <v>262</v>
      </c>
      <c r="L100" t="s">
        <v>168</v>
      </c>
    </row>
    <row r="101" spans="1:12" x14ac:dyDescent="0.15">
      <c r="A101" t="s">
        <v>263</v>
      </c>
      <c r="L101" t="s">
        <v>169</v>
      </c>
    </row>
    <row r="102" spans="1:12" x14ac:dyDescent="0.15">
      <c r="A102" t="s">
        <v>264</v>
      </c>
      <c r="L102" t="s">
        <v>170</v>
      </c>
    </row>
    <row r="103" spans="1:12" x14ac:dyDescent="0.15">
      <c r="A103" t="s">
        <v>265</v>
      </c>
      <c r="L103" t="s">
        <v>171</v>
      </c>
    </row>
    <row r="104" spans="1:12" x14ac:dyDescent="0.15">
      <c r="A104" t="s">
        <v>266</v>
      </c>
      <c r="L104" t="s">
        <v>172</v>
      </c>
    </row>
    <row r="105" spans="1:12" x14ac:dyDescent="0.15">
      <c r="A105" t="s">
        <v>267</v>
      </c>
      <c r="L105" t="s">
        <v>173</v>
      </c>
    </row>
    <row r="106" spans="1:12" x14ac:dyDescent="0.15">
      <c r="A106" t="s">
        <v>268</v>
      </c>
      <c r="L106" t="s">
        <v>174</v>
      </c>
    </row>
    <row r="107" spans="1:12" x14ac:dyDescent="0.15">
      <c r="A107" t="s">
        <v>269</v>
      </c>
      <c r="L107" t="s">
        <v>175</v>
      </c>
    </row>
    <row r="108" spans="1:12" x14ac:dyDescent="0.15">
      <c r="A108" t="s">
        <v>270</v>
      </c>
      <c r="L108" t="s">
        <v>176</v>
      </c>
    </row>
    <row r="109" spans="1:12" x14ac:dyDescent="0.15">
      <c r="A109" t="s">
        <v>271</v>
      </c>
      <c r="L109" t="s">
        <v>177</v>
      </c>
    </row>
    <row r="110" spans="1:12" x14ac:dyDescent="0.15">
      <c r="A110" t="s">
        <v>272</v>
      </c>
      <c r="L110" t="s">
        <v>178</v>
      </c>
    </row>
    <row r="111" spans="1:12" x14ac:dyDescent="0.15">
      <c r="A111" t="s">
        <v>273</v>
      </c>
      <c r="L111" t="s">
        <v>179</v>
      </c>
    </row>
    <row r="112" spans="1:12" x14ac:dyDescent="0.15">
      <c r="A112" t="s">
        <v>274</v>
      </c>
    </row>
    <row r="113" spans="1:1" x14ac:dyDescent="0.15">
      <c r="A113" t="s">
        <v>281</v>
      </c>
    </row>
    <row r="114" spans="1:1" x14ac:dyDescent="0.15">
      <c r="A114" t="s">
        <v>282</v>
      </c>
    </row>
    <row r="115" spans="1:1" x14ac:dyDescent="0.15">
      <c r="A115" t="s">
        <v>283</v>
      </c>
    </row>
    <row r="116" spans="1:1" x14ac:dyDescent="0.15">
      <c r="A116" t="s">
        <v>284</v>
      </c>
    </row>
    <row r="117" spans="1:1" x14ac:dyDescent="0.15">
      <c r="A117" t="s">
        <v>285</v>
      </c>
    </row>
    <row r="118" spans="1:1" x14ac:dyDescent="0.15">
      <c r="A118" t="s">
        <v>286</v>
      </c>
    </row>
    <row r="119" spans="1:1" x14ac:dyDescent="0.15">
      <c r="A119" t="s">
        <v>287</v>
      </c>
    </row>
    <row r="120" spans="1:1" x14ac:dyDescent="0.15">
      <c r="A120" t="s">
        <v>288</v>
      </c>
    </row>
    <row r="121" spans="1:1" x14ac:dyDescent="0.15">
      <c r="A121" t="s">
        <v>289</v>
      </c>
    </row>
    <row r="122" spans="1:1" x14ac:dyDescent="0.15">
      <c r="A122" t="s">
        <v>290</v>
      </c>
    </row>
    <row r="123" spans="1:1" x14ac:dyDescent="0.15">
      <c r="A123" t="s">
        <v>291</v>
      </c>
    </row>
    <row r="124" spans="1:1" x14ac:dyDescent="0.15">
      <c r="A124" t="s">
        <v>292</v>
      </c>
    </row>
    <row r="125" spans="1:1" x14ac:dyDescent="0.15">
      <c r="A125" t="s">
        <v>293</v>
      </c>
    </row>
    <row r="126" spans="1:1" x14ac:dyDescent="0.15">
      <c r="A126" t="s">
        <v>294</v>
      </c>
    </row>
    <row r="127" spans="1:1" x14ac:dyDescent="0.15">
      <c r="A127" t="s">
        <v>295</v>
      </c>
    </row>
    <row r="128" spans="1:1" x14ac:dyDescent="0.15">
      <c r="A128" t="s">
        <v>296</v>
      </c>
    </row>
    <row r="129" spans="1:1" x14ac:dyDescent="0.15">
      <c r="A129" t="s">
        <v>297</v>
      </c>
    </row>
    <row r="130" spans="1:1" x14ac:dyDescent="0.15">
      <c r="A130" t="s">
        <v>298</v>
      </c>
    </row>
    <row r="131" spans="1:1" x14ac:dyDescent="0.15">
      <c r="A131" t="s">
        <v>299</v>
      </c>
    </row>
    <row r="132" spans="1:1" x14ac:dyDescent="0.15">
      <c r="A132" t="s">
        <v>300</v>
      </c>
    </row>
    <row r="133" spans="1:1" x14ac:dyDescent="0.15">
      <c r="A133" t="s">
        <v>301</v>
      </c>
    </row>
    <row r="134" spans="1:1" x14ac:dyDescent="0.15">
      <c r="A134" t="s">
        <v>302</v>
      </c>
    </row>
    <row r="135" spans="1:1" x14ac:dyDescent="0.15">
      <c r="A135" t="s">
        <v>303</v>
      </c>
    </row>
    <row r="136" spans="1:1" x14ac:dyDescent="0.15">
      <c r="A136" t="s">
        <v>198</v>
      </c>
    </row>
    <row r="137" spans="1:1" x14ac:dyDescent="0.15">
      <c r="A137" t="s">
        <v>199</v>
      </c>
    </row>
    <row r="138" spans="1:1" x14ac:dyDescent="0.15">
      <c r="A138" t="s">
        <v>200</v>
      </c>
    </row>
    <row r="139" spans="1:1" x14ac:dyDescent="0.15">
      <c r="A139" t="s">
        <v>201</v>
      </c>
    </row>
    <row r="140" spans="1:1" x14ac:dyDescent="0.15">
      <c r="A140" t="s">
        <v>202</v>
      </c>
    </row>
    <row r="141" spans="1:1" x14ac:dyDescent="0.15">
      <c r="A141" t="s">
        <v>304</v>
      </c>
    </row>
    <row r="142" spans="1:1" x14ac:dyDescent="0.15">
      <c r="A142" t="s">
        <v>305</v>
      </c>
    </row>
    <row r="143" spans="1:1" x14ac:dyDescent="0.15">
      <c r="A143" t="s">
        <v>306</v>
      </c>
    </row>
    <row r="144" spans="1:1" x14ac:dyDescent="0.15">
      <c r="A144" t="s">
        <v>204</v>
      </c>
    </row>
    <row r="145" spans="1:1" x14ac:dyDescent="0.15">
      <c r="A145" t="s">
        <v>205</v>
      </c>
    </row>
    <row r="146" spans="1:1" x14ac:dyDescent="0.15">
      <c r="A146" t="s">
        <v>307</v>
      </c>
    </row>
    <row r="147" spans="1:1" x14ac:dyDescent="0.15">
      <c r="A147" t="s">
        <v>207</v>
      </c>
    </row>
    <row r="148" spans="1:1" x14ac:dyDescent="0.15">
      <c r="A148" t="s">
        <v>308</v>
      </c>
    </row>
    <row r="149" spans="1:1" x14ac:dyDescent="0.15">
      <c r="A149" t="s">
        <v>283</v>
      </c>
    </row>
    <row r="150" spans="1:1" x14ac:dyDescent="0.15">
      <c r="A150" t="s">
        <v>309</v>
      </c>
    </row>
    <row r="151" spans="1:1" x14ac:dyDescent="0.15">
      <c r="A151" t="s">
        <v>310</v>
      </c>
    </row>
    <row r="152" spans="1:1" x14ac:dyDescent="0.15">
      <c r="A152" t="s">
        <v>288</v>
      </c>
    </row>
    <row r="153" spans="1:1" x14ac:dyDescent="0.15">
      <c r="A153" t="s">
        <v>289</v>
      </c>
    </row>
    <row r="154" spans="1:1" x14ac:dyDescent="0.15">
      <c r="A154" t="s">
        <v>290</v>
      </c>
    </row>
    <row r="155" spans="1:1" x14ac:dyDescent="0.15">
      <c r="A155" t="s">
        <v>291</v>
      </c>
    </row>
    <row r="156" spans="1:1" x14ac:dyDescent="0.15">
      <c r="A156" t="s">
        <v>292</v>
      </c>
    </row>
    <row r="157" spans="1:1" x14ac:dyDescent="0.15">
      <c r="A157" t="s">
        <v>293</v>
      </c>
    </row>
    <row r="158" spans="1:1" x14ac:dyDescent="0.15">
      <c r="A158" t="s">
        <v>294</v>
      </c>
    </row>
    <row r="159" spans="1:1" x14ac:dyDescent="0.15">
      <c r="A159" t="s">
        <v>295</v>
      </c>
    </row>
    <row r="160" spans="1:1" x14ac:dyDescent="0.15">
      <c r="A160" t="s">
        <v>296</v>
      </c>
    </row>
    <row r="161" spans="1:1" x14ac:dyDescent="0.15">
      <c r="A161" t="s">
        <v>297</v>
      </c>
    </row>
    <row r="162" spans="1:1" x14ac:dyDescent="0.15">
      <c r="A162" t="s">
        <v>298</v>
      </c>
    </row>
    <row r="163" spans="1:1" x14ac:dyDescent="0.15">
      <c r="A163" t="s">
        <v>299</v>
      </c>
    </row>
    <row r="164" spans="1:1" x14ac:dyDescent="0.15">
      <c r="A164" t="s">
        <v>300</v>
      </c>
    </row>
    <row r="165" spans="1:1" x14ac:dyDescent="0.15">
      <c r="A165" t="s">
        <v>301</v>
      </c>
    </row>
    <row r="166" spans="1:1" x14ac:dyDescent="0.15">
      <c r="A166" t="s">
        <v>302</v>
      </c>
    </row>
    <row r="180" spans="1:12" x14ac:dyDescent="0.15">
      <c r="A180" s="4" t="s">
        <v>313</v>
      </c>
    </row>
    <row r="181" spans="1:12" x14ac:dyDescent="0.15">
      <c r="A181" t="s">
        <v>198</v>
      </c>
    </row>
    <row r="182" spans="1:12" x14ac:dyDescent="0.15">
      <c r="A182" t="s">
        <v>199</v>
      </c>
      <c r="L182" t="s">
        <v>128</v>
      </c>
    </row>
    <row r="183" spans="1:12" x14ac:dyDescent="0.15">
      <c r="A183" t="s">
        <v>200</v>
      </c>
      <c r="L183" t="s">
        <v>129</v>
      </c>
    </row>
    <row r="184" spans="1:12" x14ac:dyDescent="0.15">
      <c r="A184" t="s">
        <v>201</v>
      </c>
      <c r="L184" t="s">
        <v>130</v>
      </c>
    </row>
    <row r="185" spans="1:12" x14ac:dyDescent="0.15">
      <c r="A185" t="s">
        <v>202</v>
      </c>
      <c r="L185" t="s">
        <v>135</v>
      </c>
    </row>
    <row r="186" spans="1:12" x14ac:dyDescent="0.15">
      <c r="A186" t="s">
        <v>203</v>
      </c>
      <c r="L186" t="s">
        <v>131</v>
      </c>
    </row>
    <row r="187" spans="1:12" x14ac:dyDescent="0.15">
      <c r="A187" t="s">
        <v>204</v>
      </c>
      <c r="L187" t="s">
        <v>136</v>
      </c>
    </row>
    <row r="188" spans="1:12" x14ac:dyDescent="0.15">
      <c r="A188" t="s">
        <v>205</v>
      </c>
      <c r="L188" t="s">
        <v>132</v>
      </c>
    </row>
    <row r="189" spans="1:12" x14ac:dyDescent="0.15">
      <c r="A189" t="s">
        <v>206</v>
      </c>
      <c r="L189" t="s">
        <v>133</v>
      </c>
    </row>
    <row r="190" spans="1:12" x14ac:dyDescent="0.15">
      <c r="A190" t="s">
        <v>207</v>
      </c>
      <c r="L190" t="s">
        <v>137</v>
      </c>
    </row>
    <row r="191" spans="1:12" x14ac:dyDescent="0.15">
      <c r="A191" t="s">
        <v>357</v>
      </c>
      <c r="L191" t="s">
        <v>134</v>
      </c>
    </row>
    <row r="192" spans="1:12" x14ac:dyDescent="0.15">
      <c r="A192" t="s">
        <v>277</v>
      </c>
      <c r="L192" t="s">
        <v>138</v>
      </c>
    </row>
    <row r="193" spans="1:12" x14ac:dyDescent="0.15">
      <c r="A193" t="s">
        <v>209</v>
      </c>
      <c r="L193" t="s">
        <v>139</v>
      </c>
    </row>
    <row r="194" spans="1:12" x14ac:dyDescent="0.15">
      <c r="A194" t="s">
        <v>210</v>
      </c>
      <c r="L194" t="s">
        <v>140</v>
      </c>
    </row>
    <row r="195" spans="1:12" x14ac:dyDescent="0.15">
      <c r="A195" t="s">
        <v>211</v>
      </c>
      <c r="L195" t="s">
        <v>141</v>
      </c>
    </row>
    <row r="196" spans="1:12" x14ac:dyDescent="0.15">
      <c r="A196" t="s">
        <v>212</v>
      </c>
      <c r="L196" t="s">
        <v>142</v>
      </c>
    </row>
    <row r="197" spans="1:12" x14ac:dyDescent="0.15">
      <c r="A197" t="s">
        <v>213</v>
      </c>
      <c r="L197" t="s">
        <v>181</v>
      </c>
    </row>
    <row r="198" spans="1:12" x14ac:dyDescent="0.15">
      <c r="A198" t="s">
        <v>214</v>
      </c>
      <c r="L198" t="s">
        <v>182</v>
      </c>
    </row>
    <row r="199" spans="1:12" x14ac:dyDescent="0.15">
      <c r="A199" t="s">
        <v>278</v>
      </c>
      <c r="L199" t="s">
        <v>164</v>
      </c>
    </row>
    <row r="200" spans="1:12" x14ac:dyDescent="0.15">
      <c r="A200" t="s">
        <v>232</v>
      </c>
      <c r="L200" t="s">
        <v>374</v>
      </c>
    </row>
    <row r="201" spans="1:12" x14ac:dyDescent="0.15">
      <c r="A201" t="s">
        <v>233</v>
      </c>
      <c r="L201" t="s">
        <v>375</v>
      </c>
    </row>
    <row r="202" spans="1:12" x14ac:dyDescent="0.15">
      <c r="A202" t="s">
        <v>234</v>
      </c>
      <c r="L202" t="s">
        <v>376</v>
      </c>
    </row>
    <row r="203" spans="1:12" x14ac:dyDescent="0.15">
      <c r="A203" t="s">
        <v>235</v>
      </c>
      <c r="L203" t="s">
        <v>377</v>
      </c>
    </row>
    <row r="204" spans="1:12" x14ac:dyDescent="0.15">
      <c r="A204" t="s">
        <v>236</v>
      </c>
      <c r="L204" t="s">
        <v>378</v>
      </c>
    </row>
    <row r="205" spans="1:12" x14ac:dyDescent="0.15">
      <c r="A205" t="s">
        <v>237</v>
      </c>
      <c r="L205" t="s">
        <v>379</v>
      </c>
    </row>
    <row r="206" spans="1:12" x14ac:dyDescent="0.15">
      <c r="A206" t="s">
        <v>238</v>
      </c>
      <c r="L206" t="s">
        <v>380</v>
      </c>
    </row>
    <row r="207" spans="1:12" x14ac:dyDescent="0.15">
      <c r="A207" t="s">
        <v>279</v>
      </c>
      <c r="L207" t="s">
        <v>381</v>
      </c>
    </row>
    <row r="208" spans="1:12" x14ac:dyDescent="0.15">
      <c r="A208" t="s">
        <v>280</v>
      </c>
      <c r="L208" t="s">
        <v>382</v>
      </c>
    </row>
    <row r="209" spans="1:12" x14ac:dyDescent="0.15">
      <c r="A209" t="s">
        <v>260</v>
      </c>
      <c r="L209" t="s">
        <v>383</v>
      </c>
    </row>
    <row r="210" spans="1:12" x14ac:dyDescent="0.15">
      <c r="A210" t="s">
        <v>358</v>
      </c>
      <c r="L210" t="s">
        <v>384</v>
      </c>
    </row>
    <row r="211" spans="1:12" x14ac:dyDescent="0.15">
      <c r="A211" t="s">
        <v>359</v>
      </c>
      <c r="L211" t="s">
        <v>385</v>
      </c>
    </row>
    <row r="212" spans="1:12" x14ac:dyDescent="0.15">
      <c r="A212" t="s">
        <v>360</v>
      </c>
      <c r="L212" t="s">
        <v>386</v>
      </c>
    </row>
    <row r="213" spans="1:12" x14ac:dyDescent="0.15">
      <c r="A213" t="s">
        <v>361</v>
      </c>
      <c r="L213" t="s">
        <v>387</v>
      </c>
    </row>
    <row r="214" spans="1:12" x14ac:dyDescent="0.15">
      <c r="A214" t="s">
        <v>362</v>
      </c>
      <c r="L214" t="s">
        <v>388</v>
      </c>
    </row>
    <row r="215" spans="1:12" x14ac:dyDescent="0.15">
      <c r="A215" t="s">
        <v>363</v>
      </c>
      <c r="L215" t="s">
        <v>389</v>
      </c>
    </row>
    <row r="216" spans="1:12" x14ac:dyDescent="0.15">
      <c r="A216" t="s">
        <v>364</v>
      </c>
      <c r="L216" t="s">
        <v>179</v>
      </c>
    </row>
    <row r="217" spans="1:12" x14ac:dyDescent="0.15">
      <c r="A217" t="s">
        <v>365</v>
      </c>
    </row>
    <row r="218" spans="1:12" x14ac:dyDescent="0.15">
      <c r="A218" t="s">
        <v>366</v>
      </c>
    </row>
    <row r="219" spans="1:12" x14ac:dyDescent="0.15">
      <c r="A219" t="s">
        <v>367</v>
      </c>
    </row>
    <row r="220" spans="1:12" x14ac:dyDescent="0.15">
      <c r="A220" t="s">
        <v>368</v>
      </c>
    </row>
    <row r="221" spans="1:12" x14ac:dyDescent="0.15">
      <c r="A221" t="s">
        <v>369</v>
      </c>
    </row>
    <row r="222" spans="1:12" x14ac:dyDescent="0.15">
      <c r="A222" t="s">
        <v>370</v>
      </c>
    </row>
    <row r="223" spans="1:12" x14ac:dyDescent="0.15">
      <c r="A223" t="s">
        <v>371</v>
      </c>
    </row>
    <row r="224" spans="1:12" x14ac:dyDescent="0.15">
      <c r="A224" t="s">
        <v>372</v>
      </c>
    </row>
    <row r="225" spans="1:1" x14ac:dyDescent="0.15">
      <c r="A225" t="s">
        <v>373</v>
      </c>
    </row>
    <row r="226" spans="1:1" x14ac:dyDescent="0.15">
      <c r="A226" t="s">
        <v>281</v>
      </c>
    </row>
    <row r="227" spans="1:1" x14ac:dyDescent="0.15">
      <c r="A227" t="s">
        <v>282</v>
      </c>
    </row>
    <row r="228" spans="1:1" x14ac:dyDescent="0.15">
      <c r="A228" t="s">
        <v>283</v>
      </c>
    </row>
    <row r="229" spans="1:1" x14ac:dyDescent="0.15">
      <c r="A229" t="s">
        <v>284</v>
      </c>
    </row>
    <row r="230" spans="1:1" x14ac:dyDescent="0.15">
      <c r="A230" t="s">
        <v>285</v>
      </c>
    </row>
    <row r="231" spans="1:1" x14ac:dyDescent="0.15">
      <c r="A231" t="s">
        <v>286</v>
      </c>
    </row>
    <row r="232" spans="1:1" x14ac:dyDescent="0.15">
      <c r="A232" t="s">
        <v>287</v>
      </c>
    </row>
    <row r="233" spans="1:1" x14ac:dyDescent="0.15">
      <c r="A233" t="s">
        <v>374</v>
      </c>
    </row>
    <row r="234" spans="1:1" x14ac:dyDescent="0.15">
      <c r="A234" t="s">
        <v>375</v>
      </c>
    </row>
    <row r="235" spans="1:1" x14ac:dyDescent="0.15">
      <c r="A235" t="s">
        <v>376</v>
      </c>
    </row>
    <row r="236" spans="1:1" x14ac:dyDescent="0.15">
      <c r="A236" t="s">
        <v>377</v>
      </c>
    </row>
    <row r="237" spans="1:1" x14ac:dyDescent="0.15">
      <c r="A237" t="s">
        <v>378</v>
      </c>
    </row>
    <row r="238" spans="1:1" x14ac:dyDescent="0.15">
      <c r="A238" t="s">
        <v>379</v>
      </c>
    </row>
    <row r="239" spans="1:1" x14ac:dyDescent="0.15">
      <c r="A239" t="s">
        <v>380</v>
      </c>
    </row>
    <row r="240" spans="1:1" x14ac:dyDescent="0.15">
      <c r="A240" t="s">
        <v>381</v>
      </c>
    </row>
    <row r="241" spans="1:1" x14ac:dyDescent="0.15">
      <c r="A241" t="s">
        <v>382</v>
      </c>
    </row>
    <row r="242" spans="1:1" x14ac:dyDescent="0.15">
      <c r="A242" t="s">
        <v>383</v>
      </c>
    </row>
    <row r="243" spans="1:1" x14ac:dyDescent="0.15">
      <c r="A243" t="s">
        <v>384</v>
      </c>
    </row>
    <row r="244" spans="1:1" x14ac:dyDescent="0.15">
      <c r="A244" t="s">
        <v>385</v>
      </c>
    </row>
    <row r="245" spans="1:1" x14ac:dyDescent="0.15">
      <c r="A245" t="s">
        <v>386</v>
      </c>
    </row>
    <row r="246" spans="1:1" x14ac:dyDescent="0.15">
      <c r="A246" t="s">
        <v>387</v>
      </c>
    </row>
    <row r="247" spans="1:1" x14ac:dyDescent="0.15">
      <c r="A247" t="s">
        <v>388</v>
      </c>
    </row>
    <row r="248" spans="1:1" x14ac:dyDescent="0.15">
      <c r="A248" t="s">
        <v>389</v>
      </c>
    </row>
    <row r="249" spans="1:1" x14ac:dyDescent="0.15">
      <c r="A249" t="s">
        <v>302</v>
      </c>
    </row>
    <row r="250" spans="1:1" x14ac:dyDescent="0.15">
      <c r="A250" t="s">
        <v>303</v>
      </c>
    </row>
    <row r="251" spans="1:1" x14ac:dyDescent="0.15">
      <c r="A251" t="s">
        <v>198</v>
      </c>
    </row>
    <row r="252" spans="1:1" x14ac:dyDescent="0.15">
      <c r="A252" t="s">
        <v>199</v>
      </c>
    </row>
    <row r="253" spans="1:1" x14ac:dyDescent="0.15">
      <c r="A253" t="s">
        <v>200</v>
      </c>
    </row>
    <row r="254" spans="1:1" x14ac:dyDescent="0.15">
      <c r="A254" t="s">
        <v>201</v>
      </c>
    </row>
    <row r="255" spans="1:1" x14ac:dyDescent="0.15">
      <c r="A255" t="s">
        <v>202</v>
      </c>
    </row>
    <row r="256" spans="1:1" x14ac:dyDescent="0.15">
      <c r="A256" t="s">
        <v>304</v>
      </c>
    </row>
    <row r="257" spans="1:1" x14ac:dyDescent="0.15">
      <c r="A257" t="s">
        <v>305</v>
      </c>
    </row>
    <row r="258" spans="1:1" x14ac:dyDescent="0.15">
      <c r="A258" t="s">
        <v>306</v>
      </c>
    </row>
    <row r="259" spans="1:1" x14ac:dyDescent="0.15">
      <c r="A259" t="s">
        <v>204</v>
      </c>
    </row>
    <row r="260" spans="1:1" x14ac:dyDescent="0.15">
      <c r="A260" t="s">
        <v>205</v>
      </c>
    </row>
    <row r="261" spans="1:1" x14ac:dyDescent="0.15">
      <c r="A261" t="s">
        <v>307</v>
      </c>
    </row>
    <row r="262" spans="1:1" x14ac:dyDescent="0.15">
      <c r="A262" t="s">
        <v>207</v>
      </c>
    </row>
    <row r="263" spans="1:1" x14ac:dyDescent="0.15">
      <c r="A263" t="s">
        <v>308</v>
      </c>
    </row>
    <row r="264" spans="1:1" x14ac:dyDescent="0.15">
      <c r="A264" t="s">
        <v>283</v>
      </c>
    </row>
    <row r="265" spans="1:1" x14ac:dyDescent="0.15">
      <c r="A265" t="s">
        <v>309</v>
      </c>
    </row>
    <row r="266" spans="1:1" x14ac:dyDescent="0.15">
      <c r="A266" t="s">
        <v>390</v>
      </c>
    </row>
    <row r="267" spans="1:1" x14ac:dyDescent="0.15">
      <c r="A267" t="s">
        <v>374</v>
      </c>
    </row>
    <row r="268" spans="1:1" x14ac:dyDescent="0.15">
      <c r="A268" t="s">
        <v>375</v>
      </c>
    </row>
    <row r="269" spans="1:1" x14ac:dyDescent="0.15">
      <c r="A269" t="s">
        <v>376</v>
      </c>
    </row>
    <row r="270" spans="1:1" x14ac:dyDescent="0.15">
      <c r="A270" t="s">
        <v>377</v>
      </c>
    </row>
    <row r="271" spans="1:1" x14ac:dyDescent="0.15">
      <c r="A271" t="s">
        <v>378</v>
      </c>
    </row>
    <row r="272" spans="1:1" x14ac:dyDescent="0.15">
      <c r="A272" t="s">
        <v>379</v>
      </c>
    </row>
    <row r="273" spans="1:1" x14ac:dyDescent="0.15">
      <c r="A273" t="s">
        <v>380</v>
      </c>
    </row>
    <row r="274" spans="1:1" x14ac:dyDescent="0.15">
      <c r="A274" t="s">
        <v>381</v>
      </c>
    </row>
    <row r="275" spans="1:1" x14ac:dyDescent="0.15">
      <c r="A275" t="s">
        <v>382</v>
      </c>
    </row>
    <row r="276" spans="1:1" x14ac:dyDescent="0.15">
      <c r="A276" t="s">
        <v>383</v>
      </c>
    </row>
    <row r="277" spans="1:1" x14ac:dyDescent="0.15">
      <c r="A277" t="s">
        <v>384</v>
      </c>
    </row>
    <row r="278" spans="1:1" x14ac:dyDescent="0.15">
      <c r="A278" t="s">
        <v>385</v>
      </c>
    </row>
    <row r="279" spans="1:1" x14ac:dyDescent="0.15">
      <c r="A279" t="s">
        <v>386</v>
      </c>
    </row>
    <row r="280" spans="1:1" x14ac:dyDescent="0.15">
      <c r="A280" t="s">
        <v>387</v>
      </c>
    </row>
    <row r="281" spans="1:1" x14ac:dyDescent="0.15">
      <c r="A281" t="s">
        <v>388</v>
      </c>
    </row>
    <row r="282" spans="1:1" x14ac:dyDescent="0.15">
      <c r="A282" t="s">
        <v>389</v>
      </c>
    </row>
    <row r="283" spans="1:1" x14ac:dyDescent="0.15">
      <c r="A283" t="s">
        <v>302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B6" sqref="B6"/>
    </sheetView>
  </sheetViews>
  <sheetFormatPr defaultRowHeight="13.5" x14ac:dyDescent="0.15"/>
  <cols>
    <col min="1" max="1" width="43.875" style="6" customWidth="1"/>
    <col min="2" max="2" width="61.75" style="6" customWidth="1"/>
  </cols>
  <sheetData>
    <row r="1" spans="1:2" x14ac:dyDescent="0.15">
      <c r="A1" s="10" t="s">
        <v>10</v>
      </c>
      <c r="B1" s="10" t="s">
        <v>7</v>
      </c>
    </row>
    <row r="2" spans="1:2" x14ac:dyDescent="0.15">
      <c r="A2" s="15" t="s">
        <v>447</v>
      </c>
      <c r="B2" s="15" t="s">
        <v>520</v>
      </c>
    </row>
    <row r="3" spans="1:2" x14ac:dyDescent="0.15">
      <c r="A3" s="15" t="s">
        <v>450</v>
      </c>
      <c r="B3" s="15" t="s">
        <v>519</v>
      </c>
    </row>
    <row r="4" spans="1:2" x14ac:dyDescent="0.15">
      <c r="A4" s="15" t="s">
        <v>449</v>
      </c>
      <c r="B4" s="15" t="s">
        <v>521</v>
      </c>
    </row>
    <row r="5" spans="1:2" x14ac:dyDescent="0.15">
      <c r="A5" s="15" t="s">
        <v>448</v>
      </c>
      <c r="B5" s="15" t="s">
        <v>522</v>
      </c>
    </row>
    <row r="6" spans="1:2" x14ac:dyDescent="0.15">
      <c r="A6" s="15" t="s">
        <v>651</v>
      </c>
      <c r="B6" s="15" t="s">
        <v>100</v>
      </c>
    </row>
    <row r="7" spans="1:2" x14ac:dyDescent="0.15">
      <c r="A7" s="15" t="s">
        <v>446</v>
      </c>
      <c r="B7" s="15" t="s">
        <v>523</v>
      </c>
    </row>
    <row r="8" spans="1:2" x14ac:dyDescent="0.15">
      <c r="A8" s="15" t="s">
        <v>432</v>
      </c>
      <c r="B8" s="15" t="s">
        <v>524</v>
      </c>
    </row>
    <row r="9" spans="1:2" x14ac:dyDescent="0.15">
      <c r="A9" s="15" t="s">
        <v>433</v>
      </c>
      <c r="B9" s="15" t="s">
        <v>525</v>
      </c>
    </row>
    <row r="10" spans="1:2" x14ac:dyDescent="0.15">
      <c r="A10" s="15" t="s">
        <v>431</v>
      </c>
      <c r="B10" s="15" t="s">
        <v>526</v>
      </c>
    </row>
    <row r="11" spans="1:2" x14ac:dyDescent="0.15">
      <c r="A11" s="15" t="s">
        <v>413</v>
      </c>
      <c r="B11" s="15" t="s">
        <v>90</v>
      </c>
    </row>
    <row r="12" spans="1:2" x14ac:dyDescent="0.15">
      <c r="A12" s="15" t="s">
        <v>425</v>
      </c>
      <c r="B12" s="15" t="s">
        <v>92</v>
      </c>
    </row>
    <row r="13" spans="1:2" x14ac:dyDescent="0.15">
      <c r="A13" s="15" t="s">
        <v>426</v>
      </c>
      <c r="B13" s="15" t="s">
        <v>92</v>
      </c>
    </row>
    <row r="14" spans="1:2" x14ac:dyDescent="0.15">
      <c r="A14" s="15" t="s">
        <v>427</v>
      </c>
      <c r="B14" s="15" t="s">
        <v>92</v>
      </c>
    </row>
    <row r="15" spans="1:2" x14ac:dyDescent="0.15">
      <c r="A15" s="15" t="s">
        <v>428</v>
      </c>
      <c r="B15" s="15" t="s">
        <v>92</v>
      </c>
    </row>
    <row r="16" spans="1:2" x14ac:dyDescent="0.15">
      <c r="A16" s="15" t="s">
        <v>429</v>
      </c>
      <c r="B16" s="15" t="s">
        <v>92</v>
      </c>
    </row>
    <row r="17" spans="1:2" x14ac:dyDescent="0.15">
      <c r="A17" s="15" t="s">
        <v>513</v>
      </c>
      <c r="B17" s="15" t="s">
        <v>517</v>
      </c>
    </row>
    <row r="18" spans="1:2" x14ac:dyDescent="0.15">
      <c r="A18" s="15" t="s">
        <v>437</v>
      </c>
      <c r="B18" s="15" t="s">
        <v>93</v>
      </c>
    </row>
    <row r="19" spans="1:2" x14ac:dyDescent="0.15">
      <c r="A19" s="15" t="s">
        <v>438</v>
      </c>
      <c r="B19" s="15" t="s">
        <v>93</v>
      </c>
    </row>
    <row r="20" spans="1:2" x14ac:dyDescent="0.15">
      <c r="A20" s="15" t="s">
        <v>439</v>
      </c>
      <c r="B20" s="15" t="s">
        <v>93</v>
      </c>
    </row>
    <row r="21" spans="1:2" x14ac:dyDescent="0.15">
      <c r="A21" s="15" t="s">
        <v>440</v>
      </c>
      <c r="B21" s="15" t="s">
        <v>93</v>
      </c>
    </row>
    <row r="22" spans="1:2" x14ac:dyDescent="0.15">
      <c r="A22" s="21" t="s">
        <v>509</v>
      </c>
      <c r="B22" s="15" t="s">
        <v>518</v>
      </c>
    </row>
    <row r="23" spans="1:2" x14ac:dyDescent="0.15">
      <c r="A23" s="21" t="s">
        <v>506</v>
      </c>
      <c r="B23" s="15" t="s">
        <v>93</v>
      </c>
    </row>
    <row r="24" spans="1:2" x14ac:dyDescent="0.15">
      <c r="A24" s="21" t="s">
        <v>441</v>
      </c>
      <c r="B24" s="15" t="s">
        <v>93</v>
      </c>
    </row>
    <row r="25" spans="1:2" x14ac:dyDescent="0.15">
      <c r="A25" s="15" t="s">
        <v>442</v>
      </c>
      <c r="B25" s="15" t="s">
        <v>93</v>
      </c>
    </row>
    <row r="26" spans="1:2" x14ac:dyDescent="0.15">
      <c r="A26" s="15" t="s">
        <v>443</v>
      </c>
      <c r="B26" s="15" t="s">
        <v>93</v>
      </c>
    </row>
    <row r="27" spans="1:2" x14ac:dyDescent="0.15">
      <c r="A27" s="15" t="s">
        <v>444</v>
      </c>
      <c r="B27" s="15" t="s">
        <v>93</v>
      </c>
    </row>
    <row r="28" spans="1:2" x14ac:dyDescent="0.15">
      <c r="A28" s="15" t="s">
        <v>423</v>
      </c>
      <c r="B28" s="15" t="s">
        <v>98</v>
      </c>
    </row>
    <row r="29" spans="1:2" x14ac:dyDescent="0.15">
      <c r="A29" s="15" t="s">
        <v>424</v>
      </c>
      <c r="B29" s="15" t="s">
        <v>99</v>
      </c>
    </row>
    <row r="30" spans="1:2" x14ac:dyDescent="0.15">
      <c r="A30" s="15" t="s">
        <v>419</v>
      </c>
      <c r="B30" s="15" t="s">
        <v>94</v>
      </c>
    </row>
    <row r="31" spans="1:2" x14ac:dyDescent="0.15">
      <c r="A31" s="15" t="s">
        <v>420</v>
      </c>
      <c r="B31" s="15" t="s">
        <v>95</v>
      </c>
    </row>
    <row r="32" spans="1:2" x14ac:dyDescent="0.15">
      <c r="A32" s="15" t="s">
        <v>422</v>
      </c>
      <c r="B32" s="15" t="s">
        <v>97</v>
      </c>
    </row>
    <row r="33" spans="1:2" x14ac:dyDescent="0.15">
      <c r="A33" s="15" t="s">
        <v>421</v>
      </c>
      <c r="B33" s="15" t="s">
        <v>96</v>
      </c>
    </row>
    <row r="34" spans="1:2" x14ac:dyDescent="0.15">
      <c r="A34" s="15" t="s">
        <v>414</v>
      </c>
      <c r="B34" s="15" t="s">
        <v>41</v>
      </c>
    </row>
    <row r="35" spans="1:2" x14ac:dyDescent="0.15">
      <c r="A35" s="15" t="s">
        <v>415</v>
      </c>
      <c r="B35" s="15" t="s">
        <v>41</v>
      </c>
    </row>
    <row r="36" spans="1:2" x14ac:dyDescent="0.15">
      <c r="A36" s="15" t="s">
        <v>416</v>
      </c>
      <c r="B36" s="15" t="s">
        <v>41</v>
      </c>
    </row>
    <row r="37" spans="1:2" x14ac:dyDescent="0.15">
      <c r="A37" s="15" t="s">
        <v>417</v>
      </c>
      <c r="B37" s="15" t="s">
        <v>41</v>
      </c>
    </row>
    <row r="38" spans="1:2" x14ac:dyDescent="0.15">
      <c r="A38" s="15" t="s">
        <v>418</v>
      </c>
      <c r="B38" s="15" t="s">
        <v>620</v>
      </c>
    </row>
    <row r="39" spans="1:2" x14ac:dyDescent="0.15">
      <c r="A39" s="15" t="s">
        <v>430</v>
      </c>
      <c r="B39" s="15" t="s">
        <v>501</v>
      </c>
    </row>
    <row r="40" spans="1:2" x14ac:dyDescent="0.15">
      <c r="A40" s="15" t="s">
        <v>445</v>
      </c>
      <c r="B40" s="15" t="s">
        <v>501</v>
      </c>
    </row>
    <row r="41" spans="1:2" x14ac:dyDescent="0.15">
      <c r="A41" s="15" t="s">
        <v>434</v>
      </c>
      <c r="B41" s="15" t="s">
        <v>91</v>
      </c>
    </row>
    <row r="42" spans="1:2" x14ac:dyDescent="0.15">
      <c r="A42" s="15" t="s">
        <v>435</v>
      </c>
      <c r="B42" s="15" t="s">
        <v>91</v>
      </c>
    </row>
    <row r="43" spans="1:2" x14ac:dyDescent="0.15">
      <c r="A43" s="15" t="s">
        <v>436</v>
      </c>
      <c r="B43" s="15" t="s">
        <v>91</v>
      </c>
    </row>
    <row r="44" spans="1:2" x14ac:dyDescent="0.15">
      <c r="A44" s="15" t="s">
        <v>504</v>
      </c>
      <c r="B44" s="15" t="s">
        <v>92</v>
      </c>
    </row>
    <row r="45" spans="1:2" x14ac:dyDescent="0.15">
      <c r="A45" s="15" t="s">
        <v>505</v>
      </c>
      <c r="B45" s="15" t="s">
        <v>93</v>
      </c>
    </row>
    <row r="46" spans="1:2" x14ac:dyDescent="0.15">
      <c r="A46" s="15" t="s">
        <v>714</v>
      </c>
      <c r="B46" s="15" t="s">
        <v>716</v>
      </c>
    </row>
    <row r="47" spans="1:2" x14ac:dyDescent="0.15">
      <c r="A47" s="15" t="s">
        <v>580</v>
      </c>
      <c r="B47" s="15" t="s">
        <v>715</v>
      </c>
    </row>
    <row r="48" spans="1:2" x14ac:dyDescent="0.15">
      <c r="A48" s="15" t="s">
        <v>586</v>
      </c>
      <c r="B48" s="15" t="s">
        <v>91</v>
      </c>
    </row>
    <row r="49" spans="1:2" x14ac:dyDescent="0.15">
      <c r="A49" s="15" t="s">
        <v>647</v>
      </c>
      <c r="B49" s="15" t="s">
        <v>91</v>
      </c>
    </row>
    <row r="50" spans="1:2" x14ac:dyDescent="0.15">
      <c r="A50" s="15" t="s">
        <v>648</v>
      </c>
      <c r="B50" s="15" t="s">
        <v>650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规则配置表</vt:lpstr>
      <vt:lpstr>规则条件表</vt:lpstr>
      <vt:lpstr>资产负债分类表</vt:lpstr>
      <vt:lpstr>页面与rule表关系对应</vt:lpstr>
      <vt:lpstr>抽取rule对应的数据</vt:lpstr>
      <vt:lpstr>前置条件备份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2021-01-11T03:07:08Z</dcterms:modified>
</cp:coreProperties>
</file>