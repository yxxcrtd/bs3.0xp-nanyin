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5" windowWidth="14805" windowHeight="8010" tabRatio="744"/>
  </bookViews>
  <sheets>
    <sheet name="规则配置表" sheetId="1" r:id="rId1"/>
    <sheet name="规则条件表" sheetId="2" r:id="rId2"/>
    <sheet name="数据字典映射" sheetId="6" r:id="rId3"/>
    <sheet name="代码校验" sheetId="5" r:id="rId4"/>
    <sheet name="校验规则" sheetId="4" r:id="rId5"/>
    <sheet name="参考SQL" sheetId="3" r:id="rId6"/>
  </sheets>
  <definedNames>
    <definedName name="_xlnm._FilterDatabase" localSheetId="3" hidden="1">代码校验!$A$1:$H$8</definedName>
    <definedName name="_xlnm._FilterDatabase" localSheetId="0" hidden="1">规则配置表!$A$1:$N$1</definedName>
    <definedName name="_xlnm._FilterDatabase" localSheetId="1" hidden="1">规则条件表!$A$1:$H$43</definedName>
  </definedNames>
  <calcPr calcId="152511"/>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2" i="1"/>
  <c r="J2" i="2" l="1"/>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alcChain>
</file>

<file path=xl/sharedStrings.xml><?xml version="1.0" encoding="utf-8"?>
<sst xmlns="http://schemas.openxmlformats.org/spreadsheetml/2006/main" count="2853" uniqueCount="873">
  <si>
    <t>CHECKRULEID</t>
  </si>
  <si>
    <t>CHECKMETHOD</t>
  </si>
  <si>
    <t>COMMENTS</t>
  </si>
  <si>
    <t>COMPARETO</t>
  </si>
  <si>
    <t>OBJVALUE</t>
  </si>
  <si>
    <t>NULLABLE</t>
  </si>
  <si>
    <t>REMARK</t>
  </si>
  <si>
    <t>STATUS</t>
  </si>
  <si>
    <t>isNotEmpty</t>
  </si>
  <si>
    <t>行内标识码</t>
  </si>
  <si>
    <t>N</t>
  </si>
  <si>
    <t>E</t>
  </si>
  <si>
    <t>lessThanCharLength</t>
  </si>
  <si>
    <t>101</t>
  </si>
  <si>
    <t>Y</t>
  </si>
  <si>
    <t>行内标识码超长（最大长100）。</t>
  </si>
  <si>
    <t>isCustomizedStringForWhitelist</t>
  </si>
  <si>
    <t>^[\u0030-\u0039\u0041-\u005a\u0061-\u007a\u0020-\u0026\u0028-\u007B\u007D\u007E]{0,}$</t>
  </si>
  <si>
    <t>行内标识码只能含有白名单内的阿拉伯数字，英文字母，半角符号，全角符号。</t>
  </si>
  <si>
    <t>兑付本金币种</t>
  </si>
  <si>
    <t>inDatadict</t>
  </si>
  <si>
    <t>&lt;</t>
  </si>
  <si>
    <t>CURRENCY_CHB</t>
  </si>
  <si>
    <t>兑付本金币种不在值域范围内并且兑付本金币种的多选选项不可重复。</t>
  </si>
  <si>
    <t>销售手续费</t>
  </si>
  <si>
    <t>isNumber2</t>
  </si>
  <si>
    <t>8,5</t>
  </si>
  <si>
    <t>销售手续费率%以百分数形式表示时必须为n（8,5）格式。</t>
  </si>
  <si>
    <t>compareValueAsNumber</t>
  </si>
  <si>
    <t>&gt;=</t>
  </si>
  <si>
    <t>0</t>
  </si>
  <si>
    <t>销售手续费率%必须大于等于0</t>
  </si>
  <si>
    <t>募集起始日期（到）</t>
  </si>
  <si>
    <t>isValidDate</t>
  </si>
  <si>
    <t>==</t>
  </si>
  <si>
    <t>yyyy-MM-dd</t>
  </si>
  <si>
    <t>募集起始日期（到）必须为日期格式（YYYY-MM-DD）且为正确的日期。</t>
  </si>
  <si>
    <t>资金投向地区</t>
  </si>
  <si>
    <t>SVR_SALEAREA_DECLARE</t>
  </si>
  <si>
    <t>资金投向地区不在值域范围内。</t>
  </si>
  <si>
    <t>业务联络人姓名</t>
  </si>
  <si>
    <t>33</t>
  </si>
  <si>
    <t>业务联络人姓名过长。</t>
  </si>
  <si>
    <t>^[\u4e00-\u9fa5\ue815-\ue864\uff01-\uff5e\uffe0-\uffe5\u3000-\u3003\u3005-\u3017\u301d-\u301e\u2010\u2013-\u2016\u2018-\u2019\u201c-\u201d\u2025-\u2026\u2030\u2032-\u2033\u2035\u203b\u00b7\u0030-\u0039\u0041-\u005a\u0061-\u007a\u2160-\u216b\u0020-\u0026\u0028-\u007B\u007D\u007E]{0,}$</t>
  </si>
  <si>
    <t>业务联络人姓名必须填写白名单中的文字。</t>
  </si>
  <si>
    <t>客户赎回权标识</t>
  </si>
  <si>
    <t>YES_NO</t>
  </si>
  <si>
    <t>客户赎回权标识不在值域范围内。</t>
  </si>
  <si>
    <t>de294A49-6813-5A9E-E050-007F01006A66</t>
  </si>
  <si>
    <t>最短持有期限(天)</t>
  </si>
  <si>
    <t>de304A49-6813-5A9E-E050-007F01006A66</t>
  </si>
  <si>
    <t>最短持有期限（天）要素必须为空。</t>
  </si>
  <si>
    <t>de284A49-6813-5A9E-E050-007F01006A65</t>
  </si>
  <si>
    <t>isNumber</t>
  </si>
  <si>
    <t>最短持有期限（天）必须为n..5格式。</t>
  </si>
  <si>
    <t>&gt;</t>
  </si>
  <si>
    <t>最短持有期限（天）必须大于0。</t>
  </si>
  <si>
    <t>de324A49-6813-5A9E-E050-007F01006A65</t>
  </si>
  <si>
    <t>最短持有期后是否自由赎回</t>
  </si>
  <si>
    <t>最短持有期后是否自由赎回要素必须为空</t>
  </si>
  <si>
    <t>de324A49-6813-5A9E-E050-107F01006A65</t>
  </si>
  <si>
    <t>产品审批人身份证号</t>
  </si>
  <si>
    <t>31</t>
  </si>
  <si>
    <t>产品审批人身份证号过长。</t>
  </si>
  <si>
    <t>产品审批人身份证号必须填写白名单中的文字。</t>
  </si>
  <si>
    <t>兑付收益币种</t>
  </si>
  <si>
    <t>兑付收益币种不在值域范围内并且兑付收益币种的多选选项不可重复。</t>
  </si>
  <si>
    <t>产品增信标识</t>
  </si>
  <si>
    <t>产品增信标识不在值域范围内。</t>
  </si>
  <si>
    <t>产品资产配置方式</t>
  </si>
  <si>
    <t>SVR_CMMODE</t>
  </si>
  <si>
    <t>产品资产配置方式不在值域范围内。</t>
  </si>
  <si>
    <t>产品风险等级</t>
  </si>
  <si>
    <t>PRODUCT_RISK_GRADE</t>
  </si>
  <si>
    <t>产品风险等级不在值域范围内。</t>
  </si>
  <si>
    <t>de8E4A49-6813-5A9E-E050-107F21206A66</t>
  </si>
  <si>
    <t>inArray</t>
  </si>
  <si>
    <t>01</t>
  </si>
  <si>
    <t>产品风险等级必须选择“01 一级（低）”。</t>
  </si>
  <si>
    <t>de8E4A49-6813-5A9E-E050-107F21206A67</t>
  </si>
  <si>
    <t>01,02</t>
  </si>
  <si>
    <t>产品风险等级必须选择“01 一级（低）”或者“02 二级（中低）”。</t>
  </si>
  <si>
    <t>de8E4A49-6813-5A9E-E050-107F21206A68</t>
  </si>
  <si>
    <t>01,02,03</t>
  </si>
  <si>
    <t>产品风险等级必须选择“01 一级（低）”或者“02 二级（中低）”或者“03 三级（中）”。</t>
  </si>
  <si>
    <t>de8E4A49-6813-5A9E-E050-107F21206A69</t>
  </si>
  <si>
    <t>01,02,03,04</t>
  </si>
  <si>
    <t>产品风险等级必须选择“01 一级（低）”或者“02 二级（中低）”或者“03 三级（中）”或者“04 四级（中高）”。</t>
  </si>
  <si>
    <t>募集方式 01公募 02私募</t>
  </si>
  <si>
    <t>de154A49-6813-5A9E-E050-007F01006A65</t>
  </si>
  <si>
    <t>产品募集方式不在值域范围内。</t>
  </si>
  <si>
    <t>产品管理模式</t>
  </si>
  <si>
    <t>SVR_PROD_MANAGE</t>
  </si>
  <si>
    <t>产品管理模式不在值域范围内。</t>
  </si>
  <si>
    <t>是否金融同业专属</t>
  </si>
  <si>
    <t>是否金融同业专属不在值域范围内。</t>
  </si>
  <si>
    <t>产品名称</t>
  </si>
  <si>
    <t>inWhitelistNoSymbol</t>
  </si>
  <si>
    <t>产品名称要素不可为空。</t>
  </si>
  <si>
    <t>201</t>
  </si>
  <si>
    <t>产品名称超长（最大长）200</t>
  </si>
  <si>
    <t>发行机构代码</t>
  </si>
  <si>
    <t>isCustomizedString</t>
  </si>
  <si>
    <t>^[0-9a-zA-Z]{6}$</t>
  </si>
  <si>
    <t>发行机构代码要素格式不对。正确的格式：6位英文或数字。</t>
  </si>
  <si>
    <t>是否现金管理类</t>
  </si>
  <si>
    <t>de374A49-6813-5A9E-E050-007F01006A65</t>
  </si>
  <si>
    <t>是否现金管理类要素必须为空</t>
  </si>
  <si>
    <t>是否现金管理类要素不在值域范围内</t>
  </si>
  <si>
    <t>de404A49-6813-5A9E-E050-007F01006A65</t>
  </si>
  <si>
    <t>实际管理人员名称</t>
  </si>
  <si>
    <t>de434A49-6813-5A9E-E050-007F01006A65</t>
  </si>
  <si>
    <t>实际管理人名称要素必须为空</t>
  </si>
  <si>
    <t>121</t>
  </si>
  <si>
    <t>实际管理人名称要素超长（最大长）120</t>
  </si>
  <si>
    <t>实际管理人名称必须填写白名单中的文字。</t>
  </si>
  <si>
    <t>de254A49-6813-5A9E-E050-007F01006A65</t>
  </si>
  <si>
    <t>是否设置最短持有期限</t>
  </si>
  <si>
    <t>de274A49-6813-5A9E-E050-007F01006A65</t>
  </si>
  <si>
    <t>是否设置最短持有期限要素必须为空</t>
  </si>
  <si>
    <t>是否设置最短持有期限不在值域范围内。</t>
  </si>
  <si>
    <t>de464A69-6813-5A9E-E050-007F01006A65</t>
  </si>
  <si>
    <t>境内托管机构名称</t>
  </si>
  <si>
    <t>de304A71-6813-5A9E-E050-007F01006A66</t>
  </si>
  <si>
    <t>境内托管机构名称要素必须为空</t>
  </si>
  <si>
    <t>SVR_IN_DEP_NAME</t>
  </si>
  <si>
    <t>境内托管机构名称不在值域范围内</t>
  </si>
  <si>
    <t>产品期次</t>
  </si>
  <si>
    <t>6,0</t>
  </si>
  <si>
    <t xml:space="preserve">de444A49-6813-5A9E-E050-17F01006A65 </t>
  </si>
  <si>
    <t>产品定价方式</t>
  </si>
  <si>
    <t>de444A49-6813-5A9E-E050-007F01006A65</t>
  </si>
  <si>
    <t>SVR_PRODVALUETYPE</t>
  </si>
  <si>
    <t>产品定价方式不在值域范围内。</t>
  </si>
  <si>
    <t>托管费率</t>
  </si>
  <si>
    <t>托管费率%以百分数形式表示时必须为n（8,5）格式。</t>
  </si>
  <si>
    <t>托管费率%必须大于等于0。</t>
  </si>
  <si>
    <t>投资者风险偏好</t>
  </si>
  <si>
    <t>SVR_RISKTYPE</t>
  </si>
  <si>
    <t>投资者风险偏好不在值域范围内并且投资者风险偏好的多选选项不可重复。</t>
  </si>
  <si>
    <t>发型机构提前终止权标识</t>
  </si>
  <si>
    <t>SVR_HAVE_OR_NOT</t>
  </si>
  <si>
    <t>发行机构提前终止权标识不在值域范围内。</t>
  </si>
  <si>
    <t>产品品牌</t>
  </si>
  <si>
    <t>de294A49-6813-5A9E-E050-007F01006B20</t>
  </si>
  <si>
    <t>产品品牌必须填写白名单中的文字。</t>
  </si>
  <si>
    <t>募集起始日期（从）</t>
  </si>
  <si>
    <t>募集起始日期（从）要素不可为空。</t>
  </si>
  <si>
    <t>募集起始日期（从）必须为日期格式（YYYY-MM-DD）且为正确的日期。</t>
  </si>
  <si>
    <t>de194A78-6813-5A9E-E050-007F01006A65</t>
  </si>
  <si>
    <t>境外托管机构名称</t>
  </si>
  <si>
    <t>de194A80-6813-5A9E-E050-007F01006A65</t>
  </si>
  <si>
    <t>境外托管机构名称要素必须为空</t>
  </si>
  <si>
    <t>境外托管机构名称要素超长（200）</t>
  </si>
  <si>
    <t>de224A49-6813-5A9E-E050-007F01006A65</t>
  </si>
  <si>
    <t>理财业务服务模式</t>
  </si>
  <si>
    <t>de234A49-6813-5A9E-E050-007F01006A65</t>
  </si>
  <si>
    <t>理财业务服务模式要素必须为空</t>
  </si>
  <si>
    <t>SVR_SERVICEMODE</t>
  </si>
  <si>
    <t>理财业务服务模式要素不在值域范围内</t>
  </si>
  <si>
    <t>投资收益到账日</t>
  </si>
  <si>
    <t>SVR_AMTDATETYPE</t>
  </si>
  <si>
    <t>投资收益到账日不在值域范围内。</t>
  </si>
  <si>
    <t>产品期限</t>
  </si>
  <si>
    <t>SVR_PRODUCT_TERM</t>
  </si>
  <si>
    <t>产品期限不在值域范围内。</t>
  </si>
  <si>
    <t>de114A49-6813-5A9E-E050-007F01006A66</t>
  </si>
  <si>
    <t>业务联络人手机</t>
  </si>
  <si>
    <t>de294A49-6813-5A9E-E050-007F01006B26</t>
  </si>
  <si>
    <t>^1\d{10}$</t>
  </si>
  <si>
    <t>业务联络人手机不合法,合法的模式：13488996666（11位）。</t>
  </si>
  <si>
    <t>起点销售金额</t>
  </si>
  <si>
    <t>15,2</t>
  </si>
  <si>
    <t>起点销售金额必须为n（15,2）格式。</t>
  </si>
  <si>
    <t>起点销售金额必须大于0。</t>
  </si>
  <si>
    <t>产品审批人姓名</t>
  </si>
  <si>
    <t>de204A49-6813-5A9E-E050-007F01006A65</t>
  </si>
  <si>
    <t>产品投资国家或地区</t>
  </si>
  <si>
    <t>SVR_COUNTRY_AREA</t>
  </si>
  <si>
    <t>产品投资国家或地区不在值域范围内并且产品投资国家或地区的多选选项不可重复。</t>
  </si>
  <si>
    <t>业务联络人邮箱</t>
  </si>
  <si>
    <t>^[a-zA-Z0-9_.-]+@[a-zA-Z0-9_.-]+(\.[a-zA-Z0-9_.-]+)*\.[a-zA-Z0-9]{2,6}$</t>
  </si>
  <si>
    <t>de184A49-6813-5A9E-E050-007F01006A65</t>
  </si>
  <si>
    <t>de184A49-6813-5A9E-E050-107F01006A65</t>
  </si>
  <si>
    <t>compareValue</t>
  </si>
  <si>
    <t>!=</t>
  </si>
  <si>
    <t>CHN</t>
  </si>
  <si>
    <t>产品投资国家或地区不能填写中国。</t>
  </si>
  <si>
    <t>业务联络人邮箱要素不可为空。</t>
  </si>
  <si>
    <t>51</t>
  </si>
  <si>
    <t>业务联络人邮箱过长（最大长）50。</t>
  </si>
  <si>
    <t>合作模式</t>
  </si>
  <si>
    <t>SVR_CONTMODE</t>
  </si>
  <si>
    <t>合作模式不在值域范围内。</t>
  </si>
  <si>
    <t>de194A90-6813-5A9E-E050-007F01006A65</t>
  </si>
  <si>
    <t>备注</t>
  </si>
  <si>
    <t>备注要素不可为空</t>
  </si>
  <si>
    <t>de194A92-6813-5A9E-E050-007F01006A65</t>
  </si>
  <si>
    <t>de194A93-6813-5A9E-E050-007F01006A65</t>
  </si>
  <si>
    <t>de194A96-6813-5A9E-E050-007F01006A65</t>
  </si>
  <si>
    <t>de194A95-6813-5A9E-E050-007F01006A65</t>
  </si>
  <si>
    <t>de194A91-6813-5A9E-E050-007F01006A65</t>
  </si>
  <si>
    <t>de194A94-6813-5A9E-E050-007F01006A65</t>
  </si>
  <si>
    <t>257</t>
  </si>
  <si>
    <t>备注要素超长（256）</t>
  </si>
  <si>
    <t>备注必须填写白名单中的文字。</t>
  </si>
  <si>
    <t>产品设计人姓名</t>
  </si>
  <si>
    <t>产品设计人身份证号</t>
  </si>
  <si>
    <t>产品设计人身份证号要素不可为空。</t>
  </si>
  <si>
    <t>产品设计人身份证号过长。</t>
  </si>
  <si>
    <t>产品设计人身份证号必须填写白名单中的文字。</t>
  </si>
  <si>
    <t>募集币种</t>
  </si>
  <si>
    <t>募集币种区域不在值域范围内并且募集币种的多选选项不可重复。</t>
  </si>
  <si>
    <t>de304A73-6813-5A9E-E050-007F01006A66</t>
  </si>
  <si>
    <t>境内托管机构代码</t>
  </si>
  <si>
    <t>13</t>
  </si>
  <si>
    <t>境内托管机构代码要素超长</t>
  </si>
  <si>
    <t>境内托管机构代码必须填写白名单中的文字。</t>
  </si>
  <si>
    <t>投资资产种类及比例</t>
  </si>
  <si>
    <t>301</t>
  </si>
  <si>
    <t>投资资产种类及比例必须填写白名单中的文字。</t>
  </si>
  <si>
    <t>投资性质 01固定收益类/02权益类/03混合类/04商品及金融衍生品类</t>
  </si>
  <si>
    <t>INVEST_TYPE</t>
  </si>
  <si>
    <t>产品投资性质不在值域范围内。</t>
  </si>
  <si>
    <t>投资经理身份证号</t>
  </si>
  <si>
    <t>投资经理身份证号要素不可为空。</t>
  </si>
  <si>
    <t>投资经理身份证号过长。</t>
  </si>
  <si>
    <t>投资经理身份证号必须填写白名单中的文字。</t>
  </si>
  <si>
    <t>产品销售区域</t>
  </si>
  <si>
    <t>SVR_BUY_PLACE</t>
  </si>
  <si>
    <t>产品销售区域不在值域范围内并且产品销售区域的多选选项不可重复。</t>
  </si>
  <si>
    <t>de194A76-6813-5A9E-E050-007F01006A03</t>
  </si>
  <si>
    <t>境外托管机构国别</t>
  </si>
  <si>
    <t>de464A70-6813-5A9E-E050-007F01006A65</t>
  </si>
  <si>
    <t>境外托管机构国别不能填写中国。</t>
  </si>
  <si>
    <t>de194A77-6813-5A9E-E050-007F01006A65</t>
  </si>
  <si>
    <t>境外托管机构国别要素必须为空</t>
  </si>
  <si>
    <t>境外托管机构国别不在值域范围内并且境外托管机构国别的多选选项不可重复。</t>
  </si>
  <si>
    <t>de184A86-6813-5A9E-E050-007F01006A65</t>
  </si>
  <si>
    <t>产品增信机构类型</t>
  </si>
  <si>
    <t>de194A87-6813-5A9E-E050-007F01006A65</t>
  </si>
  <si>
    <t>产品增信机构类型要素必须为空</t>
  </si>
  <si>
    <t>SVR_CREDIT_TYPE</t>
  </si>
  <si>
    <t>产品增信机构类型不在值域范围内并且产品增信机构类型的多选选项不可重复。</t>
  </si>
  <si>
    <t>de464A88-6813-5A9E-E050-007F01006A65</t>
  </si>
  <si>
    <t>产品增信形式</t>
  </si>
  <si>
    <t>de194A89-6813-5A9E-E050-007F01006A65</t>
  </si>
  <si>
    <t>产品增信形式要素必须为空</t>
  </si>
  <si>
    <t>SVR_CREDIT_MODE</t>
  </si>
  <si>
    <t>产品增信形式要素不在值域范围内</t>
  </si>
  <si>
    <t>产品运作模式</t>
  </si>
  <si>
    <t>SVR_OPERATEMODE_DECLARE</t>
  </si>
  <si>
    <t>产品运作模式不在值域范围内。</t>
  </si>
  <si>
    <t>业绩比较基准%</t>
  </si>
  <si>
    <t>业绩比较基准必须大于等于0。</t>
  </si>
  <si>
    <t>产品收益类型</t>
  </si>
  <si>
    <t>SVR_PROD_PROFIT_TYPE</t>
  </si>
  <si>
    <t>产品收益类型不在值域范围内。</t>
  </si>
  <si>
    <t>业务联络人座机</t>
  </si>
  <si>
    <t>^(0[0-9]{2,3}\-)?([2-9][0-9]{6,7})+(\-[0-9]{1,8})?$</t>
  </si>
  <si>
    <t>业务联络人座机不合法,合法的模式：XXXX(3或4位)-XXXXXXXX（7或8位）-XXXXX（小于等于8位）分机号码可以不填。</t>
  </si>
  <si>
    <t>计划募集金额</t>
  </si>
  <si>
    <t>计划募集金额（元）必须为n(15,2)格式</t>
  </si>
  <si>
    <t>计划募集金额（元）必须大于0</t>
  </si>
  <si>
    <t>投资管理费率%</t>
  </si>
  <si>
    <t>投资管理费率%要素不可为空。</t>
  </si>
  <si>
    <t>投资管理费率%以百分数形式表示时必须为n（8,5）格式。</t>
  </si>
  <si>
    <t>投资管理费率%必须大于等于0</t>
  </si>
  <si>
    <t>de474A49-6813-5A9E-E050-007F01006A65</t>
  </si>
  <si>
    <t>合作机构名称</t>
  </si>
  <si>
    <t>de484A49-6813-5A9E-E050-007F01006A65</t>
  </si>
  <si>
    <t>合作机构名称要素必须为空</t>
  </si>
  <si>
    <t>合作机构名称要素超长（最大长）120</t>
  </si>
  <si>
    <t>合作机构名称必须填写白名单中的文字。</t>
  </si>
  <si>
    <t>投资本金到账日</t>
  </si>
  <si>
    <t>投资本金到账日不在值域范围内。</t>
  </si>
  <si>
    <t>de8E4A49-6813-5A9E-E050-007F21206A66</t>
  </si>
  <si>
    <t>投资经理姓名</t>
  </si>
  <si>
    <t>投资经理姓名要素不可为空且文字长度（最大长）200</t>
  </si>
  <si>
    <t>境外托管机构名称必须填写白名单中的文字。</t>
  </si>
  <si>
    <t>de3E4A49-6810-5A9E-E650-327F01006A85</t>
  </si>
  <si>
    <t>inArrayMin</t>
  </si>
  <si>
    <t>de3E4A49-6810-2A9E-E750-207F01006A83</t>
  </si>
  <si>
    <t>当“产品运作模式”要素选择“01 封闭式净值型”或“02 封闭式非净值型”时</t>
  </si>
  <si>
    <t>03,04</t>
  </si>
  <si>
    <t>当“产品运作模式”要素选择“03 开放式净值型”或“04 开放式非净值型”时</t>
  </si>
  <si>
    <t>de3E4A49-6810-5A9E-E650-917F01006A83</t>
  </si>
  <si>
    <t>02,03</t>
  </si>
  <si>
    <t>de3E4A49-6810-5A9E-E650-A41101006A83</t>
  </si>
  <si>
    <t>当“资金投向地区”要素选择“02 境外”时</t>
  </si>
  <si>
    <t>de3E4A49-6810-5A9E-E650-A49F01006A07</t>
  </si>
  <si>
    <t>当“资金投向地区”要素选择“01 境内”时</t>
  </si>
  <si>
    <t>de3E4A49-6810-5A9E-E650-317F01006A83</t>
  </si>
  <si>
    <t>当“是否设置最短持有期限”选择“01 是”时</t>
  </si>
  <si>
    <t>de3E4A49-6810-5A9E-E650-A49F01006A11</t>
  </si>
  <si>
    <t>“产品增信标识”选择 “02 无”时</t>
  </si>
  <si>
    <t>de3E4A49-6810-5A9E-E550-007F01006A83</t>
  </si>
  <si>
    <t>01,03</t>
  </si>
  <si>
    <t>当“资金投向地区”要素选择“01 境内”或“03 境内和境外”时</t>
  </si>
  <si>
    <t>de3E4A49-6810-5A9E-E650-207F01006A83</t>
  </si>
  <si>
    <t>de3E4A49-6810-5A9E-E650-A49F01006A13</t>
  </si>
  <si>
    <t>de3E4A49-6810-5A9E-E650-A49F01006A01</t>
  </si>
  <si>
    <t>de3E4A49-6810-5A9E-E650-A37F01006A83</t>
  </si>
  <si>
    <t>01,04</t>
  </si>
  <si>
    <t>当“产品管理模式”要素选择“01 银行为实际管理人” 或“04 特殊目的载体（SPV）”时</t>
  </si>
  <si>
    <t>de3E4A49-6810-5A9E-E650-A49F01006A16</t>
  </si>
  <si>
    <t>de3E4A49-6810-5A9E-E650-327F01006A84</t>
  </si>
  <si>
    <t>de3E4A49-6810-1A9E-E650-007F01006A83</t>
  </si>
  <si>
    <t>de3E4A49-6810-5A9E-E650-A41001006A83</t>
  </si>
  <si>
    <t>de3E4A49-6810-5A9E-E650-A41201006A83</t>
  </si>
  <si>
    <t>de3E4A49-6810-5A9E-E350-007F01006A83</t>
  </si>
  <si>
    <t>de3E4A49-6810-5A9E-E650-A49F01006A14</t>
  </si>
  <si>
    <t>de3E4A49-6810-5A9E-E650-327F01006A83</t>
  </si>
  <si>
    <t>当[投资者风险偏好]选择“01 保守型”时</t>
  </si>
  <si>
    <t>de3E4A49-6810-5A9E-E650-217F01006A83</t>
  </si>
  <si>
    <t>当“是否设置最短持有期限”选择“02 否”时</t>
  </si>
  <si>
    <t>de3E4A49-6810-5A9E-E650-A49F01006A04</t>
  </si>
  <si>
    <t>de3E4A49-6810-5A9E-E650-A49F01006A09</t>
  </si>
  <si>
    <t>de3E4A49-6810-5A9E-E650-A49F01006A12</t>
  </si>
  <si>
    <t>de3E4A49-6810-5A9E-E650-A48F01006A83</t>
  </si>
  <si>
    <t>de3E4A49-6810-5A9E-E650-A49F01006A05</t>
  </si>
  <si>
    <t>当“资金投向地区”要素选择“02 境外”或“03 境内和境外”时</t>
  </si>
  <si>
    <t>de3E4A49-6810-5A9E-E650-A49F01006A08</t>
  </si>
  <si>
    <t>若“产品增信标识”选择“01 有”时</t>
  </si>
  <si>
    <t>de3E4A49-6810-5A9E-E650-A49F01006A10</t>
  </si>
  <si>
    <t>de3E4A49-6810-5A9E-E650-327F01006A86</t>
  </si>
  <si>
    <t>当[投资者风险偏好]选择“04 成长型”时</t>
  </si>
  <si>
    <t>de3E4A49-6810-5A9E-E650-A47F01006A83</t>
  </si>
  <si>
    <t>当“合作模式”要素选择 “01 独立运作”时</t>
  </si>
  <si>
    <t>de3E4A49-6810-5A9E-E650-A49F01006A03</t>
  </si>
  <si>
    <t>1e3E4A49-6810-5A9E-E650-A49F01006A16</t>
  </si>
  <si>
    <t>de3E4A49-6810-5A9E-E150-007F01006A83</t>
  </si>
  <si>
    <t>de3E4A49-6810-2A9E-E750-107F01006A83</t>
  </si>
  <si>
    <t>de3E4A49-6810-5A9E-E650-817F01006A83</t>
  </si>
  <si>
    <t>de3E4A49-6810-5A9E-E650-A49F01006A18</t>
  </si>
  <si>
    <t>de3E4A49-6810-5A9E-E650-A49F01006A17</t>
  </si>
  <si>
    <t>de3E4A49-6810-5A9E-E650-A49F01006A15</t>
  </si>
  <si>
    <t>de3E4A49-6810-5A9E-E650-007F01006A83</t>
  </si>
  <si>
    <t>当“资金投向地区”要素选择“02境外”时</t>
  </si>
  <si>
    <t>de3E4A49-6810-2A9E-E750-007F01006A83</t>
  </si>
  <si>
    <t>SELECT</t>
  </si>
  <si>
    <t xml:space="preserve">    COUNT(1)</t>
  </si>
  <si>
    <t>FROM</t>
  </si>
  <si>
    <t xml:space="preserve">    CHB_DATACHECK_RULE</t>
  </si>
  <si>
    <t>WHERE</t>
  </si>
  <si>
    <t xml:space="preserve">    CHB_DATACHECK_RULE.DATATYPE IN ('CHB_PRD_DECLARE_SUB',</t>
  </si>
  <si>
    <t xml:space="preserve">                                    'CHB_PRD_ISSUE_SUB',</t>
  </si>
  <si>
    <t xml:space="preserve">                                    'CHB_PRD_RAISETOT_SUB',</t>
  </si>
  <si>
    <t xml:space="preserve">                                    'CHB_PRD_DEAL_SUB',</t>
  </si>
  <si>
    <t xml:space="preserve">                                    'CHB_PRD_END_SUB',</t>
  </si>
  <si>
    <t xml:space="preserve">                                    'CHB_ASSET_INFO_SUB',</t>
  </si>
  <si>
    <t xml:space="preserve">                                    'CHB_INVEST_TRADE_SUB',</t>
  </si>
  <si>
    <t xml:space="preserve">                                    'CHB_AST_VAL_SUB',</t>
  </si>
  <si>
    <t xml:space="preserve">                                    'CHB_BOT_AST_POS_SUB');</t>
  </si>
  <si>
    <t xml:space="preserve">    A.CHECKRULEID,</t>
  </si>
  <si>
    <t xml:space="preserve">    A.DATATYPE,</t>
  </si>
  <si>
    <t xml:space="preserve">    A.CHECKMETHOD,</t>
  </si>
  <si>
    <t xml:space="preserve">    B.COMMENTS,</t>
  </si>
  <si>
    <t xml:space="preserve">    A.COMPARETO,</t>
  </si>
  <si>
    <t xml:space="preserve">    A.OBJVALUE,</t>
  </si>
  <si>
    <t xml:space="preserve">    A.NULLABLE,</t>
  </si>
  <si>
    <t xml:space="preserve">    A.REMARK,</t>
  </si>
  <si>
    <t xml:space="preserve">    A.STATUS</t>
  </si>
  <si>
    <t xml:space="preserve">    CHB_DATACHECK_RULE A</t>
  </si>
  <si>
    <t>LEFT JOIN</t>
  </si>
  <si>
    <t xml:space="preserve">    USER_COL_COMMENTS B</t>
  </si>
  <si>
    <t>ON</t>
  </si>
  <si>
    <t xml:space="preserve">    A.SRCPROPERTY = B.COLUMN_NAME</t>
  </si>
  <si>
    <t>AND A.DATATYPE = B.TABLE_NAME</t>
  </si>
  <si>
    <t xml:space="preserve">    A.DATATYPE = 'CHB_PRD_DECLARE_SUB'</t>
  </si>
  <si>
    <t>UNION ALL</t>
  </si>
  <si>
    <t xml:space="preserve">    A.DATATYPE = 'CHB_PRD_ISSUE_SUB'</t>
  </si>
  <si>
    <t xml:space="preserve">    A.DATATYPE = 'CHB_PRD_RAISETOT_SUB'</t>
  </si>
  <si>
    <t xml:space="preserve">    A.DATATYPE = 'CHB_PRD_DEAL_SUB'</t>
  </si>
  <si>
    <t xml:space="preserve">    A.DATATYPE = 'CHB_PRD_END_SUB'</t>
  </si>
  <si>
    <t xml:space="preserve">    A.DATATYPE = 'CHB_ASSET_INFO_SUB'</t>
  </si>
  <si>
    <t xml:space="preserve">    A.DATATYPE = 'CHB_INVEST_TRADE_SUB'</t>
  </si>
  <si>
    <t xml:space="preserve">    A.DATATYPE = 'CHB_AST_VAL_SUB'</t>
  </si>
  <si>
    <t xml:space="preserve">    A.DATATYPE = 'CHB_BOT_AST_POS_SUB'</t>
  </si>
  <si>
    <t xml:space="preserve">    B.COMMENTS,</t>
    <phoneticPr fontId="1" type="noConversion"/>
  </si>
  <si>
    <t>CHECKCONDITIONID</t>
  </si>
  <si>
    <t>99</t>
  </si>
  <si>
    <t>02</t>
  </si>
  <si>
    <t>03</t>
  </si>
  <si>
    <t>04</t>
  </si>
  <si>
    <t>07</t>
  </si>
  <si>
    <t>isNotEmpty(判断数据是否为空 )</t>
    <phoneticPr fontId="1" type="noConversion"/>
  </si>
  <si>
    <t>lessThanCharLength(判断数据字符长度是否超过指定的长度 ，默认GBK编码)</t>
    <phoneticPr fontId="1" type="noConversion"/>
  </si>
  <si>
    <t>inDatadict(判断指定的值是否在数据字典枚举类型范围内 )</t>
    <phoneticPr fontId="1" type="noConversion"/>
  </si>
  <si>
    <t>isCustomizedString(判断数据指定的属性的值是否是否是特殊格式的字符串，格式使用正则表达式规则 )</t>
    <phoneticPr fontId="1" type="noConversion"/>
  </si>
  <si>
    <t>compareValueAsNumber(判断数据指定的值与目标值大小 )</t>
    <phoneticPr fontId="1" type="noConversion"/>
  </si>
  <si>
    <t>isNumber2(判断数据指定的属性的值是否是数字 )</t>
    <phoneticPr fontId="1" type="noConversion"/>
  </si>
  <si>
    <t>isValidDate(判断日期数据是否是指定的格式 )</t>
    <phoneticPr fontId="1" type="noConversion"/>
  </si>
  <si>
    <t>isNumber(判断数据指定的属性的值是否是数字 )</t>
    <phoneticPr fontId="1" type="noConversion"/>
  </si>
  <si>
    <t>compareProperty(判断数据指定的值与目标属性大小 )</t>
    <phoneticPr fontId="1" type="noConversion"/>
  </si>
  <si>
    <t>inArray(判断是否是字符数组中)</t>
    <phoneticPr fontId="1" type="noConversion"/>
  </si>
  <si>
    <t>comparePropertyAsNumber(判断数据指定的值与目标属性大小)</t>
    <phoneticPr fontId="1" type="noConversion"/>
  </si>
  <si>
    <t>isCustomizedStringForWhitelist(判断数据指定的属性的值是否是否是特殊格式的字符串，格式使用正则表达式规则)</t>
    <phoneticPr fontId="1" type="noConversion"/>
  </si>
  <si>
    <t>lessThanLength(判断数据是长度是否超过指定的长度 )</t>
    <phoneticPr fontId="1" type="noConversion"/>
  </si>
  <si>
    <t xml:space="preserve">    d.CHECKCONDITIONID,</t>
  </si>
  <si>
    <t xml:space="preserve">    c.TABLE_NAME,</t>
  </si>
  <si>
    <t xml:space="preserve">    d.CHECKRULEID,</t>
  </si>
  <si>
    <t xml:space="preserve">    d.CHECKMETHOD,</t>
  </si>
  <si>
    <t xml:space="preserve">    c.COMMENTS,</t>
  </si>
  <si>
    <t xml:space="preserve">    d.COMPARETO,</t>
  </si>
  <si>
    <t xml:space="preserve">    d.OBJVALUE,</t>
  </si>
  <si>
    <t xml:space="preserve">    d.REMARK,</t>
  </si>
  <si>
    <t xml:space="preserve">    d.STATUS</t>
  </si>
  <si>
    <t xml:space="preserve">    CHB_DATACHECK_CONDITION d</t>
  </si>
  <si>
    <t xml:space="preserve">    USER_COL_COMMENTS c</t>
  </si>
  <si>
    <t xml:space="preserve">    d.SRCPROPERTY = c.COLUMN_NAME</t>
  </si>
  <si>
    <t>AND c.TABLE_NAME = 'CHB_PRD_DECLARE_SUB'</t>
  </si>
  <si>
    <t xml:space="preserve">    d.CHECKRULEID IN</t>
  </si>
  <si>
    <t xml:space="preserve">    (</t>
  </si>
  <si>
    <t xml:space="preserve">        SELECT</t>
  </si>
  <si>
    <t xml:space="preserve">            A.CHECKRULEID</t>
  </si>
  <si>
    <t xml:space="preserve">        FROM</t>
  </si>
  <si>
    <t xml:space="preserve">            CHB_DATACHECK_RULE A</t>
  </si>
  <si>
    <t xml:space="preserve">        LEFT JOIN</t>
  </si>
  <si>
    <t xml:space="preserve">            USER_COL_COMMENTS B</t>
  </si>
  <si>
    <t xml:space="preserve">        ON</t>
  </si>
  <si>
    <t xml:space="preserve">            A.SRCPROPERTY = B.COLUMN_NAME</t>
  </si>
  <si>
    <t xml:space="preserve">        AND A.DATATYPE = B.TABLE_NAME</t>
  </si>
  <si>
    <t xml:space="preserve">        WHERE</t>
  </si>
  <si>
    <t xml:space="preserve">            A.DATATYPE = 'CHB_PRD_DECLARE_SUB')</t>
  </si>
  <si>
    <t>AND c.TABLE_NAME = 'CHB_PRD_ISSUE_SUB'</t>
  </si>
  <si>
    <t xml:space="preserve">            A.DATATYPE = 'CHB_PRD_ISSUE_SUB')</t>
  </si>
  <si>
    <t>AND c.TABLE_NAME = 'CHB_PRD_RAISETOT_SUB'</t>
  </si>
  <si>
    <t xml:space="preserve">            A.DATATYPE = 'CHB_PRD_RAISETOT_SUB')</t>
  </si>
  <si>
    <t>AND c.TABLE_NAME = 'CHB_PRD_DEAL_SUB'</t>
  </si>
  <si>
    <t xml:space="preserve">            A.DATATYPE = 'CHB_PRD_DEAL_SUB')</t>
  </si>
  <si>
    <t>AND c.TABLE_NAME = 'CHB_PRD_END_SUB'</t>
  </si>
  <si>
    <t xml:space="preserve">            A.DATATYPE = 'CHB_PRD_END_SUB')</t>
  </si>
  <si>
    <t>AND c.TABLE_NAME = 'CHB_ASSET_INFO_SUB'</t>
  </si>
  <si>
    <t xml:space="preserve">            A.DATATYPE = 'CHB_ASSET_INFO_SUB')</t>
  </si>
  <si>
    <t>AND c.TABLE_NAME = 'CHB_INVEST_TRADE_SUB'</t>
  </si>
  <si>
    <t xml:space="preserve">            A.DATATYPE = 'CHB_INVEST_TRADE_SUB')</t>
  </si>
  <si>
    <t>AND c.TABLE_NAME = 'CHB_AST_VAL_SUB'</t>
  </si>
  <si>
    <t xml:space="preserve">            A.DATATYPE = 'CHB_AST_VAL_SUB')</t>
  </si>
  <si>
    <t>AND c.TABLE_NAME = 'CHB_BOT_AST_POS_SUB'</t>
  </si>
  <si>
    <t xml:space="preserve">            A.DATATYPE = 'CHB_BOT_AST_POS_SUB')</t>
  </si>
  <si>
    <t>HTML-NAME</t>
    <phoneticPr fontId="1" type="noConversion"/>
  </si>
  <si>
    <t>顺序</t>
  </si>
  <si>
    <t>字段</t>
  </si>
  <si>
    <t>校验内容</t>
  </si>
  <si>
    <t>处理方式</t>
    <phoneticPr fontId="1" type="noConversion"/>
  </si>
  <si>
    <t>直联接口错误信息提示语</t>
  </si>
  <si>
    <t>备注</t>
    <phoneticPr fontId="1" type="noConversion"/>
  </si>
  <si>
    <t>CHB_PRD_DECLARE_SUB</t>
    <phoneticPr fontId="1" type="noConversion"/>
  </si>
  <si>
    <t>报文内不可重复</t>
  </si>
  <si>
    <t>重复限制</t>
    <phoneticPr fontId="1" type="noConversion"/>
  </si>
  <si>
    <t>行内标识码报文内不可重复。</t>
  </si>
  <si>
    <t>不可与已登记产品的行内标识码重复</t>
  </si>
  <si>
    <t>程序处理</t>
    <phoneticPr fontId="1" type="noConversion"/>
  </si>
  <si>
    <t>行内标识码不能重复！</t>
  </si>
  <si>
    <t>该代码必须与登记的银行一致。</t>
  </si>
  <si>
    <t>币种必须为“CNY 人民币”</t>
  </si>
  <si>
    <t>不同产品之间，产品名称与产品期次不得同时重复</t>
  </si>
  <si>
    <t>产品期次和产品名称在报文内不可同时重复。</t>
  </si>
  <si>
    <t>不可与已登记产品的产品名称和产品期次同时重复</t>
  </si>
  <si>
    <t>产品名称和产品期次不能同时重复！</t>
  </si>
  <si>
    <t>入库校验表名</t>
    <phoneticPr fontId="1" type="noConversion"/>
  </si>
  <si>
    <t>检查分类</t>
    <phoneticPr fontId="1" type="noConversion"/>
  </si>
  <si>
    <t>CHB_PRD_DECLARE_SUB</t>
    <phoneticPr fontId="1" type="noConversion"/>
  </si>
  <si>
    <t>行内标识码</t>
    <phoneticPr fontId="1" type="noConversion"/>
  </si>
  <si>
    <t>重复限制</t>
    <phoneticPr fontId="1" type="noConversion"/>
  </si>
  <si>
    <t>程序处理</t>
    <phoneticPr fontId="1" type="noConversion"/>
  </si>
  <si>
    <t>发行机构代码</t>
    <phoneticPr fontId="1" type="noConversion"/>
  </si>
  <si>
    <t>逻辑校验</t>
    <phoneticPr fontId="1" type="noConversion"/>
  </si>
  <si>
    <t>计划募集金额（元）</t>
    <phoneticPr fontId="1" type="noConversion"/>
  </si>
  <si>
    <t>产品期次</t>
    <phoneticPr fontId="1" type="noConversion"/>
  </si>
  <si>
    <t>CHB_PRD_DECLARE_SUB</t>
    <phoneticPr fontId="1" type="noConversion"/>
  </si>
  <si>
    <t>计划募集金额（元）的币种必须选择“人民币(CNY)”。</t>
    <phoneticPr fontId="1" type="noConversion"/>
  </si>
  <si>
    <t>投资资产种类及比例</t>
    <phoneticPr fontId="1" type="noConversion"/>
  </si>
  <si>
    <t>投资资产种类及比例要素格式不对。正确的格式：数字%：文字；数字%-数字%：文字（其中，百分号、冒号、分号、连字号均应为英文标点，文字和数字部分均不得含有英文百分号、冒号、分号、连字号）。其中，数字格式为n..（5，2），且需大于等于0、小于等于100。</t>
    <phoneticPr fontId="1" type="noConversion"/>
  </si>
  <si>
    <t>投资资产种类及比例要素格式不对。正确的格式：数字%：文字；数字%-数字%：文字（其中，百分号、冒号、分号、连字号均应为英文标点，文字和数字部分均不得含有英文百分号、冒号、分号、连字号）。其中，数字格式为n..（5，2），且需大于等于0、小于等于100。</t>
    <phoneticPr fontId="1" type="noConversion"/>
  </si>
  <si>
    <t>当[投资者风险偏好]选择“03 平衡型”时</t>
    <phoneticPr fontId="1" type="noConversion"/>
  </si>
  <si>
    <t>repRiskType</t>
  </si>
  <si>
    <t>当募集币种为其他时</t>
    <phoneticPr fontId="1" type="noConversion"/>
  </si>
  <si>
    <t>repRaiseCcy</t>
  </si>
  <si>
    <t>当[投资者风险偏好]选择“02 稳健型”时</t>
    <phoneticPr fontId="1" type="noConversion"/>
  </si>
  <si>
    <t>当“产品管理模式”要素选择“03 资产管理公司”或“02 其他机构为实际管理人”时</t>
    <phoneticPr fontId="1" type="noConversion"/>
  </si>
  <si>
    <t>repPmmode</t>
  </si>
  <si>
    <t>当“产品运作模式”要素选择“01 封闭式净值型”或“02 封闭式非净值型”时</t>
    <phoneticPr fontId="1" type="noConversion"/>
  </si>
  <si>
    <t>repOperateMode</t>
  </si>
  <si>
    <t>当产品投资国家或地区为其他时</t>
    <phoneticPr fontId="1" type="noConversion"/>
  </si>
  <si>
    <t>repInvestCountry</t>
  </si>
  <si>
    <t>当兑付收益币种为其他时</t>
    <phoneticPr fontId="1" type="noConversion"/>
  </si>
  <si>
    <t>repCashProfCcy</t>
  </si>
  <si>
    <t>当“资金投向地区”要素选择“02 境外”时</t>
    <phoneticPr fontId="1" type="noConversion"/>
  </si>
  <si>
    <t>repInvestArea</t>
  </si>
  <si>
    <t>当资金投向地区为01 境内时</t>
    <phoneticPr fontId="1" type="noConversion"/>
  </si>
  <si>
    <t>若“产品增信标识”选择“01 有”时</t>
    <phoneticPr fontId="1" type="noConversion"/>
  </si>
  <si>
    <t>repCreditFlag</t>
  </si>
  <si>
    <t>当最短持有期后是否自由赎回选择 其他时</t>
    <phoneticPr fontId="1" type="noConversion"/>
  </si>
  <si>
    <t>isFreeRedem</t>
  </si>
  <si>
    <t>当“合作模式”要素选择除“01 独立运作”以外的其他选项时</t>
    <phoneticPr fontId="1" type="noConversion"/>
  </si>
  <si>
    <t>repContMode</t>
  </si>
  <si>
    <t>当兑付本金币种为其他时</t>
    <phoneticPr fontId="1" type="noConversion"/>
  </si>
  <si>
    <t>repCashPrinCcy</t>
  </si>
  <si>
    <t>当境内托管机构名称为其他时</t>
    <phoneticPr fontId="1" type="noConversion"/>
  </si>
  <si>
    <t>repInDepName</t>
  </si>
  <si>
    <t>当境外托管机构国别为其他时</t>
    <phoneticPr fontId="1" type="noConversion"/>
  </si>
  <si>
    <t>repOutDepCtry</t>
  </si>
  <si>
    <t>当“是否设置最短持有期限”选择“01 是”时</t>
    <phoneticPr fontId="1" type="noConversion"/>
  </si>
  <si>
    <t>isShortTerm</t>
  </si>
  <si>
    <t>行内标识码要素不可为空。</t>
    <phoneticPr fontId="1" type="noConversion"/>
  </si>
  <si>
    <t>repFinprodInsId</t>
  </si>
  <si>
    <t>兑付本金币种要素不可为空</t>
    <phoneticPr fontId="1" type="noConversion"/>
  </si>
  <si>
    <t>销售手续费率%要素不可为空。</t>
    <phoneticPr fontId="1" type="noConversion"/>
  </si>
  <si>
    <t>repSaleFeeRate</t>
  </si>
  <si>
    <t>募集起始日期（到）要素不可为空。</t>
    <phoneticPr fontId="1" type="noConversion"/>
  </si>
  <si>
    <t>repRaisePstrdate</t>
  </si>
  <si>
    <t>repRaisePenddate</t>
  </si>
  <si>
    <t>资金投向地区要素不可为空。</t>
    <phoneticPr fontId="1" type="noConversion"/>
  </si>
  <si>
    <t>业务联络人姓名要素不可为空。</t>
    <phoneticPr fontId="1" type="noConversion"/>
  </si>
  <si>
    <t>repLiaisonName</t>
  </si>
  <si>
    <t>客户赎回权标识要素不可为空。</t>
    <phoneticPr fontId="1" type="noConversion"/>
  </si>
  <si>
    <t>repCusRedeemFlag</t>
  </si>
  <si>
    <t>最短持有期限（天）要素不可为空。</t>
    <phoneticPr fontId="1" type="noConversion"/>
  </si>
  <si>
    <t>shortTerm</t>
  </si>
  <si>
    <t>产品审批人身份证号要素不可为空。</t>
    <phoneticPr fontId="1" type="noConversion"/>
  </si>
  <si>
    <t>repApproverId</t>
  </si>
  <si>
    <t>兑付收益币种要素不可为空</t>
    <phoneticPr fontId="1" type="noConversion"/>
  </si>
  <si>
    <t>产品增信标识要素不可为空。</t>
    <phoneticPr fontId="1" type="noConversion"/>
  </si>
  <si>
    <t>产品资产配置方式要素不可为空。</t>
    <phoneticPr fontId="1" type="noConversion"/>
  </si>
  <si>
    <t>repCmmode</t>
  </si>
  <si>
    <t>产品风险等级要素不可为空。</t>
    <phoneticPr fontId="1" type="noConversion"/>
  </si>
  <si>
    <t>repRiskLevel</t>
  </si>
  <si>
    <t>产品募集方式要素不可为空。</t>
    <phoneticPr fontId="1" type="noConversion"/>
  </si>
  <si>
    <t>repIssueType</t>
  </si>
  <si>
    <t>产品管理模式要素不可为空。</t>
    <phoneticPr fontId="1" type="noConversion"/>
  </si>
  <si>
    <t>是否金融同业专属要素不可为空。</t>
    <phoneticPr fontId="1" type="noConversion"/>
  </si>
  <si>
    <t>excFinSector</t>
  </si>
  <si>
    <t>产品名称必须填写白名单中的文字，仅可由汉字、阿拉伯数字、英文字母组成，建议名称中不要含有任何符号。</t>
    <phoneticPr fontId="1" type="noConversion"/>
  </si>
  <si>
    <t>repFinprodName</t>
  </si>
  <si>
    <t>发行机构代码要素不可为空。</t>
    <phoneticPr fontId="1" type="noConversion"/>
  </si>
  <si>
    <t>repIssuePartyId</t>
  </si>
  <si>
    <t>是否现金管理类要素不可为空</t>
    <phoneticPr fontId="1" type="noConversion"/>
  </si>
  <si>
    <t>repIsCashManage</t>
  </si>
  <si>
    <t>实际管理人名称要素不可为空</t>
    <phoneticPr fontId="1" type="noConversion"/>
  </si>
  <si>
    <t>repMname</t>
  </si>
  <si>
    <t>是否设置最短持有期限要素不可为空</t>
    <phoneticPr fontId="1" type="noConversion"/>
  </si>
  <si>
    <t>境内托管机构名称要素不可为空</t>
    <phoneticPr fontId="1" type="noConversion"/>
  </si>
  <si>
    <t>产品期次要素不可为空。</t>
    <phoneticPr fontId="1" type="noConversion"/>
  </si>
  <si>
    <t>repFinprodStage</t>
  </si>
  <si>
    <t>产品定价方式要素不可为空。</t>
    <phoneticPr fontId="1" type="noConversion"/>
  </si>
  <si>
    <t>repPricedMode</t>
  </si>
  <si>
    <t>托管费率%要素不可为空。</t>
    <phoneticPr fontId="1" type="noConversion"/>
  </si>
  <si>
    <t>repTruFeeRate</t>
  </si>
  <si>
    <t>投资者风险偏好要素不可为空</t>
    <phoneticPr fontId="1" type="noConversion"/>
  </si>
  <si>
    <t>发行机构提前终止权标识要素不可为空。</t>
    <phoneticPr fontId="1" type="noConversion"/>
  </si>
  <si>
    <t>repTermRightFlag</t>
  </si>
  <si>
    <t>产品品牌过长（最大长120）。</t>
    <phoneticPr fontId="1" type="noConversion"/>
  </si>
  <si>
    <t>repFinprodBrand</t>
  </si>
  <si>
    <t>境外托管机构名称要素不可为空</t>
    <phoneticPr fontId="1" type="noConversion"/>
  </si>
  <si>
    <t>repOutDepName</t>
  </si>
  <si>
    <t>理财业务服务模式要素不可为空</t>
    <phoneticPr fontId="1" type="noConversion"/>
  </si>
  <si>
    <t>repFinanSerModel</t>
  </si>
  <si>
    <t>投资收益到账日要素不可为空。</t>
    <phoneticPr fontId="1" type="noConversion"/>
  </si>
  <si>
    <t>repInvestProfDate</t>
  </si>
  <si>
    <t>产品期限要素不可为空。</t>
    <phoneticPr fontId="1" type="noConversion"/>
  </si>
  <si>
    <t>repTerm</t>
  </si>
  <si>
    <t>业务联络人手机必填</t>
    <phoneticPr fontId="1" type="noConversion"/>
  </si>
  <si>
    <t>repLiaisonMobile</t>
  </si>
  <si>
    <t>起点销售金额要素不可为空。</t>
    <phoneticPr fontId="1" type="noConversion"/>
  </si>
  <si>
    <t>repSaleAmtStr</t>
  </si>
  <si>
    <t>产品审批人姓名要素不可为空且文字长度（最大长）200</t>
    <phoneticPr fontId="1" type="noConversion"/>
  </si>
  <si>
    <t>产品投资国家或地区要素必须为空</t>
    <phoneticPr fontId="1" type="noConversion"/>
  </si>
  <si>
    <t>repLiaisonEmail</t>
  </si>
  <si>
    <t>产品投资国家或地区要素不可为空</t>
    <phoneticPr fontId="1" type="noConversion"/>
  </si>
  <si>
    <t>合作模式要素不可为空。</t>
    <phoneticPr fontId="1" type="noConversion"/>
  </si>
  <si>
    <t>备注要素不可为空</t>
    <phoneticPr fontId="1" type="noConversion"/>
  </si>
  <si>
    <t>repRemark</t>
  </si>
  <si>
    <t>产品设计人姓名要素不可为空且文字长度（最大长）200</t>
    <phoneticPr fontId="1" type="noConversion"/>
  </si>
  <si>
    <t>repDesignerId</t>
  </si>
  <si>
    <t>募集币种要素不可为空</t>
    <phoneticPr fontId="1" type="noConversion"/>
  </si>
  <si>
    <t>境内托管机构代码要素必须为空</t>
    <phoneticPr fontId="1" type="noConversion"/>
  </si>
  <si>
    <t>repInDepCode</t>
  </si>
  <si>
    <t>投资资产种类及比例要素不可为空。</t>
    <phoneticPr fontId="1" type="noConversion"/>
  </si>
  <si>
    <t>repInvTypeRat</t>
  </si>
  <si>
    <t>产品投资性质要素不可为空。</t>
    <phoneticPr fontId="1" type="noConversion"/>
  </si>
  <si>
    <t>repInvestNature</t>
  </si>
  <si>
    <t>repManagerId</t>
  </si>
  <si>
    <t>产品销售区域要素不可为空</t>
    <phoneticPr fontId="1" type="noConversion"/>
  </si>
  <si>
    <t>repSaleArea</t>
  </si>
  <si>
    <t>境外托管机构国别要素不可为空</t>
    <phoneticPr fontId="1" type="noConversion"/>
  </si>
  <si>
    <t>产品收益类型要素不可为空。</t>
    <phoneticPr fontId="1" type="noConversion"/>
  </si>
  <si>
    <t>repProfitType</t>
  </si>
  <si>
    <t>产品运作模式要素不可为空。</t>
    <phoneticPr fontId="1" type="noConversion"/>
  </si>
  <si>
    <t>产品增信形式要素不可为空</t>
    <phoneticPr fontId="1" type="noConversion"/>
  </si>
  <si>
    <t>repCreditMode</t>
  </si>
  <si>
    <t>产品增信机构类型要素不可为空</t>
    <phoneticPr fontId="1" type="noConversion"/>
  </si>
  <si>
    <t>合作机构名称要素不可为空</t>
    <phoneticPr fontId="1" type="noConversion"/>
  </si>
  <si>
    <t>repCoopName</t>
  </si>
  <si>
    <t>计划募集金额（元）要素不可为空。</t>
    <phoneticPr fontId="1" type="noConversion"/>
  </si>
  <si>
    <t>repRaiseAmtPlan</t>
  </si>
  <si>
    <t>投资本金到账日要素不可为空。</t>
    <phoneticPr fontId="1" type="noConversion"/>
  </si>
  <si>
    <t>repInvestPrinDate</t>
  </si>
  <si>
    <t>repManagerName</t>
  </si>
  <si>
    <t>repInvestFeeRate</t>
  </si>
  <si>
    <t>业务联络人座机要素不可为空。</t>
    <phoneticPr fontId="1" type="noConversion"/>
  </si>
  <si>
    <t>repLiaisonTel</t>
  </si>
  <si>
    <t>业绩比较基准%必须为n..(8,5)格式</t>
    <phoneticPr fontId="1" type="noConversion"/>
  </si>
  <si>
    <t>repYield</t>
  </si>
  <si>
    <t>ProductReportRegister002</t>
    <phoneticPr fontId="1" type="noConversion"/>
  </si>
  <si>
    <t>投组数据字典</t>
    <phoneticPr fontId="1" type="noConversion"/>
  </si>
  <si>
    <t>中债数据字典</t>
    <phoneticPr fontId="1" type="noConversion"/>
  </si>
  <si>
    <t>RAISE_TYPE 1 公募
RAISE_TYPE 2 私募
SVR_RAISE_TYPE 01 公募
SVR_RAISE_TYPE 02 私募</t>
    <phoneticPr fontId="1" type="noConversion"/>
  </si>
  <si>
    <t>RAISE_TYPE</t>
    <phoneticPr fontId="1" type="noConversion"/>
  </si>
  <si>
    <t>要素</t>
    <phoneticPr fontId="1" type="noConversion"/>
  </si>
  <si>
    <t>募集方式</t>
    <phoneticPr fontId="1" type="noConversion"/>
  </si>
  <si>
    <t>YES_NO 01 是
YES_NO 02 否
YES_OR_NO N 否
YES_OR_NO Y 是</t>
    <phoneticPr fontId="1" type="noConversion"/>
  </si>
  <si>
    <t>YES_NO</t>
    <phoneticPr fontId="1" type="noConversion"/>
  </si>
  <si>
    <t>YES_OR_NO</t>
    <phoneticPr fontId="1" type="noConversion"/>
  </si>
  <si>
    <t>D</t>
    <phoneticPr fontId="1" type="noConversion"/>
  </si>
  <si>
    <t>RAISE_TYPE</t>
    <phoneticPr fontId="1" type="noConversion"/>
  </si>
  <si>
    <t>SVR_RAISE_TYPE</t>
    <phoneticPr fontId="1" type="noConversion"/>
  </si>
  <si>
    <t>01</t>
    <phoneticPr fontId="1" type="noConversion"/>
  </si>
  <si>
    <t>05</t>
  </si>
  <si>
    <t>06</t>
  </si>
  <si>
    <t>无需处理</t>
    <phoneticPr fontId="1" type="noConversion"/>
  </si>
  <si>
    <t>de5E4A48-6813-5A9E-E050-007F01006A66</t>
    <phoneticPr fontId="1" type="noConversion"/>
  </si>
  <si>
    <t>compareValue(判断数据指定的值与目标值大小)</t>
    <phoneticPr fontId="1" type="noConversion"/>
  </si>
  <si>
    <t>compareValue</t>
    <phoneticPr fontId="1" type="noConversion"/>
  </si>
  <si>
    <t>Z70024</t>
  </si>
  <si>
    <t>发行机构代码必须与银行代码相同。</t>
    <phoneticPr fontId="1" type="noConversion"/>
  </si>
  <si>
    <t>增加配置</t>
    <phoneticPr fontId="1" type="noConversion"/>
  </si>
  <si>
    <t>暂不处理，后续考虑配置sql处理</t>
    <phoneticPr fontId="1" type="noConversion"/>
  </si>
  <si>
    <t>de5E4A38-6813-5A9E-E050-007F01006A66</t>
    <phoneticPr fontId="1" type="noConversion"/>
  </si>
  <si>
    <t>repInvTypeRat</t>
    <phoneticPr fontId="1" type="noConversion"/>
  </si>
  <si>
    <t>repInvTypeRat</t>
    <phoneticPr fontId="1" type="noConversion"/>
  </si>
  <si>
    <t>最短持有期后是否自由赎回要素不可为空</t>
    <phoneticPr fontId="1" type="noConversion"/>
  </si>
  <si>
    <t>D</t>
    <phoneticPr fontId="1" type="noConversion"/>
  </si>
  <si>
    <t>D</t>
    <phoneticPr fontId="1" type="noConversion"/>
  </si>
  <si>
    <t>D</t>
    <phoneticPr fontId="1" type="noConversion"/>
  </si>
  <si>
    <t>D</t>
    <phoneticPr fontId="1" type="noConversion"/>
  </si>
  <si>
    <t>D</t>
    <phoneticPr fontId="1" type="noConversion"/>
  </si>
  <si>
    <t xml:space="preserve"> delete from CHB_DATACHECK_RULE_INV where page_id = 'ProductReportRegister002';</t>
    <phoneticPr fontId="1" type="noConversion"/>
  </si>
  <si>
    <t>delete from CHB_DATACHECK_CONDITION_INV where checkruleid in (select checkruleid from CHB_DATACHECK_RULE_INV where page_id = 'ProductReportRegister002');</t>
    <phoneticPr fontId="1" type="noConversion"/>
  </si>
  <si>
    <t>PAGE_ID</t>
    <phoneticPr fontId="1" type="noConversion"/>
  </si>
  <si>
    <t>测试结果</t>
    <phoneticPr fontId="1" type="noConversion"/>
  </si>
  <si>
    <t>备注</t>
    <phoneticPr fontId="1" type="noConversion"/>
  </si>
  <si>
    <t>OK</t>
    <phoneticPr fontId="1" type="noConversion"/>
  </si>
  <si>
    <t>ZZOTZL-427</t>
    <phoneticPr fontId="1" type="noConversion"/>
  </si>
  <si>
    <t>de324A49-6813-5A9E-E050-007F01006A65</t>
    <phoneticPr fontId="1" type="noConversion"/>
  </si>
  <si>
    <t>de334A49-6813-5A9E-E050-007F01006A65</t>
    <phoneticPr fontId="1" type="noConversion"/>
  </si>
  <si>
    <t>de294A49-6813-5A9E-E050-007F01006A66</t>
    <phoneticPr fontId="1" type="noConversion"/>
  </si>
  <si>
    <t>de304A49-6813-5A9E-E050-007F01006A66</t>
    <phoneticPr fontId="1" type="noConversion"/>
  </si>
  <si>
    <t>de284A49-6813-5A9E-E050-007F01006A65</t>
    <phoneticPr fontId="1" type="noConversion"/>
  </si>
  <si>
    <t>11294A49-6813-5A9E-E050-007F01006A67</t>
    <phoneticPr fontId="1" type="noConversion"/>
  </si>
  <si>
    <t>de314A49-6813-5A9E-E050-007F01006A66</t>
    <phoneticPr fontId="1" type="noConversion"/>
  </si>
  <si>
    <t>de324A49-6813-5A9E-E050-107F01006A65</t>
    <phoneticPr fontId="1" type="noConversion"/>
  </si>
  <si>
    <t>最短持有期后是否自由赎回要素必须为空。</t>
    <phoneticPr fontId="1" type="noConversion"/>
  </si>
  <si>
    <t>SVR_YN_REDEM</t>
    <phoneticPr fontId="1" type="noConversion"/>
  </si>
  <si>
    <t>最短持有期后是否自由赎回要素不在值域范围内</t>
    <phoneticPr fontId="1" type="noConversion"/>
  </si>
  <si>
    <t>NA</t>
    <phoneticPr fontId="1" type="noConversion"/>
  </si>
  <si>
    <t>1e324A49-6813-5A9E-E050-007F01006A66</t>
    <phoneticPr fontId="1" type="noConversion"/>
  </si>
  <si>
    <t>de174A49-6813-5A9E-E050-007F01006A65</t>
    <phoneticPr fontId="1" type="noConversion"/>
  </si>
  <si>
    <t>de174A49-6813-5A9E-E050-107F01006A65</t>
    <phoneticPr fontId="1" type="noConversion"/>
  </si>
  <si>
    <t>de104A49-6813-5A9E-E050-107F01006A66</t>
    <phoneticPr fontId="1" type="noConversion"/>
  </si>
  <si>
    <t>de104A49-6813-5A9E-E050-007F01006A66</t>
    <phoneticPr fontId="1" type="noConversion"/>
  </si>
  <si>
    <t>业务联络人座机过长（最大长）30。</t>
    <phoneticPr fontId="1" type="noConversion"/>
  </si>
  <si>
    <t>de294A49-6813-5A9E-E050-007F01006B25</t>
    <phoneticPr fontId="1" type="noConversion"/>
  </si>
  <si>
    <t>D</t>
    <phoneticPr fontId="1" type="noConversion"/>
  </si>
  <si>
    <t>de294A49-6813-5A9E-E050-007F01006B27</t>
    <phoneticPr fontId="1" type="noConversion"/>
  </si>
  <si>
    <t>de294A49-6813-5A9E-E050-107F01006B26</t>
    <phoneticPr fontId="1" type="noConversion"/>
  </si>
  <si>
    <t>de124A49-6813-5A9E-E050-007F01006A66</t>
    <phoneticPr fontId="1" type="noConversion"/>
  </si>
  <si>
    <t>业务联络人邮箱地址不合法,合法email格式如：John@163.com。</t>
    <phoneticPr fontId="1" type="noConversion"/>
  </si>
  <si>
    <t>de9E4A49-6813-5A9E-E050-007F01006A66</t>
    <phoneticPr fontId="1" type="noConversion"/>
  </si>
  <si>
    <t>业务联络人姓名</t>
    <phoneticPr fontId="1" type="noConversion"/>
  </si>
  <si>
    <t>de294A49-6813-5A9E-E050-107F01006B16</t>
    <phoneticPr fontId="1" type="noConversion"/>
  </si>
  <si>
    <t>de294A49-6813-5A9E-E050-007F01006B16</t>
    <phoneticPr fontId="1" type="noConversion"/>
  </si>
  <si>
    <t>de4E4A50-6813-5A9E-E050-107F01006A66</t>
    <phoneticPr fontId="1" type="noConversion"/>
  </si>
  <si>
    <t>de4E4A50-6813-5A9E-E050-007F01006A66</t>
    <phoneticPr fontId="1" type="noConversion"/>
  </si>
  <si>
    <t>de4E4A65-6813-5A9E-E050-107F01006A66</t>
    <phoneticPr fontId="1" type="noConversion"/>
  </si>
  <si>
    <t>de4E4A65-6813-5A9E-E050-007F01006A66</t>
    <phoneticPr fontId="1" type="noConversion"/>
  </si>
  <si>
    <t>de4E4A66-6813-5A9E-E050-007F01006A66</t>
    <phoneticPr fontId="1" type="noConversion"/>
  </si>
  <si>
    <t>de194A82-6813-5A9E-E050-107F01006A65</t>
    <phoneticPr fontId="1" type="noConversion"/>
  </si>
  <si>
    <t>de194A82-6813-5A9E-E050-007F01006A65</t>
    <phoneticPr fontId="1" type="noConversion"/>
  </si>
  <si>
    <t>de194A81-6813-5A9E-E050-007F01006A65</t>
    <phoneticPr fontId="1" type="noConversion"/>
  </si>
  <si>
    <t>de494A49-6813-5A9E-E050-107F01006A65</t>
    <phoneticPr fontId="1" type="noConversion"/>
  </si>
  <si>
    <t>de494A49-6813-5A9E-E050-007F01006A65</t>
    <phoneticPr fontId="1" type="noConversion"/>
  </si>
  <si>
    <t>de294A49-6813-5A9E-E050-007F01006B22</t>
    <phoneticPr fontId="1" type="noConversion"/>
  </si>
  <si>
    <t>投资资产种类及比例超长（最大长）300</t>
    <phoneticPr fontId="1" type="noConversion"/>
  </si>
  <si>
    <t>de194A52-6813-5A9E-E050-007F01006A65</t>
    <phoneticPr fontId="1" type="noConversion"/>
  </si>
  <si>
    <t>de294A49-6813-5A9E-E050-007F01006B34</t>
    <phoneticPr fontId="1" type="noConversion"/>
  </si>
  <si>
    <t>de454A49-6813-5A9E-E050-107F01006A65</t>
    <phoneticPr fontId="1" type="noConversion"/>
  </si>
  <si>
    <t>de454A49-6813-5A9E-E050-007F01006A65</t>
    <phoneticPr fontId="1" type="noConversion"/>
  </si>
  <si>
    <t>de464A64-6813-5A9E-E050-107F01006A65</t>
    <phoneticPr fontId="1" type="noConversion"/>
  </si>
  <si>
    <t>de464A64-6813-5A9E-E050-007F01006A65</t>
    <phoneticPr fontId="1" type="noConversion"/>
  </si>
  <si>
    <t>de8E4A49-6813-5A9E-E050-007F01006A66</t>
    <phoneticPr fontId="1" type="noConversion"/>
  </si>
  <si>
    <t>de294A49-6813-5A9E-E050-107F01006B15</t>
    <phoneticPr fontId="1" type="noConversion"/>
  </si>
  <si>
    <t>de294A49-6813-5A9E-E050-007F01006B15</t>
    <phoneticPr fontId="1" type="noConversion"/>
  </si>
  <si>
    <t>de4E4A67-6813-5A9E-E050-107F01006A66</t>
    <phoneticPr fontId="1" type="noConversion"/>
  </si>
  <si>
    <t>de4E4A67-6813-5A9E-E050-007F01006A66</t>
    <phoneticPr fontId="1" type="noConversion"/>
  </si>
  <si>
    <t>de4E4A68-6813-5A9E-E050-007F01006A66</t>
    <phoneticPr fontId="1" type="noConversion"/>
  </si>
  <si>
    <t>投资本金到账日</t>
    <phoneticPr fontId="1" type="noConversion"/>
  </si>
  <si>
    <t>de464A63-6813-5A9E-E050-107F01006A65</t>
    <phoneticPr fontId="1" type="noConversion"/>
  </si>
  <si>
    <t>de464A63-6813-5A9E-E050-007F01006A65</t>
    <phoneticPr fontId="1" type="noConversion"/>
  </si>
  <si>
    <t>de344A49-6813-5A9E-E050-007F01006A65</t>
    <phoneticPr fontId="1" type="noConversion"/>
  </si>
  <si>
    <t>de374A49-6813-5A9E-E050-007F01006A65</t>
    <phoneticPr fontId="1" type="noConversion"/>
  </si>
  <si>
    <t>1e364A49-6813-5A9E-E050-007F01006A66</t>
    <phoneticPr fontId="1" type="noConversion"/>
  </si>
  <si>
    <t>de254A49-6813-5A9E-E050-007F01006A65</t>
    <phoneticPr fontId="1" type="noConversion"/>
  </si>
  <si>
    <t>de274A49-6813-5A9E-E050-007F01006A65</t>
    <phoneticPr fontId="1" type="noConversion"/>
  </si>
  <si>
    <t>de264A49-6813-5A9E-E050-007F01006A65</t>
    <phoneticPr fontId="1" type="noConversion"/>
  </si>
  <si>
    <t>de144A49-6813-5A9E-E050-107F01006A65</t>
    <phoneticPr fontId="1" type="noConversion"/>
  </si>
  <si>
    <t>de164A49-6813-5A9E-E050-007F01006A65</t>
    <phoneticPr fontId="1" type="noConversion"/>
  </si>
  <si>
    <t>de404A49-6813-5A9E-E050-007F01006A65</t>
    <phoneticPr fontId="1" type="noConversion"/>
  </si>
  <si>
    <t>de434A49-6813-5A9E-E050-007F01006A65</t>
    <phoneticPr fontId="1" type="noConversion"/>
  </si>
  <si>
    <t>实际管理人员名称</t>
    <phoneticPr fontId="1" type="noConversion"/>
  </si>
  <si>
    <t>1e424A49-6813-5A9E-E050-007F01006A66</t>
    <phoneticPr fontId="1" type="noConversion"/>
  </si>
  <si>
    <t>de294A49-6813-5A9E-E050-007F01006B17</t>
    <phoneticPr fontId="1" type="noConversion"/>
  </si>
  <si>
    <t>de4E4A57-6813-5A9E-E050-107F01006A66</t>
    <phoneticPr fontId="1" type="noConversion"/>
  </si>
  <si>
    <t>de314A58-6813-5A9E-E050-007F01006A66</t>
    <phoneticPr fontId="1" type="noConversion"/>
  </si>
  <si>
    <t>画面要求该字段不能小于0，中债check要求该字段必须大于0，现在以画面为准，将中债的check置为D</t>
    <phoneticPr fontId="1" type="noConversion"/>
  </si>
  <si>
    <t>&gt;</t>
    <phoneticPr fontId="1" type="noConversion"/>
  </si>
  <si>
    <t>compareValueAsNumber</t>
    <phoneticPr fontId="1" type="noConversion"/>
  </si>
  <si>
    <t>de314A62-6813-5A9E-E050-107F01006A66</t>
    <phoneticPr fontId="1" type="noConversion"/>
  </si>
  <si>
    <t>de314A62-6813-5A9E-E050-007F01006A66</t>
    <phoneticPr fontId="1" type="noConversion"/>
  </si>
  <si>
    <t>造不了不满足日期格式的数据</t>
    <phoneticPr fontId="1" type="noConversion"/>
  </si>
  <si>
    <t>募集起始日期（到）</t>
    <phoneticPr fontId="1" type="noConversion"/>
  </si>
  <si>
    <t>募集起始日期（从）</t>
    <phoneticPr fontId="1" type="noConversion"/>
  </si>
  <si>
    <t>ZZOTZL-439</t>
  </si>
  <si>
    <t>de314A61-6813-5A9E-E050-107F01006A66</t>
    <phoneticPr fontId="1" type="noConversion"/>
  </si>
  <si>
    <t>de314A61-6813-5A9E-E050-007F01006A66</t>
    <phoneticPr fontId="1" type="noConversion"/>
  </si>
  <si>
    <t>de154A49-6813-5A9E-E050-107F01006A65</t>
    <phoneticPr fontId="1" type="noConversion"/>
  </si>
  <si>
    <t>de194A54-6813-5A9E-E050-007F01006A65</t>
    <phoneticPr fontId="1" type="noConversion"/>
  </si>
  <si>
    <t>de294A49-6813-5A9E-E050-007F01006B30</t>
    <phoneticPr fontId="1" type="noConversion"/>
  </si>
  <si>
    <t>de224A49-6813-5A9E-E050-007F01006A65</t>
    <phoneticPr fontId="1" type="noConversion"/>
  </si>
  <si>
    <t>de234A49-6813-5A9E-E050-007F01006A65</t>
    <phoneticPr fontId="1" type="noConversion"/>
  </si>
  <si>
    <t>ProductReportRegister002</t>
    <phoneticPr fontId="1" type="noConversion"/>
  </si>
  <si>
    <t>1e234A49-6813-5A9E-E050-007F01006A66</t>
    <phoneticPr fontId="1" type="noConversion"/>
  </si>
  <si>
    <t>de469111-6813-5A9E-E050-007F01006A65</t>
    <phoneticPr fontId="1" type="noConversion"/>
  </si>
  <si>
    <t>de464A84-6813-5A9E-E050-007F01006A65</t>
    <phoneticPr fontId="1" type="noConversion"/>
  </si>
  <si>
    <t>repCusRedeemFlag</t>
    <phoneticPr fontId="1" type="noConversion"/>
  </si>
  <si>
    <t>de194A78-6813-5A9E-E050-007F01006A65</t>
    <phoneticPr fontId="1" type="noConversion"/>
  </si>
  <si>
    <t>de194A80-6813-5A9E-E050-007F01006A65</t>
    <phoneticPr fontId="1" type="noConversion"/>
  </si>
  <si>
    <t>repOutDepName</t>
    <phoneticPr fontId="1" type="noConversion"/>
  </si>
  <si>
    <t>11194A80-6813-5A9E-E050-007F01006A66</t>
    <phoneticPr fontId="1" type="noConversion"/>
  </si>
  <si>
    <t>de194A79-6813-5A9E-E050-007F01006A65</t>
    <phoneticPr fontId="1" type="noConversion"/>
  </si>
  <si>
    <t>de194A76-6813-5A9E-E050-007F01006A03</t>
    <phoneticPr fontId="1" type="noConversion"/>
  </si>
  <si>
    <t>de464A70-6813-5A9E-E050-007F01006A65</t>
    <phoneticPr fontId="1" type="noConversion"/>
  </si>
  <si>
    <t>de194A77-6813-5A9E-E050-007F01006A65</t>
    <phoneticPr fontId="1" type="noConversion"/>
  </si>
  <si>
    <t>repOutDepCtry</t>
    <phoneticPr fontId="1" type="noConversion"/>
  </si>
  <si>
    <t>de294A49-6813-5A9E-E050-007F01006B33</t>
    <phoneticPr fontId="1" type="noConversion"/>
  </si>
  <si>
    <t>de464A69-6813-5A9E-E050-007F01006A65</t>
    <phoneticPr fontId="1" type="noConversion"/>
  </si>
  <si>
    <t>de304A71-6813-5A9E-E050-007F01006A66</t>
    <phoneticPr fontId="1" type="noConversion"/>
  </si>
  <si>
    <t>repInDepName</t>
    <phoneticPr fontId="1" type="noConversion"/>
  </si>
  <si>
    <t>1e4E4A67-6813-5A9E-E050-007F01006A67</t>
    <phoneticPr fontId="1" type="noConversion"/>
  </si>
  <si>
    <t>de304A73-6813-5A9E-E050-007F01006A66</t>
    <phoneticPr fontId="1" type="noConversion"/>
  </si>
  <si>
    <t>repInDepCode</t>
    <phoneticPr fontId="1" type="noConversion"/>
  </si>
  <si>
    <t>de494A74-6813-5A9E-E050-007F01006A65</t>
    <phoneticPr fontId="1" type="noConversion"/>
  </si>
  <si>
    <t>de294A49-6813-5A9E-E050-007F01006B18</t>
    <phoneticPr fontId="1" type="noConversion"/>
  </si>
  <si>
    <t>de4E4A59-6813-5A9E-E050-107F01006A66</t>
    <phoneticPr fontId="1" type="noConversion"/>
  </si>
  <si>
    <t>de4E4A59-6813-5A9E-E050-007F01006A66</t>
    <phoneticPr fontId="1" type="noConversion"/>
  </si>
  <si>
    <t>de314A60-6813-5A9E-E050-007F01006A66</t>
    <phoneticPr fontId="1" type="noConversion"/>
  </si>
  <si>
    <t>repRaiseAmtPlan</t>
    <phoneticPr fontId="1" type="noConversion"/>
  </si>
  <si>
    <t>de464A49-6813-5A9E-E050-107F01006A65</t>
    <phoneticPr fontId="1" type="noConversion"/>
  </si>
  <si>
    <t>de464A49-6813-5A9E-E050-007F01006A65</t>
    <phoneticPr fontId="1" type="noConversion"/>
  </si>
  <si>
    <t>repContMode</t>
    <phoneticPr fontId="1" type="noConversion"/>
  </si>
  <si>
    <t>de474A49-6813-5A9E-E050-007F01006A65</t>
    <phoneticPr fontId="1" type="noConversion"/>
  </si>
  <si>
    <t>de484A49-6813-5A9E-E050-007F01006A65</t>
    <phoneticPr fontId="1" type="noConversion"/>
  </si>
  <si>
    <t>repCoopName</t>
    <phoneticPr fontId="1" type="noConversion"/>
  </si>
  <si>
    <t>E</t>
    <phoneticPr fontId="1" type="noConversion"/>
  </si>
  <si>
    <t>1e464A49-6813-5A9E-E050-007F01006A66</t>
    <phoneticPr fontId="1" type="noConversion"/>
  </si>
  <si>
    <t>de294A49-6813-5A9E-E050-007F01006B21</t>
    <phoneticPr fontId="1" type="noConversion"/>
  </si>
  <si>
    <t>de2E4A49-6813-5A9E-E050-007F01006A66</t>
    <phoneticPr fontId="1" type="noConversion"/>
  </si>
  <si>
    <t>de2E4A49-6813-5A9E-E050-107F01006A66</t>
    <phoneticPr fontId="1" type="noConversion"/>
  </si>
  <si>
    <t>de294A49-6813-5A9E-E050-007F01006B12</t>
    <phoneticPr fontId="1" type="noConversion"/>
  </si>
  <si>
    <t>de464101-6813-5A9E-E050-107F01006A65</t>
    <phoneticPr fontId="1" type="noConversion"/>
  </si>
  <si>
    <t>de464101-6813-5A9E-E050-007F01006A65</t>
    <phoneticPr fontId="1" type="noConversion"/>
  </si>
  <si>
    <t>repTermRightFlag</t>
    <phoneticPr fontId="1" type="noConversion"/>
  </si>
  <si>
    <t>de5E4A49-6813-5A9E-E050-007F01006A66</t>
    <phoneticPr fontId="1" type="noConversion"/>
  </si>
  <si>
    <t>de294A49-6813-5A9E-E050-007F01006B24</t>
    <phoneticPr fontId="1" type="noConversion"/>
  </si>
  <si>
    <t>de194A56-6813-5A9E-E050-007F01006A65</t>
    <phoneticPr fontId="1" type="noConversion"/>
  </si>
  <si>
    <t>de294A49-6813-5A9E-E050-007F01006B32</t>
    <phoneticPr fontId="1" type="noConversion"/>
  </si>
  <si>
    <t>de194A55-6813-5A9E-E050-007F01006A65</t>
    <phoneticPr fontId="1" type="noConversion"/>
  </si>
  <si>
    <t>de294A49-6813-5A9E-E050-007F01006B31</t>
    <phoneticPr fontId="1" type="noConversion"/>
  </si>
  <si>
    <t>repCashProfCcy</t>
    <phoneticPr fontId="1" type="noConversion"/>
  </si>
  <si>
    <t>de384A49-6813-5A9E-E050-107F01006A65</t>
    <phoneticPr fontId="1" type="noConversion"/>
  </si>
  <si>
    <t>de384A49-6813-5A9E-E050-007F01006A65</t>
    <phoneticPr fontId="1" type="noConversion"/>
  </si>
  <si>
    <t>repCmmode</t>
    <phoneticPr fontId="1" type="noConversion"/>
  </si>
  <si>
    <t>de464A88-6813-5A9E-E050-007F01006A65</t>
    <phoneticPr fontId="1" type="noConversion"/>
  </si>
  <si>
    <t>de184A86-6813-5A9E-E050-007F01006A65</t>
    <phoneticPr fontId="1" type="noConversion"/>
  </si>
  <si>
    <t>de194A89-6813-5A9E-E050-007F01006A65</t>
    <phoneticPr fontId="1" type="noConversion"/>
  </si>
  <si>
    <t>de194A87-6813-5A9E-E050-007F01006A65</t>
    <phoneticPr fontId="1" type="noConversion"/>
  </si>
  <si>
    <t>repCreditMode</t>
    <phoneticPr fontId="1" type="noConversion"/>
  </si>
  <si>
    <t>repCreditType</t>
    <phoneticPr fontId="1" type="noConversion"/>
  </si>
  <si>
    <t>de294A49-6813-5A9E-E050-007F01006B35</t>
    <phoneticPr fontId="1" type="noConversion"/>
  </si>
  <si>
    <t>1e184A86-6813-5A9E-E050-007F01006A66</t>
    <phoneticPr fontId="1" type="noConversion"/>
  </si>
  <si>
    <t>repCreditFlag</t>
    <phoneticPr fontId="1" type="noConversion"/>
  </si>
  <si>
    <t>de464A85-6813-5A9E-E050-107F01006A65</t>
    <phoneticPr fontId="1" type="noConversion"/>
  </si>
  <si>
    <t>de464A85-6813-5A9E-E050-007F01006A65</t>
    <phoneticPr fontId="1" type="noConversion"/>
  </si>
  <si>
    <t>1e234A49-6813-5A9E-E050-107F01006A66</t>
    <phoneticPr fontId="1" type="noConversion"/>
  </si>
  <si>
    <t>de244A49-6813-5A9E-E050-007F01006A65</t>
    <phoneticPr fontId="1" type="noConversion"/>
  </si>
  <si>
    <t>repOperateMode</t>
    <phoneticPr fontId="1" type="noConversion"/>
  </si>
  <si>
    <t>de194A53-6813-5A9E-E050-007F01006A65</t>
    <phoneticPr fontId="1" type="noConversion"/>
  </si>
  <si>
    <t>de294A49-6813-5A9E-E050-007F01006B28</t>
    <phoneticPr fontId="1" type="noConversion"/>
  </si>
  <si>
    <t>repSaleArea</t>
    <phoneticPr fontId="1" type="noConversion"/>
  </si>
  <si>
    <t>de204A49-6813-5A9E-E050-007F01006A65</t>
    <phoneticPr fontId="1" type="noConversion"/>
  </si>
  <si>
    <t>repInvestCountry</t>
    <phoneticPr fontId="1" type="noConversion"/>
  </si>
  <si>
    <t>de294A49-6813-5A9E-E050-007F01006B29</t>
    <phoneticPr fontId="1" type="noConversion"/>
  </si>
  <si>
    <t>de184A49-6813-5A9E-E050-007F01006A65</t>
    <phoneticPr fontId="1" type="noConversion"/>
  </si>
  <si>
    <t>de184A49-6813-5A9E-E050-107F01006A65</t>
    <phoneticPr fontId="1" type="noConversion"/>
  </si>
  <si>
    <t>de294A49-6813-5A9E-E050-107F01006B27</t>
    <phoneticPr fontId="1" type="noConversion"/>
  </si>
  <si>
    <t>de134A49-6813-5A9E-E050-007F01006A65</t>
    <phoneticPr fontId="1" type="noConversion"/>
  </si>
  <si>
    <t>repProfitType</t>
    <phoneticPr fontId="1" type="noConversion"/>
  </si>
  <si>
    <t>de6E4A49-6813-5A9E-E050-007F21106A66</t>
    <phoneticPr fontId="1" type="noConversion"/>
  </si>
  <si>
    <t>repApproverName</t>
    <phoneticPr fontId="1" type="noConversion"/>
  </si>
  <si>
    <t>de6E4A49-6813-5A9E-E050-007F01006A66</t>
    <phoneticPr fontId="1" type="noConversion"/>
  </si>
  <si>
    <t>de294A49-6813-5A9E-E050-007F01006B13</t>
    <phoneticPr fontId="1" type="noConversion"/>
  </si>
  <si>
    <t>repApproverId</t>
    <phoneticPr fontId="1" type="noConversion"/>
  </si>
  <si>
    <t>repDesignerName</t>
    <phoneticPr fontId="1" type="noConversion"/>
  </si>
  <si>
    <t>de7E4A49-6813-5A9E-E050-007F21306A66</t>
    <phoneticPr fontId="1" type="noConversion"/>
  </si>
  <si>
    <t>de7E4A49-6813-5A9E-E050-007F01006A66</t>
    <phoneticPr fontId="1" type="noConversion"/>
  </si>
  <si>
    <t>de294A49-6813-5A9E-E050-107F01006B14</t>
    <phoneticPr fontId="1" type="noConversion"/>
  </si>
  <si>
    <t>de294A49-6813-5A9E-E050-007F01006B14</t>
    <phoneticPr fontId="1" type="noConversion"/>
  </si>
  <si>
    <t>repDesignerId</t>
    <phoneticPr fontId="1" type="noConversion"/>
  </si>
  <si>
    <t>de134A49-6813-5A9E-E050-107F01006A65</t>
    <phoneticPr fontId="1" type="noConversion"/>
  </si>
  <si>
    <t>de144A49-6813-5A9E-E050-007F01006A65</t>
    <phoneticPr fontId="1" type="noConversion"/>
  </si>
  <si>
    <t>repTerm</t>
    <phoneticPr fontId="1" type="noConversion"/>
  </si>
  <si>
    <t>de4E4A49-6813-5A9E-E050-107F01006A66</t>
    <phoneticPr fontId="1" type="noConversion"/>
  </si>
  <si>
    <t>de4E4A49-6813-5A9E-E050-007F01006A66</t>
    <phoneticPr fontId="1" type="noConversion"/>
  </si>
  <si>
    <t>repFinprodStage</t>
    <phoneticPr fontId="1" type="noConversion"/>
  </si>
  <si>
    <t>产品期次必须为n..6格式。</t>
    <phoneticPr fontId="1" type="noConversion"/>
  </si>
  <si>
    <t>de3E4A49-6813-5A9E-E050-007F01006A66</t>
    <phoneticPr fontId="1" type="noConversion"/>
  </si>
  <si>
    <t>de294A49-6813-5A9E-E050-007F01006B11</t>
    <phoneticPr fontId="1" type="noConversion"/>
  </si>
  <si>
    <t>repFinprodBrand</t>
    <phoneticPr fontId="1" type="noConversion"/>
  </si>
  <si>
    <t>de1E4A49-6813-5A9E-E050-007F01006A66</t>
    <phoneticPr fontId="1" type="noConversion"/>
  </si>
  <si>
    <t>de1E4A49-6813-5A9E-E050-107F01006A66</t>
    <phoneticPr fontId="1" type="noConversion"/>
  </si>
  <si>
    <t>de394A49-6813-5A9E-E050-107F01006A65</t>
    <phoneticPr fontId="1" type="noConversion"/>
  </si>
  <si>
    <t>de394A49-6813-5A9E-E050-007F01006A65</t>
    <phoneticPr fontId="1" type="noConversion"/>
  </si>
  <si>
    <t>repPmmode</t>
    <phoneticPr fontId="1" type="noConversion"/>
  </si>
  <si>
    <t>de464A83-6813-5A9E-E050-107F01006A65</t>
    <phoneticPr fontId="1" type="noConversion"/>
  </si>
  <si>
    <t>de464A83-6813-5A9E-E050-007F01006A65</t>
    <phoneticPr fontId="1" type="noConversion"/>
  </si>
  <si>
    <t>de8E4A49-6813-5A9E-E050-107F21206A66</t>
    <phoneticPr fontId="1" type="noConversion"/>
  </si>
  <si>
    <t>repRiskLevel</t>
    <phoneticPr fontId="1" type="noConversion"/>
  </si>
  <si>
    <t>de8E4A49-6813-5A9E-E050-107F21206A68</t>
    <phoneticPr fontId="1" type="noConversion"/>
  </si>
  <si>
    <t>de194A92-6813-5A9E-E050-007F01006A65</t>
    <phoneticPr fontId="1" type="noConversion"/>
  </si>
  <si>
    <t>repPricedMode</t>
    <phoneticPr fontId="1" type="noConversion"/>
  </si>
  <si>
    <t>de194A90-6813-5A9E-E050-007F01006A65</t>
    <phoneticPr fontId="1" type="noConversion"/>
  </si>
  <si>
    <t>repCashPrinCcy</t>
    <phoneticPr fontId="1" type="noConversion"/>
  </si>
  <si>
    <t>de194A93-6813-5A9E-E050-007F01006A65</t>
    <phoneticPr fontId="1" type="noConversion"/>
  </si>
  <si>
    <t>de194A96-6813-5A9E-E050-007F01006A65</t>
    <phoneticPr fontId="1" type="noConversion"/>
  </si>
  <si>
    <t>de194A95-6813-5A9E-E050-007F01006A65</t>
    <phoneticPr fontId="1" type="noConversion"/>
  </si>
  <si>
    <t>de194A91-6813-5A9E-E050-007F01006A65</t>
    <phoneticPr fontId="1" type="noConversion"/>
  </si>
  <si>
    <t>repRaiseCcy</t>
    <phoneticPr fontId="1" type="noConversion"/>
  </si>
  <si>
    <t>de194A94-6813-5A9E-E050-007F01006A65</t>
    <phoneticPr fontId="1" type="noConversion"/>
  </si>
  <si>
    <t>de294A49-6813-5A9E-E050-007F01006B23</t>
    <phoneticPr fontId="1" type="noConversion"/>
  </si>
  <si>
    <t>de3E4A49-6810-5A9E-E650-417F01006A83</t>
    <phoneticPr fontId="1" type="noConversion"/>
  </si>
  <si>
    <t>de3E4A49-6810-5A9E-E650-517F01006A83</t>
    <phoneticPr fontId="1" type="noConversion"/>
  </si>
  <si>
    <t>NG-&gt;OK</t>
    <phoneticPr fontId="1" type="noConversion"/>
  </si>
  <si>
    <t>isFreeRedem</t>
    <phoneticPr fontId="1" type="noConversion"/>
  </si>
  <si>
    <t>发行机构代码必须与银行代码相同。</t>
    <phoneticPr fontId="1" type="noConversion"/>
  </si>
  <si>
    <t>Y</t>
    <phoneticPr fontId="1" type="noConversion"/>
  </si>
  <si>
    <t>^[0-9]{0,5}(\.[0]{1,2})?$</t>
    <phoneticPr fontId="1" type="noConversion"/>
  </si>
  <si>
    <t>de244A61-6813-5A9E-E050-007F01006A65</t>
  </si>
  <si>
    <t>compareProperty</t>
    <phoneticPr fontId="1" type="noConversion"/>
  </si>
  <si>
    <t>repRaisePstrdate</t>
    <phoneticPr fontId="1" type="noConversion"/>
  </si>
  <si>
    <t>募集起始日期（到）必须大于等于募集起始日期（从）</t>
    <phoneticPr fontId="1" type="noConversion"/>
  </si>
  <si>
    <t>de8E4A49-6813-5A9E-E050-107F21206A69</t>
    <phoneticPr fontId="1" type="noConversion"/>
  </si>
  <si>
    <t>de8E4A49-6813-5A9E-E050-107F21206A67</t>
    <phoneticPr fontId="1" type="noConversion"/>
  </si>
  <si>
    <t>E</t>
    <phoneticPr fontId="1" type="noConversion"/>
  </si>
  <si>
    <t>投资资产种类及比例要素格式不对。正确的格式：数字%：文字；数字%-数字%：文字（其中，百分号、冒号、分号、连字号均应为英文标点，文字和数字部分均不得含有英文百分号、冒号、分号、连字号）。其中，数字格式为n..（5，2），且需大于等于0、小于等于100。</t>
    <phoneticPr fontId="1" type="noConversion"/>
  </si>
  <si>
    <t>E</t>
    <phoneticPr fontId="1" type="noConversion"/>
  </si>
  <si>
    <t>de4E4A57-6813-5A9E-E050-007F01006A66</t>
    <phoneticPr fontId="1" type="noConversion"/>
  </si>
  <si>
    <t>de6E4A49-6813-5A9E-E050-107F01006A66</t>
    <phoneticPr fontId="1" type="noConversion"/>
  </si>
  <si>
    <t>1e194A89-6813-5A9E-E050-007F01006A66</t>
    <phoneticPr fontId="1" type="noConversion"/>
  </si>
  <si>
    <t>(((\d{1,3}(.\d{1,2})?%)|(\d{1,3}(.\d{1,2})?%-\d{1,3}(.\d{1,2})?%)):[\u4e00-\u9fa5_a-zA-Z0-9()_]+;)*(((\d{1,3}(.\d{1,2})?%)|(\d{1,3}(.\d{1,2})?%-\d{1,3}(.\d{1,2})?%)):[\u4e00-\u9fa5_a-zA-Z0-9()_]+)</t>
  </si>
  <si>
    <t>CHECKCLASS</t>
    <phoneticPr fontId="1" type="noConversion"/>
  </si>
  <si>
    <t>com.joyintech.tams.invest.common.ChbBaseCheckLib</t>
  </si>
  <si>
    <t>invAssetTypeAndPercent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</si>
</sst>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5">
    <font>
      <sz val="11"/>
      <color theme="1"/>
      <name val="宋体"/>
      <family val="2"/>
      <scheme val="minor"/>
    </font>
    <font>
      <sz val="9"/>
      <name val="宋体"/>
      <family val="3"/>
      <charset val="134"/>
      <scheme val="minor"/>
    </font>
    <font>
      <b/>
      <sz val="11"/>
      <color theme="1"/>
      <name val="宋体"/>
      <family val="3"/>
      <charset val="134"/>
      <scheme val="minor"/>
    </font>
    <font>
      <b/>
      <sz val="10"/>
      <color theme="1"/>
      <name val="宋体"/>
      <family val="3"/>
      <charset val="134"/>
      <scheme val="minor"/>
    </font>
    <font>
      <sz val="9"/>
      <color theme="1"/>
      <name val="宋体"/>
      <family val="3"/>
      <charset val="134"/>
    </font>
    <font>
      <sz val="9"/>
      <color theme="1"/>
      <name val="宋体"/>
      <family val="3"/>
      <charset val="134"/>
      <scheme val="minor"/>
    </font>
    <font>
      <sz val="10"/>
      <color theme="1"/>
      <name val="宋体"/>
      <family val="3"/>
      <charset val="134"/>
      <scheme val="minor"/>
    </font>
    <font>
      <b/>
      <sz val="9"/>
      <color theme="1"/>
      <name val="宋体"/>
      <family val="3"/>
      <charset val="134"/>
    </font>
    <font>
      <sz val="11"/>
      <color rgb="FFFF0000"/>
      <name val="宋体"/>
      <family val="2"/>
      <scheme val="minor"/>
    </font>
    <font>
      <sz val="11"/>
      <color theme="1"/>
      <name val="宋体"/>
      <family val="3"/>
      <charset val="134"/>
      <scheme val="minor"/>
    </font>
    <font>
      <sz val="11"/>
      <color rgb="FFCC0099"/>
      <name val="宋体"/>
      <family val="2"/>
      <scheme val="minor"/>
    </font>
    <font>
      <sz val="11"/>
      <color rgb="FFCC0099"/>
      <name val="宋体"/>
      <family val="3"/>
      <charset val="134"/>
      <scheme val="minor"/>
    </font>
    <font>
      <u/>
      <sz val="11"/>
      <color theme="10"/>
      <name val="宋体"/>
      <family val="3"/>
      <charset val="134"/>
    </font>
    <font>
      <sz val="11"/>
      <name val="宋体"/>
      <family val="2"/>
      <scheme val="minor"/>
    </font>
    <font>
      <sz val="11"/>
      <name val="宋体"/>
      <family val="3"/>
      <charset val="134"/>
      <scheme val="minor"/>
    </font>
  </fonts>
  <fills count="6">
    <fill>
      <patternFill patternType="none"/>
    </fill>
    <fill>
      <patternFill patternType="gray125"/>
    </fill>
    <fill>
      <patternFill patternType="solid">
        <fgColor theme="8" tint="0.39997558519241921"/>
        <bgColor indexed="64"/>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s>
  <cellStyleXfs count="2">
    <xf numFmtId="0" fontId="0" fillId="0" borderId="0"/>
    <xf numFmtId="0" fontId="12" fillId="0" borderId="0" applyNumberFormat="0" applyFill="0" applyBorder="0" applyAlignment="0" applyProtection="0">
      <alignment vertical="top"/>
      <protection locked="0"/>
    </xf>
  </cellStyleXfs>
  <cellXfs count="43">
    <xf numFmtId="0" fontId="0" fillId="0" borderId="0" xfId="0"/>
    <xf numFmtId="0" fontId="0" fillId="0" borderId="1" xfId="0" applyBorder="1" applyAlignment="1">
      <alignment vertical="center"/>
    </xf>
    <xf numFmtId="0" fontId="2" fillId="0" borderId="1" xfId="0" applyFont="1" applyBorder="1" applyAlignment="1">
      <alignment horizontal="center" vertical="center"/>
    </xf>
    <xf numFmtId="0" fontId="2" fillId="0" borderId="0" xfId="0" applyFont="1" applyAlignment="1">
      <alignment horizontal="center"/>
    </xf>
    <xf numFmtId="0" fontId="0" fillId="2" borderId="1" xfId="0" applyFill="1" applyBorder="1" applyAlignment="1">
      <alignment horizontal="center" vertical="center"/>
    </xf>
    <xf numFmtId="0" fontId="2" fillId="0" borderId="1" xfId="0" applyFont="1" applyBorder="1" applyAlignment="1">
      <alignment horizontal="center"/>
    </xf>
    <xf numFmtId="0" fontId="0" fillId="0" borderId="1" xfId="0" applyBorder="1"/>
    <xf numFmtId="0" fontId="3" fillId="3" borderId="1" xfId="0" applyFont="1" applyFill="1" applyBorder="1" applyAlignment="1">
      <alignment horizontal="center" vertical="center"/>
    </xf>
    <xf numFmtId="0" fontId="3" fillId="3" borderId="1" xfId="0" applyFont="1" applyFill="1" applyBorder="1" applyAlignment="1">
      <alignment horizontal="justify" vertical="center"/>
    </xf>
    <xf numFmtId="0" fontId="5" fillId="3" borderId="1" xfId="0" applyFont="1" applyFill="1" applyBorder="1" applyAlignment="1">
      <alignment vertical="center"/>
    </xf>
    <xf numFmtId="0" fontId="6" fillId="3" borderId="1" xfId="0" applyFont="1" applyFill="1" applyBorder="1" applyAlignment="1">
      <alignment horizontal="justify" vertical="center"/>
    </xf>
    <xf numFmtId="0" fontId="6" fillId="3" borderId="1" xfId="0" applyFont="1" applyFill="1" applyBorder="1" applyAlignment="1">
      <alignment vertical="center"/>
    </xf>
    <xf numFmtId="0" fontId="4" fillId="3" borderId="1" xfId="0" quotePrefix="1" applyFont="1" applyFill="1" applyBorder="1" applyAlignment="1">
      <alignment vertical="center"/>
    </xf>
    <xf numFmtId="0" fontId="5" fillId="3" borderId="1" xfId="0" applyFont="1" applyFill="1" applyBorder="1" applyAlignment="1">
      <alignment horizontal="center" vertical="center"/>
    </xf>
    <xf numFmtId="0" fontId="4" fillId="3" borderId="1" xfId="0" applyFont="1" applyFill="1" applyBorder="1" applyAlignment="1">
      <alignment vertical="center"/>
    </xf>
    <xf numFmtId="0" fontId="7" fillId="3" borderId="1" xfId="0" applyFont="1" applyFill="1" applyBorder="1" applyAlignment="1">
      <alignment vertical="center"/>
    </xf>
    <xf numFmtId="0" fontId="0" fillId="0" borderId="1" xfId="0" applyBorder="1" applyAlignment="1">
      <alignment vertical="center" wrapText="1"/>
    </xf>
    <xf numFmtId="0" fontId="9" fillId="0" borderId="0" xfId="0" applyFont="1"/>
    <xf numFmtId="0" fontId="0" fillId="3" borderId="0" xfId="0" applyFill="1"/>
    <xf numFmtId="0" fontId="2" fillId="0" borderId="0" xfId="0" applyFont="1"/>
    <xf numFmtId="0" fontId="2" fillId="0" borderId="0" xfId="0" applyFont="1" applyAlignment="1">
      <alignment horizontal="left"/>
    </xf>
    <xf numFmtId="0" fontId="0" fillId="4" borderId="1" xfId="0" applyFill="1" applyBorder="1" applyAlignment="1">
      <alignment vertical="center"/>
    </xf>
    <xf numFmtId="0" fontId="0" fillId="4" borderId="0" xfId="0" applyFill="1"/>
    <xf numFmtId="0" fontId="0" fillId="0" borderId="0" xfId="0" applyBorder="1"/>
    <xf numFmtId="0" fontId="0" fillId="5" borderId="1" xfId="0" applyFill="1" applyBorder="1" applyAlignment="1">
      <alignment vertical="center"/>
    </xf>
    <xf numFmtId="0" fontId="0" fillId="5" borderId="0" xfId="0" applyFill="1"/>
    <xf numFmtId="0" fontId="0" fillId="4" borderId="1" xfId="0" applyFill="1" applyBorder="1"/>
    <xf numFmtId="0" fontId="10" fillId="4" borderId="1" xfId="0" applyFont="1" applyFill="1" applyBorder="1" applyAlignment="1">
      <alignment vertical="center"/>
    </xf>
    <xf numFmtId="0" fontId="11" fillId="4" borderId="1" xfId="0" applyFont="1" applyFill="1" applyBorder="1" applyAlignment="1">
      <alignment vertical="center"/>
    </xf>
    <xf numFmtId="0" fontId="8" fillId="4" borderId="1" xfId="0" applyFont="1" applyFill="1" applyBorder="1" applyAlignment="1">
      <alignment vertical="center"/>
    </xf>
    <xf numFmtId="0" fontId="11" fillId="5" borderId="1" xfId="0" applyFont="1" applyFill="1" applyBorder="1" applyAlignment="1">
      <alignment vertical="center"/>
    </xf>
    <xf numFmtId="0" fontId="0" fillId="5" borderId="1" xfId="0" applyFill="1" applyBorder="1"/>
    <xf numFmtId="0" fontId="6" fillId="3" borderId="2" xfId="0" applyFont="1" applyFill="1" applyBorder="1" applyAlignment="1">
      <alignment horizontal="justify" vertical="center"/>
    </xf>
    <xf numFmtId="0" fontId="6" fillId="3" borderId="0" xfId="0" applyFont="1" applyFill="1" applyBorder="1" applyAlignment="1">
      <alignment horizontal="justify" vertical="center"/>
    </xf>
    <xf numFmtId="0" fontId="9" fillId="4" borderId="1" xfId="0" applyFont="1" applyFill="1" applyBorder="1" applyAlignment="1">
      <alignment vertical="center"/>
    </xf>
    <xf numFmtId="0" fontId="13" fillId="4" borderId="1" xfId="0" applyFont="1" applyFill="1" applyBorder="1" applyAlignment="1">
      <alignment vertical="center"/>
    </xf>
    <xf numFmtId="0" fontId="14" fillId="4" borderId="1" xfId="0" applyFont="1" applyFill="1" applyBorder="1" applyAlignment="1">
      <alignment vertical="center"/>
    </xf>
    <xf numFmtId="0" fontId="14" fillId="4" borderId="0" xfId="0" applyFont="1" applyFill="1"/>
    <xf numFmtId="0" fontId="14" fillId="4" borderId="1" xfId="0" applyFont="1" applyFill="1" applyBorder="1"/>
    <xf numFmtId="0" fontId="0" fillId="0" borderId="3" xfId="0" applyBorder="1" applyAlignment="1">
      <alignment vertical="center"/>
    </xf>
    <xf numFmtId="0" fontId="0" fillId="0" borderId="3" xfId="0" applyBorder="1"/>
    <xf numFmtId="0" fontId="2" fillId="0" borderId="1" xfId="0" applyFont="1" applyBorder="1" applyAlignment="1">
      <alignment horizontal="left"/>
    </xf>
    <xf numFmtId="0" fontId="12" fillId="4" borderId="1" xfId="1" applyFill="1" applyBorder="1" applyAlignment="1" applyProtection="1">
      <alignment horizontal="left" wrapText="1" indent="1"/>
    </xf>
  </cellXfs>
  <cellStyles count="2">
    <cellStyle name="常规" xfId="0" builtinId="0"/>
    <cellStyle name="超链接" xfId="1" builtinId="8"/>
  </cellStyles>
  <dxfs count="0"/>
  <tableStyles count="0" defaultTableStyle="TableStyleMedium2" defaultPivotStyle="PivotStyleMedium9"/>
  <colors>
    <mruColors>
      <color rgb="FFCC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pf.joyintech.com:8090/browse/ZZOTZL-439"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71"/>
  <sheetViews>
    <sheetView tabSelected="1" topLeftCell="B152" workbookViewId="0">
      <selection activeCell="D165" sqref="D165"/>
    </sheetView>
  </sheetViews>
  <sheetFormatPr defaultRowHeight="13.5"/>
  <cols>
    <col min="1" max="1" width="40.5" style="1" bestFit="1" customWidth="1"/>
    <col min="2" max="2" width="25.875" style="1" customWidth="1"/>
    <col min="3" max="3" width="33.875" style="1" bestFit="1" customWidth="1"/>
    <col min="4" max="4" width="30.625" style="1" customWidth="1"/>
    <col min="5" max="5" width="21.625" style="1" bestFit="1" customWidth="1"/>
    <col min="6" max="6" width="30.625" style="1" customWidth="1"/>
    <col min="7" max="7" width="9.5" style="1" bestFit="1" customWidth="1"/>
    <col min="8" max="8" width="62.125" style="1" customWidth="1"/>
    <col min="9" max="9" width="13.125" style="1" customWidth="1"/>
    <col min="10" max="10" width="17.875" style="6" customWidth="1"/>
    <col min="11" max="13" width="17.875" style="23" customWidth="1"/>
  </cols>
  <sheetData>
    <row r="1" spans="1:14" s="3" customFormat="1">
      <c r="A1" s="2" t="s">
        <v>0</v>
      </c>
      <c r="B1" s="2" t="s">
        <v>640</v>
      </c>
      <c r="C1" s="2" t="s">
        <v>1</v>
      </c>
      <c r="D1" s="2" t="s">
        <v>2</v>
      </c>
      <c r="E1" s="2" t="s">
        <v>3</v>
      </c>
      <c r="F1" s="2" t="s">
        <v>4</v>
      </c>
      <c r="G1" s="2" t="s">
        <v>5</v>
      </c>
      <c r="H1" s="2" t="s">
        <v>6</v>
      </c>
      <c r="I1" s="2" t="s">
        <v>7</v>
      </c>
      <c r="J1" s="5" t="s">
        <v>441</v>
      </c>
      <c r="K1" s="5" t="s">
        <v>870</v>
      </c>
      <c r="L1" s="5" t="s">
        <v>641</v>
      </c>
      <c r="M1" s="5" t="s">
        <v>642</v>
      </c>
      <c r="N1" s="41" t="s">
        <v>638</v>
      </c>
    </row>
    <row r="2" spans="1:14" s="22" customFormat="1">
      <c r="A2" s="21" t="s">
        <v>647</v>
      </c>
      <c r="B2" s="21" t="s">
        <v>605</v>
      </c>
      <c r="C2" s="21" t="s">
        <v>8</v>
      </c>
      <c r="D2" s="21" t="s">
        <v>49</v>
      </c>
      <c r="E2" s="21"/>
      <c r="F2" s="21"/>
      <c r="G2" s="21" t="s">
        <v>10</v>
      </c>
      <c r="H2" s="21" t="s">
        <v>519</v>
      </c>
      <c r="I2" s="21" t="s">
        <v>636</v>
      </c>
      <c r="J2" s="21" t="s">
        <v>520</v>
      </c>
      <c r="K2" s="21" t="s">
        <v>871</v>
      </c>
      <c r="L2" s="21" t="s">
        <v>643</v>
      </c>
      <c r="M2" s="21"/>
      <c r="N2" s="26" t="str">
        <f>CONCATENATE("insert into CHB_DATACHECK_RULE_INV values ('",A2,"','",B2,"','",C2,"','",J2,"','",E2,"','",F2,"','",G2,"','",H2,"','",I2,"','",K2,"');")</f>
        <v>insert into CHB_DATACHECK_RULE_INV values ('de294A49-6813-5A9E-E050-007F01006A66','ProductReportRegister002','isNotEmpty','shortTerm','','','N','最短持有期限（天）要素不可为空。','D','com.joyintech.tams.invest.common.ChbBaseCheckLib');</v>
      </c>
    </row>
    <row r="3" spans="1:14" s="22" customFormat="1">
      <c r="A3" s="21" t="s">
        <v>648</v>
      </c>
      <c r="B3" s="21" t="s">
        <v>605</v>
      </c>
      <c r="C3" s="21" t="s">
        <v>12</v>
      </c>
      <c r="D3" s="21" t="s">
        <v>49</v>
      </c>
      <c r="E3" s="21" t="s">
        <v>34</v>
      </c>
      <c r="F3" s="21" t="s">
        <v>30</v>
      </c>
      <c r="G3" s="21" t="s">
        <v>14</v>
      </c>
      <c r="H3" s="21" t="s">
        <v>51</v>
      </c>
      <c r="I3" s="21" t="s">
        <v>11</v>
      </c>
      <c r="J3" s="21" t="s">
        <v>520</v>
      </c>
      <c r="K3" s="21" t="s">
        <v>871</v>
      </c>
      <c r="L3" s="21" t="s">
        <v>643</v>
      </c>
      <c r="M3" s="21"/>
      <c r="N3" s="26" t="str">
        <f t="shared" ref="N3:N66" si="0">CONCATENATE("insert into CHB_DATACHECK_RULE_INV values ('",A3,"','",B3,"','",C3,"','",J3,"','",E3,"','",F3,"','",G3,"','",H3,"','",I3,"','",K3,"');")</f>
        <v>insert into CHB_DATACHECK_RULE_INV values ('de304A49-6813-5A9E-E050-007F01006A66','ProductReportRegister002','lessThanCharLength','shortTerm','==','0','Y','最短持有期限（天）要素必须为空。','E','com.joyintech.tams.invest.common.ChbBaseCheckLib');</v>
      </c>
    </row>
    <row r="4" spans="1:14" s="22" customFormat="1">
      <c r="A4" s="21" t="s">
        <v>649</v>
      </c>
      <c r="B4" s="21" t="s">
        <v>605</v>
      </c>
      <c r="C4" s="21" t="s">
        <v>12</v>
      </c>
      <c r="D4" s="21" t="s">
        <v>49</v>
      </c>
      <c r="E4" s="21" t="s">
        <v>34</v>
      </c>
      <c r="F4" s="21" t="s">
        <v>30</v>
      </c>
      <c r="G4" s="21" t="s">
        <v>14</v>
      </c>
      <c r="H4" s="21" t="s">
        <v>51</v>
      </c>
      <c r="I4" s="21" t="s">
        <v>11</v>
      </c>
      <c r="J4" s="21" t="s">
        <v>520</v>
      </c>
      <c r="K4" s="21" t="s">
        <v>871</v>
      </c>
      <c r="L4" s="21" t="s">
        <v>643</v>
      </c>
      <c r="M4" s="21"/>
      <c r="N4" s="26" t="str">
        <f t="shared" si="0"/>
        <v>insert into CHB_DATACHECK_RULE_INV values ('de284A49-6813-5A9E-E050-007F01006A65','ProductReportRegister002','lessThanCharLength','shortTerm','==','0','Y','最短持有期限（天）要素必须为空。','E','com.joyintech.tams.invest.common.ChbBaseCheckLib');</v>
      </c>
    </row>
    <row r="5" spans="1:14" s="22" customFormat="1">
      <c r="A5" s="21" t="s">
        <v>650</v>
      </c>
      <c r="B5" s="21" t="s">
        <v>605</v>
      </c>
      <c r="C5" s="21" t="s">
        <v>102</v>
      </c>
      <c r="D5" s="21" t="s">
        <v>49</v>
      </c>
      <c r="E5" s="21"/>
      <c r="F5" s="21" t="s">
        <v>856</v>
      </c>
      <c r="G5" s="21" t="s">
        <v>14</v>
      </c>
      <c r="H5" s="21" t="s">
        <v>54</v>
      </c>
      <c r="I5" s="21" t="s">
        <v>11</v>
      </c>
      <c r="J5" s="21" t="s">
        <v>520</v>
      </c>
      <c r="K5" s="21" t="s">
        <v>871</v>
      </c>
      <c r="L5" s="21" t="s">
        <v>852</v>
      </c>
      <c r="M5" s="21" t="s">
        <v>644</v>
      </c>
      <c r="N5" s="26" t="str">
        <f t="shared" si="0"/>
        <v>insert into CHB_DATACHECK_RULE_INV values ('11294A49-6813-5A9E-E050-007F01006A67','ProductReportRegister002','isCustomizedString','shortTerm','','^[0-9]{0,5}(\.[0]{1,2})?$','Y','最短持有期限（天）必须为n..5格式。','E','com.joyintech.tams.invest.common.ChbBaseCheckLib');</v>
      </c>
    </row>
    <row r="6" spans="1:14" s="22" customFormat="1">
      <c r="A6" s="21" t="s">
        <v>651</v>
      </c>
      <c r="B6" s="21" t="s">
        <v>605</v>
      </c>
      <c r="C6" s="21" t="s">
        <v>28</v>
      </c>
      <c r="D6" s="21" t="s">
        <v>49</v>
      </c>
      <c r="E6" s="21" t="s">
        <v>55</v>
      </c>
      <c r="F6" s="21" t="s">
        <v>30</v>
      </c>
      <c r="G6" s="21" t="s">
        <v>14</v>
      </c>
      <c r="H6" s="21" t="s">
        <v>56</v>
      </c>
      <c r="I6" s="21" t="s">
        <v>11</v>
      </c>
      <c r="J6" s="21" t="s">
        <v>520</v>
      </c>
      <c r="K6" s="21" t="s">
        <v>871</v>
      </c>
      <c r="L6" s="21" t="s">
        <v>643</v>
      </c>
      <c r="M6" s="21"/>
      <c r="N6" s="26" t="str">
        <f t="shared" si="0"/>
        <v>insert into CHB_DATACHECK_RULE_INV values ('de314A49-6813-5A9E-E050-007F01006A66','ProductReportRegister002','compareValueAsNumber','shortTerm','&gt;','0','Y','最短持有期限（天）必须大于0。','E','com.joyintech.tams.invest.common.ChbBaseCheckLib');</v>
      </c>
    </row>
    <row r="7" spans="1:14" s="22" customFormat="1">
      <c r="A7" s="21" t="s">
        <v>645</v>
      </c>
      <c r="B7" s="21" t="s">
        <v>605</v>
      </c>
      <c r="C7" s="21" t="s">
        <v>8</v>
      </c>
      <c r="D7" s="21" t="s">
        <v>58</v>
      </c>
      <c r="E7" s="21"/>
      <c r="F7" s="21"/>
      <c r="G7" s="21" t="s">
        <v>10</v>
      </c>
      <c r="H7" s="21" t="s">
        <v>632</v>
      </c>
      <c r="I7" s="21" t="s">
        <v>636</v>
      </c>
      <c r="J7" s="21" t="s">
        <v>495</v>
      </c>
      <c r="K7" s="21" t="s">
        <v>871</v>
      </c>
      <c r="L7" s="21" t="s">
        <v>643</v>
      </c>
      <c r="M7" s="21"/>
      <c r="N7" s="26" t="str">
        <f t="shared" si="0"/>
        <v>insert into CHB_DATACHECK_RULE_INV values ('de324A49-6813-5A9E-E050-007F01006A65','ProductReportRegister002','isNotEmpty','isFreeRedem','','','N','最短持有期后是否自由赎回要素不可为空','D','com.joyintech.tams.invest.common.ChbBaseCheckLib');</v>
      </c>
    </row>
    <row r="8" spans="1:14" s="22" customFormat="1">
      <c r="A8" s="21" t="s">
        <v>646</v>
      </c>
      <c r="B8" s="21" t="s">
        <v>605</v>
      </c>
      <c r="C8" s="21" t="s">
        <v>12</v>
      </c>
      <c r="D8" s="21" t="s">
        <v>58</v>
      </c>
      <c r="E8" s="21" t="s">
        <v>34</v>
      </c>
      <c r="F8" s="21" t="s">
        <v>30</v>
      </c>
      <c r="G8" s="21" t="s">
        <v>14</v>
      </c>
      <c r="H8" s="21" t="s">
        <v>59</v>
      </c>
      <c r="I8" s="21" t="s">
        <v>11</v>
      </c>
      <c r="J8" s="21" t="s">
        <v>853</v>
      </c>
      <c r="K8" s="21" t="s">
        <v>871</v>
      </c>
      <c r="L8" s="21" t="s">
        <v>643</v>
      </c>
      <c r="M8" s="21"/>
      <c r="N8" s="26" t="str">
        <f t="shared" si="0"/>
        <v>insert into CHB_DATACHECK_RULE_INV values ('de334A49-6813-5A9E-E050-007F01006A65','ProductReportRegister002','lessThanCharLength','isFreeRedem','==','0','Y','最短持有期后是否自由赎回要素必须为空','E','com.joyintech.tams.invest.common.ChbBaseCheckLib');</v>
      </c>
    </row>
    <row r="9" spans="1:14" s="22" customFormat="1">
      <c r="A9" s="21" t="s">
        <v>652</v>
      </c>
      <c r="B9" s="21" t="s">
        <v>605</v>
      </c>
      <c r="C9" s="21" t="s">
        <v>12</v>
      </c>
      <c r="D9" s="21" t="s">
        <v>58</v>
      </c>
      <c r="E9" s="21" t="s">
        <v>34</v>
      </c>
      <c r="F9" s="21" t="s">
        <v>30</v>
      </c>
      <c r="G9" s="21" t="s">
        <v>14</v>
      </c>
      <c r="H9" s="21" t="s">
        <v>653</v>
      </c>
      <c r="I9" s="21" t="s">
        <v>11</v>
      </c>
      <c r="J9" s="21" t="s">
        <v>495</v>
      </c>
      <c r="K9" s="21" t="s">
        <v>871</v>
      </c>
      <c r="L9" s="21" t="s">
        <v>643</v>
      </c>
      <c r="M9" s="21"/>
      <c r="N9" s="26" t="str">
        <f t="shared" si="0"/>
        <v>insert into CHB_DATACHECK_RULE_INV values ('de324A49-6813-5A9E-E050-107F01006A65','ProductReportRegister002','lessThanCharLength','isFreeRedem','==','0','Y','最短持有期后是否自由赎回要素必须为空。','E','com.joyintech.tams.invest.common.ChbBaseCheckLib');</v>
      </c>
    </row>
    <row r="10" spans="1:14" s="22" customFormat="1">
      <c r="A10" s="21" t="s">
        <v>657</v>
      </c>
      <c r="B10" s="21" t="s">
        <v>605</v>
      </c>
      <c r="C10" s="21" t="s">
        <v>20</v>
      </c>
      <c r="D10" s="21" t="s">
        <v>58</v>
      </c>
      <c r="E10" s="21" t="s">
        <v>34</v>
      </c>
      <c r="F10" s="21" t="s">
        <v>654</v>
      </c>
      <c r="G10" s="21" t="s">
        <v>14</v>
      </c>
      <c r="H10" s="21" t="s">
        <v>655</v>
      </c>
      <c r="I10" s="21" t="s">
        <v>11</v>
      </c>
      <c r="J10" s="21" t="s">
        <v>495</v>
      </c>
      <c r="K10" s="21" t="s">
        <v>871</v>
      </c>
      <c r="L10" s="21" t="s">
        <v>643</v>
      </c>
      <c r="M10" s="21"/>
      <c r="N10" s="26" t="str">
        <f t="shared" si="0"/>
        <v>insert into CHB_DATACHECK_RULE_INV values ('1e324A49-6813-5A9E-E050-007F01006A66','ProductReportRegister002','inDatadict','isFreeRedem','==','SVR_YN_REDEM','Y','最短持有期后是否自由赎回要素不在值域范围内','E','com.joyintech.tams.invest.common.ChbBaseCheckLib');</v>
      </c>
    </row>
    <row r="11" spans="1:14" s="22" customFormat="1">
      <c r="A11" s="21" t="s">
        <v>658</v>
      </c>
      <c r="B11" s="21" t="s">
        <v>605</v>
      </c>
      <c r="C11" s="21" t="s">
        <v>8</v>
      </c>
      <c r="D11" s="21" t="s">
        <v>37</v>
      </c>
      <c r="E11" s="21"/>
      <c r="F11" s="21"/>
      <c r="G11" s="21" t="s">
        <v>10</v>
      </c>
      <c r="H11" s="21" t="s">
        <v>514</v>
      </c>
      <c r="I11" s="21" t="s">
        <v>636</v>
      </c>
      <c r="J11" s="21" t="s">
        <v>490</v>
      </c>
      <c r="K11" s="21" t="s">
        <v>871</v>
      </c>
      <c r="L11" s="21" t="s">
        <v>643</v>
      </c>
      <c r="M11" s="21"/>
      <c r="N11" s="26" t="str">
        <f t="shared" si="0"/>
        <v>insert into CHB_DATACHECK_RULE_INV values ('de174A49-6813-5A9E-E050-007F01006A65','ProductReportRegister002','isNotEmpty','repInvestArea','','','N','资金投向地区要素不可为空。','D','com.joyintech.tams.invest.common.ChbBaseCheckLib');</v>
      </c>
    </row>
    <row r="12" spans="1:14" s="22" customFormat="1">
      <c r="A12" s="21" t="s">
        <v>659</v>
      </c>
      <c r="B12" s="21" t="s">
        <v>605</v>
      </c>
      <c r="C12" s="21" t="s">
        <v>20</v>
      </c>
      <c r="D12" s="21" t="s">
        <v>37</v>
      </c>
      <c r="E12" s="21" t="s">
        <v>34</v>
      </c>
      <c r="F12" s="21" t="s">
        <v>38</v>
      </c>
      <c r="G12" s="21" t="s">
        <v>14</v>
      </c>
      <c r="H12" s="21" t="s">
        <v>39</v>
      </c>
      <c r="I12" s="21" t="s">
        <v>11</v>
      </c>
      <c r="J12" s="21" t="s">
        <v>490</v>
      </c>
      <c r="K12" s="21" t="s">
        <v>871</v>
      </c>
      <c r="L12" s="21" t="s">
        <v>643</v>
      </c>
      <c r="M12" s="21"/>
      <c r="N12" s="26" t="str">
        <f t="shared" si="0"/>
        <v>insert into CHB_DATACHECK_RULE_INV values ('de174A49-6813-5A9E-E050-107F01006A65','ProductReportRegister002','inDatadict','repInvestArea','==','SVR_SALEAREA_DECLARE','Y','资金投向地区不在值域范围内。','E','com.joyintech.tams.invest.common.ChbBaseCheckLib');</v>
      </c>
    </row>
    <row r="13" spans="1:14" s="22" customFormat="1">
      <c r="A13" s="21" t="s">
        <v>660</v>
      </c>
      <c r="B13" s="21" t="s">
        <v>605</v>
      </c>
      <c r="C13" s="21" t="s">
        <v>8</v>
      </c>
      <c r="D13" s="21" t="s">
        <v>258</v>
      </c>
      <c r="E13" s="21"/>
      <c r="F13" s="21"/>
      <c r="G13" s="21" t="s">
        <v>10</v>
      </c>
      <c r="H13" s="21" t="s">
        <v>601</v>
      </c>
      <c r="I13" s="21" t="s">
        <v>636</v>
      </c>
      <c r="J13" s="21" t="s">
        <v>602</v>
      </c>
      <c r="K13" s="21" t="s">
        <v>871</v>
      </c>
      <c r="L13" s="21" t="s">
        <v>643</v>
      </c>
      <c r="M13" s="21"/>
      <c r="N13" s="26" t="str">
        <f t="shared" si="0"/>
        <v>insert into CHB_DATACHECK_RULE_INV values ('de104A49-6813-5A9E-E050-107F01006A66','ProductReportRegister002','isNotEmpty','repLiaisonTel','','','N','业务联络人座机要素不可为空。','D','com.joyintech.tams.invest.common.ChbBaseCheckLib');</v>
      </c>
    </row>
    <row r="14" spans="1:14" s="22" customFormat="1">
      <c r="A14" s="21" t="s">
        <v>661</v>
      </c>
      <c r="B14" s="21" t="s">
        <v>605</v>
      </c>
      <c r="C14" s="21" t="s">
        <v>12</v>
      </c>
      <c r="D14" s="21" t="s">
        <v>258</v>
      </c>
      <c r="E14" s="21"/>
      <c r="F14" s="21" t="s">
        <v>62</v>
      </c>
      <c r="G14" s="21" t="s">
        <v>14</v>
      </c>
      <c r="H14" s="21" t="s">
        <v>662</v>
      </c>
      <c r="I14" s="24" t="s">
        <v>865</v>
      </c>
      <c r="J14" s="21" t="s">
        <v>602</v>
      </c>
      <c r="K14" s="21" t="s">
        <v>871</v>
      </c>
      <c r="L14" s="21" t="s">
        <v>643</v>
      </c>
      <c r="M14" s="21"/>
      <c r="N14" s="26" t="str">
        <f t="shared" si="0"/>
        <v>insert into CHB_DATACHECK_RULE_INV values ('de104A49-6813-5A9E-E050-007F01006A66','ProductReportRegister002','lessThanCharLength','repLiaisonTel','','31','Y','业务联络人座机过长（最大长）30。','E','com.joyintech.tams.invest.common.ChbBaseCheckLib');</v>
      </c>
    </row>
    <row r="15" spans="1:14" s="22" customFormat="1">
      <c r="A15" s="21" t="s">
        <v>663</v>
      </c>
      <c r="B15" s="21" t="s">
        <v>605</v>
      </c>
      <c r="C15" s="21" t="s">
        <v>102</v>
      </c>
      <c r="D15" s="21" t="s">
        <v>258</v>
      </c>
      <c r="E15" s="21"/>
      <c r="F15" s="21" t="s">
        <v>259</v>
      </c>
      <c r="G15" s="21" t="s">
        <v>14</v>
      </c>
      <c r="H15" s="21" t="s">
        <v>260</v>
      </c>
      <c r="I15" s="27" t="s">
        <v>664</v>
      </c>
      <c r="J15" s="21" t="s">
        <v>602</v>
      </c>
      <c r="K15" s="21" t="s">
        <v>871</v>
      </c>
      <c r="L15" s="21" t="s">
        <v>643</v>
      </c>
      <c r="M15" s="21"/>
      <c r="N15" s="26" t="str">
        <f t="shared" si="0"/>
        <v>insert into CHB_DATACHECK_RULE_INV values ('de294A49-6813-5A9E-E050-007F01006B25','ProductReportRegister002','isCustomizedString','repLiaisonTel','','^(0[0-9]{2,3}\-)?([2-9][0-9]{6,7})+(\-[0-9]{1,8})?$','Y','业务联络人座机不合法,合法的模式：XXXX(3或4位)-XXXXXXXX（7或8位）-XXXXX（小于等于8位）分机号码可以不填。','D','com.joyintech.tams.invest.common.ChbBaseCheckLib');</v>
      </c>
    </row>
    <row r="16" spans="1:14" s="22" customFormat="1">
      <c r="A16" s="21" t="s">
        <v>665</v>
      </c>
      <c r="B16" s="21" t="s">
        <v>605</v>
      </c>
      <c r="C16" s="21" t="s">
        <v>102</v>
      </c>
      <c r="D16" s="21" t="s">
        <v>180</v>
      </c>
      <c r="E16" s="21"/>
      <c r="F16" s="21" t="s">
        <v>181</v>
      </c>
      <c r="G16" s="21" t="s">
        <v>14</v>
      </c>
      <c r="H16" s="21" t="s">
        <v>668</v>
      </c>
      <c r="I16" s="27" t="s">
        <v>664</v>
      </c>
      <c r="J16" s="21" t="s">
        <v>569</v>
      </c>
      <c r="K16" s="21" t="s">
        <v>871</v>
      </c>
      <c r="L16" s="21" t="s">
        <v>643</v>
      </c>
      <c r="M16" s="21"/>
      <c r="N16" s="26" t="str">
        <f t="shared" si="0"/>
        <v>insert into CHB_DATACHECK_RULE_INV values ('de294A49-6813-5A9E-E050-007F01006B27','ProductReportRegister002','isCustomizedString','repLiaisonEmail','','^[a-zA-Z0-9_.-]+@[a-zA-Z0-9_.-]+(\.[a-zA-Z0-9_.-]+)*\.[a-zA-Z0-9]{2,6}$','Y','业务联络人邮箱地址不合法,合法email格式如：John@163.com。','D','com.joyintech.tams.invest.common.ChbBaseCheckLib');</v>
      </c>
    </row>
    <row r="17" spans="1:14" s="22" customFormat="1">
      <c r="A17" s="21" t="s">
        <v>666</v>
      </c>
      <c r="B17" s="21" t="s">
        <v>605</v>
      </c>
      <c r="C17" s="21" t="s">
        <v>8</v>
      </c>
      <c r="D17" s="21" t="s">
        <v>180</v>
      </c>
      <c r="E17" s="21"/>
      <c r="F17" s="21"/>
      <c r="G17" s="21" t="s">
        <v>10</v>
      </c>
      <c r="H17" s="21" t="s">
        <v>188</v>
      </c>
      <c r="I17" s="21" t="s">
        <v>636</v>
      </c>
      <c r="J17" s="21" t="s">
        <v>569</v>
      </c>
      <c r="K17" s="21" t="s">
        <v>871</v>
      </c>
      <c r="L17" s="21" t="s">
        <v>643</v>
      </c>
      <c r="M17" s="21"/>
      <c r="N17" s="26" t="str">
        <f t="shared" si="0"/>
        <v>insert into CHB_DATACHECK_RULE_INV values ('de294A49-6813-5A9E-E050-107F01006B26','ProductReportRegister002','isNotEmpty','repLiaisonEmail','','','N','业务联络人邮箱要素不可为空。','D','com.joyintech.tams.invest.common.ChbBaseCheckLib');</v>
      </c>
    </row>
    <row r="18" spans="1:14" s="22" customFormat="1">
      <c r="A18" s="21" t="s">
        <v>667</v>
      </c>
      <c r="B18" s="21" t="s">
        <v>605</v>
      </c>
      <c r="C18" s="21" t="s">
        <v>12</v>
      </c>
      <c r="D18" s="21" t="s">
        <v>180</v>
      </c>
      <c r="E18" s="21"/>
      <c r="F18" s="21" t="s">
        <v>189</v>
      </c>
      <c r="G18" s="21" t="s">
        <v>14</v>
      </c>
      <c r="H18" s="21" t="s">
        <v>190</v>
      </c>
      <c r="I18" s="24" t="s">
        <v>865</v>
      </c>
      <c r="J18" s="21" t="s">
        <v>569</v>
      </c>
      <c r="K18" s="21" t="s">
        <v>871</v>
      </c>
      <c r="L18" s="21" t="s">
        <v>643</v>
      </c>
      <c r="M18" s="21"/>
      <c r="N18" s="26" t="str">
        <f t="shared" si="0"/>
        <v>insert into CHB_DATACHECK_RULE_INV values ('de124A49-6813-5A9E-E050-007F01006A66','ProductReportRegister002','lessThanCharLength','repLiaisonEmail','','51','Y','业务联络人邮箱过长（最大长）50。','E','com.joyintech.tams.invest.common.ChbBaseCheckLib');</v>
      </c>
    </row>
    <row r="19" spans="1:14" s="22" customFormat="1">
      <c r="A19" s="21" t="s">
        <v>669</v>
      </c>
      <c r="B19" s="21" t="s">
        <v>605</v>
      </c>
      <c r="C19" s="21" t="s">
        <v>8</v>
      </c>
      <c r="D19" s="21" t="s">
        <v>40</v>
      </c>
      <c r="E19" s="21"/>
      <c r="F19" s="21"/>
      <c r="G19" s="21" t="s">
        <v>10</v>
      </c>
      <c r="H19" s="21" t="s">
        <v>515</v>
      </c>
      <c r="I19" s="21" t="s">
        <v>636</v>
      </c>
      <c r="J19" s="21" t="s">
        <v>516</v>
      </c>
      <c r="K19" s="21" t="s">
        <v>871</v>
      </c>
      <c r="L19" s="21" t="s">
        <v>643</v>
      </c>
      <c r="M19" s="21"/>
      <c r="N19" s="26" t="str">
        <f t="shared" si="0"/>
        <v>insert into CHB_DATACHECK_RULE_INV values ('de9E4A49-6813-5A9E-E050-007F01006A66','ProductReportRegister002','isNotEmpty','repLiaisonName','','','N','业务联络人姓名要素不可为空。','D','com.joyintech.tams.invest.common.ChbBaseCheckLib');</v>
      </c>
    </row>
    <row r="20" spans="1:14" s="22" customFormat="1">
      <c r="A20" s="21" t="s">
        <v>671</v>
      </c>
      <c r="B20" s="21" t="s">
        <v>605</v>
      </c>
      <c r="C20" s="21" t="s">
        <v>12</v>
      </c>
      <c r="D20" s="21" t="s">
        <v>670</v>
      </c>
      <c r="E20" s="21"/>
      <c r="F20" s="21" t="s">
        <v>41</v>
      </c>
      <c r="G20" s="21" t="s">
        <v>14</v>
      </c>
      <c r="H20" s="21" t="s">
        <v>42</v>
      </c>
      <c r="I20" s="24" t="s">
        <v>865</v>
      </c>
      <c r="J20" s="21" t="s">
        <v>516</v>
      </c>
      <c r="K20" s="21" t="s">
        <v>871</v>
      </c>
      <c r="L20" s="21" t="s">
        <v>643</v>
      </c>
      <c r="M20" s="21"/>
      <c r="N20" s="26" t="str">
        <f t="shared" si="0"/>
        <v>insert into CHB_DATACHECK_RULE_INV values ('de294A49-6813-5A9E-E050-107F01006B16','ProductReportRegister002','lessThanCharLength','repLiaisonName','','33','Y','业务联络人姓名过长。','E','com.joyintech.tams.invest.common.ChbBaseCheckLib');</v>
      </c>
    </row>
    <row r="21" spans="1:14" s="22" customFormat="1">
      <c r="A21" s="21" t="s">
        <v>672</v>
      </c>
      <c r="B21" s="21" t="s">
        <v>605</v>
      </c>
      <c r="C21" s="21" t="s">
        <v>16</v>
      </c>
      <c r="D21" s="21" t="s">
        <v>40</v>
      </c>
      <c r="E21" s="21"/>
      <c r="F21" s="21" t="s">
        <v>43</v>
      </c>
      <c r="G21" s="21" t="s">
        <v>14</v>
      </c>
      <c r="H21" s="21" t="s">
        <v>44</v>
      </c>
      <c r="I21" s="21" t="s">
        <v>11</v>
      </c>
      <c r="J21" s="21" t="s">
        <v>516</v>
      </c>
      <c r="K21" s="21" t="s">
        <v>871</v>
      </c>
      <c r="L21" s="21" t="s">
        <v>643</v>
      </c>
      <c r="M21" s="21"/>
      <c r="N21" s="26" t="str">
        <f t="shared" si="0"/>
        <v>insert into CHB_DATACHECK_RULE_INV values ('de294A49-6813-5A9E-E050-007F01006B16','ProductReportRegister002','isCustomizedStringForWhitelist','repLiaisonName','','^[\u4e00-\u9fa5\ue815-\ue864\uff01-\uff5e\uffe0-\uffe5\u3000-\u3003\u3005-\u3017\u301d-\u301e\u2010\u2013-\u2016\u2018-\u2019\u201c-\u201d\u2025-\u2026\u2030\u2032-\u2033\u2035\u203b\u00b7\u0030-\u0039\u0041-\u005a\u0061-\u007a\u2160-\u216b\u0020-\u0026\u0028-\u007B\u007D\u007E]{0,}$','Y','业务联络人姓名必须填写白名单中的文字。','E','com.joyintech.tams.invest.common.ChbBaseCheckLib');</v>
      </c>
    </row>
    <row r="22" spans="1:14" s="22" customFormat="1">
      <c r="A22" s="21" t="s">
        <v>166</v>
      </c>
      <c r="B22" s="21" t="s">
        <v>605</v>
      </c>
      <c r="C22" s="21" t="s">
        <v>8</v>
      </c>
      <c r="D22" s="21" t="s">
        <v>167</v>
      </c>
      <c r="E22" s="21"/>
      <c r="F22" s="21"/>
      <c r="G22" s="21" t="s">
        <v>10</v>
      </c>
      <c r="H22" s="21" t="s">
        <v>563</v>
      </c>
      <c r="I22" s="21" t="s">
        <v>636</v>
      </c>
      <c r="J22" s="21" t="s">
        <v>564</v>
      </c>
      <c r="K22" s="21" t="s">
        <v>871</v>
      </c>
      <c r="L22" s="21" t="s">
        <v>643</v>
      </c>
      <c r="M22" s="21"/>
      <c r="N22" s="26" t="str">
        <f t="shared" si="0"/>
        <v>insert into CHB_DATACHECK_RULE_INV values ('de114A49-6813-5A9E-E050-007F01006A66','ProductReportRegister002','isNotEmpty','repLiaisonMobile','','','N','业务联络人手机必填','D','com.joyintech.tams.invest.common.ChbBaseCheckLib');</v>
      </c>
    </row>
    <row r="23" spans="1:14" s="22" customFormat="1">
      <c r="A23" s="21" t="s">
        <v>168</v>
      </c>
      <c r="B23" s="21" t="s">
        <v>605</v>
      </c>
      <c r="C23" s="21" t="s">
        <v>102</v>
      </c>
      <c r="D23" s="21" t="s">
        <v>167</v>
      </c>
      <c r="E23" s="21"/>
      <c r="F23" s="21" t="s">
        <v>169</v>
      </c>
      <c r="G23" s="21" t="s">
        <v>14</v>
      </c>
      <c r="H23" s="21" t="s">
        <v>170</v>
      </c>
      <c r="I23" s="21" t="s">
        <v>636</v>
      </c>
      <c r="J23" s="21" t="s">
        <v>564</v>
      </c>
      <c r="K23" s="21" t="s">
        <v>871</v>
      </c>
      <c r="L23" s="21" t="s">
        <v>643</v>
      </c>
      <c r="M23" s="21"/>
      <c r="N23" s="26" t="str">
        <f t="shared" si="0"/>
        <v>insert into CHB_DATACHECK_RULE_INV values ('de294A49-6813-5A9E-E050-007F01006B26','ProductReportRegister002','isCustomizedString','repLiaisonMobile','','^1\d{10}$','Y','业务联络人手机不合法,合法的模式：13488996666（11位）。','D','com.joyintech.tams.invest.common.ChbBaseCheckLib');</v>
      </c>
    </row>
    <row r="24" spans="1:14" s="22" customFormat="1">
      <c r="A24" s="21" t="s">
        <v>674</v>
      </c>
      <c r="B24" s="21" t="s">
        <v>605</v>
      </c>
      <c r="C24" s="21" t="s">
        <v>25</v>
      </c>
      <c r="D24" s="21" t="s">
        <v>253</v>
      </c>
      <c r="E24" s="21"/>
      <c r="F24" s="21" t="s">
        <v>26</v>
      </c>
      <c r="G24" s="21" t="s">
        <v>14</v>
      </c>
      <c r="H24" s="21" t="s">
        <v>603</v>
      </c>
      <c r="I24" s="21" t="s">
        <v>11</v>
      </c>
      <c r="J24" s="21" t="s">
        <v>604</v>
      </c>
      <c r="K24" s="21" t="s">
        <v>871</v>
      </c>
      <c r="L24" s="21" t="s">
        <v>643</v>
      </c>
      <c r="M24" s="21"/>
      <c r="N24" s="26" t="str">
        <f t="shared" si="0"/>
        <v>insert into CHB_DATACHECK_RULE_INV values ('de4E4A50-6813-5A9E-E050-007F01006A66','ProductReportRegister002','isNumber2','repYield','','8,5','Y','业绩比较基准%必须为n..(8,5)格式','E','com.joyintech.tams.invest.common.ChbBaseCheckLib');</v>
      </c>
    </row>
    <row r="25" spans="1:14" s="22" customFormat="1">
      <c r="A25" s="21" t="s">
        <v>673</v>
      </c>
      <c r="B25" s="21" t="s">
        <v>605</v>
      </c>
      <c r="C25" s="21" t="s">
        <v>28</v>
      </c>
      <c r="D25" s="21" t="s">
        <v>253</v>
      </c>
      <c r="E25" s="21" t="s">
        <v>29</v>
      </c>
      <c r="F25" s="21" t="s">
        <v>30</v>
      </c>
      <c r="G25" s="21" t="s">
        <v>14</v>
      </c>
      <c r="H25" s="21" t="s">
        <v>254</v>
      </c>
      <c r="I25" s="27" t="s">
        <v>664</v>
      </c>
      <c r="J25" s="21" t="s">
        <v>604</v>
      </c>
      <c r="K25" s="21" t="s">
        <v>871</v>
      </c>
      <c r="L25" s="21" t="s">
        <v>643</v>
      </c>
      <c r="M25" s="21"/>
      <c r="N25" s="26" t="str">
        <f t="shared" si="0"/>
        <v>insert into CHB_DATACHECK_RULE_INV values ('de4E4A50-6813-5A9E-E050-107F01006A66','ProductReportRegister002','compareValueAsNumber','repYield','&gt;=','0','Y','业绩比较基准必须大于等于0。','D','com.joyintech.tams.invest.common.ChbBaseCheckLib');</v>
      </c>
    </row>
    <row r="26" spans="1:14" s="22" customFormat="1">
      <c r="A26" s="21" t="s">
        <v>675</v>
      </c>
      <c r="B26" s="21" t="s">
        <v>605</v>
      </c>
      <c r="C26" s="21" t="s">
        <v>8</v>
      </c>
      <c r="D26" s="21" t="s">
        <v>24</v>
      </c>
      <c r="E26" s="21"/>
      <c r="F26" s="21"/>
      <c r="G26" s="21" t="s">
        <v>10</v>
      </c>
      <c r="H26" s="21" t="s">
        <v>509</v>
      </c>
      <c r="I26" s="21" t="s">
        <v>636</v>
      </c>
      <c r="J26" s="21" t="s">
        <v>510</v>
      </c>
      <c r="K26" s="21" t="s">
        <v>871</v>
      </c>
      <c r="L26" s="21" t="s">
        <v>643</v>
      </c>
      <c r="M26" s="21"/>
      <c r="N26" s="26" t="str">
        <f t="shared" si="0"/>
        <v>insert into CHB_DATACHECK_RULE_INV values ('de4E4A65-6813-5A9E-E050-107F01006A66','ProductReportRegister002','isNotEmpty','repSaleFeeRate','','','N','销售手续费率%要素不可为空。','D','com.joyintech.tams.invest.common.ChbBaseCheckLib');</v>
      </c>
    </row>
    <row r="27" spans="1:14" s="22" customFormat="1">
      <c r="A27" s="21" t="s">
        <v>676</v>
      </c>
      <c r="B27" s="21" t="s">
        <v>605</v>
      </c>
      <c r="C27" s="21" t="s">
        <v>25</v>
      </c>
      <c r="D27" s="21" t="s">
        <v>24</v>
      </c>
      <c r="E27" s="21"/>
      <c r="F27" s="21" t="s">
        <v>26</v>
      </c>
      <c r="G27" s="21" t="s">
        <v>14</v>
      </c>
      <c r="H27" s="21" t="s">
        <v>27</v>
      </c>
      <c r="I27" s="24" t="s">
        <v>865</v>
      </c>
      <c r="J27" s="21" t="s">
        <v>510</v>
      </c>
      <c r="K27" s="21" t="s">
        <v>871</v>
      </c>
      <c r="L27" s="21" t="s">
        <v>643</v>
      </c>
      <c r="M27" s="21"/>
      <c r="N27" s="26" t="str">
        <f t="shared" si="0"/>
        <v>insert into CHB_DATACHECK_RULE_INV values ('de4E4A65-6813-5A9E-E050-007F01006A66','ProductReportRegister002','isNumber2','repSaleFeeRate','','8,5','Y','销售手续费率%以百分数形式表示时必须为n（8,5）格式。','E','com.joyintech.tams.invest.common.ChbBaseCheckLib');</v>
      </c>
    </row>
    <row r="28" spans="1:14" s="22" customFormat="1">
      <c r="A28" s="21" t="s">
        <v>677</v>
      </c>
      <c r="B28" s="21" t="s">
        <v>605</v>
      </c>
      <c r="C28" s="21" t="s">
        <v>28</v>
      </c>
      <c r="D28" s="21" t="s">
        <v>24</v>
      </c>
      <c r="E28" s="21" t="s">
        <v>29</v>
      </c>
      <c r="F28" s="21" t="s">
        <v>30</v>
      </c>
      <c r="G28" s="21" t="s">
        <v>14</v>
      </c>
      <c r="H28" s="21" t="s">
        <v>31</v>
      </c>
      <c r="I28" s="27" t="s">
        <v>664</v>
      </c>
      <c r="J28" s="21" t="s">
        <v>510</v>
      </c>
      <c r="K28" s="21" t="s">
        <v>871</v>
      </c>
      <c r="L28" s="21" t="s">
        <v>643</v>
      </c>
      <c r="M28" s="21"/>
      <c r="N28" s="26" t="str">
        <f t="shared" si="0"/>
        <v>insert into CHB_DATACHECK_RULE_INV values ('de4E4A66-6813-5A9E-E050-007F01006A66','ProductReportRegister002','compareValueAsNumber','repSaleFeeRate','&gt;=','0','Y','销售手续费率%必须大于等于0','D','com.joyintech.tams.invest.common.ChbBaseCheckLib');</v>
      </c>
    </row>
    <row r="29" spans="1:14" s="22" customFormat="1">
      <c r="A29" s="21" t="s">
        <v>678</v>
      </c>
      <c r="B29" s="21" t="s">
        <v>605</v>
      </c>
      <c r="C29" s="21" t="s">
        <v>8</v>
      </c>
      <c r="D29" s="21" t="s">
        <v>134</v>
      </c>
      <c r="E29" s="21"/>
      <c r="F29" s="21"/>
      <c r="G29" s="21" t="s">
        <v>10</v>
      </c>
      <c r="H29" s="21" t="s">
        <v>548</v>
      </c>
      <c r="I29" s="21" t="s">
        <v>636</v>
      </c>
      <c r="J29" s="21" t="s">
        <v>549</v>
      </c>
      <c r="K29" s="21" t="s">
        <v>871</v>
      </c>
      <c r="L29" s="21" t="s">
        <v>643</v>
      </c>
      <c r="M29" s="21"/>
      <c r="N29" s="26" t="str">
        <f t="shared" si="0"/>
        <v>insert into CHB_DATACHECK_RULE_INV values ('de194A82-6813-5A9E-E050-107F01006A65','ProductReportRegister002','isNotEmpty','repTruFeeRate','','','N','托管费率%要素不可为空。','D','com.joyintech.tams.invest.common.ChbBaseCheckLib');</v>
      </c>
    </row>
    <row r="30" spans="1:14" s="22" customFormat="1">
      <c r="A30" s="21" t="s">
        <v>679</v>
      </c>
      <c r="B30" s="21" t="s">
        <v>605</v>
      </c>
      <c r="C30" s="21" t="s">
        <v>25</v>
      </c>
      <c r="D30" s="21" t="s">
        <v>134</v>
      </c>
      <c r="E30" s="21"/>
      <c r="F30" s="21" t="s">
        <v>26</v>
      </c>
      <c r="G30" s="21" t="s">
        <v>14</v>
      </c>
      <c r="H30" s="21" t="s">
        <v>135</v>
      </c>
      <c r="I30" s="24" t="s">
        <v>865</v>
      </c>
      <c r="J30" s="21" t="s">
        <v>549</v>
      </c>
      <c r="K30" s="21" t="s">
        <v>871</v>
      </c>
      <c r="L30" s="21" t="s">
        <v>643</v>
      </c>
      <c r="M30" s="21"/>
      <c r="N30" s="26" t="str">
        <f t="shared" si="0"/>
        <v>insert into CHB_DATACHECK_RULE_INV values ('de194A82-6813-5A9E-E050-007F01006A65','ProductReportRegister002','isNumber2','repTruFeeRate','','8,5','Y','托管费率%以百分数形式表示时必须为n（8,5）格式。','E','com.joyintech.tams.invest.common.ChbBaseCheckLib');</v>
      </c>
    </row>
    <row r="31" spans="1:14" s="22" customFormat="1">
      <c r="A31" s="21" t="s">
        <v>680</v>
      </c>
      <c r="B31" s="21" t="s">
        <v>605</v>
      </c>
      <c r="C31" s="21" t="s">
        <v>28</v>
      </c>
      <c r="D31" s="21" t="s">
        <v>134</v>
      </c>
      <c r="E31" s="21" t="s">
        <v>29</v>
      </c>
      <c r="F31" s="21" t="s">
        <v>30</v>
      </c>
      <c r="G31" s="21" t="s">
        <v>14</v>
      </c>
      <c r="H31" s="21" t="s">
        <v>136</v>
      </c>
      <c r="I31" s="21" t="s">
        <v>11</v>
      </c>
      <c r="J31" s="21" t="s">
        <v>549</v>
      </c>
      <c r="K31" s="21" t="s">
        <v>871</v>
      </c>
      <c r="L31" s="21" t="s">
        <v>643</v>
      </c>
      <c r="M31" s="21"/>
      <c r="N31" s="26" t="str">
        <f t="shared" si="0"/>
        <v>insert into CHB_DATACHECK_RULE_INV values ('de194A81-6813-5A9E-E050-007F01006A65','ProductReportRegister002','compareValueAsNumber','repTruFeeRate','&gt;=','0','Y','托管费率%必须大于等于0。','E','com.joyintech.tams.invest.common.ChbBaseCheckLib');</v>
      </c>
    </row>
    <row r="32" spans="1:14" s="22" customFormat="1">
      <c r="A32" s="21" t="s">
        <v>681</v>
      </c>
      <c r="B32" s="21" t="s">
        <v>605</v>
      </c>
      <c r="C32" s="21" t="s">
        <v>8</v>
      </c>
      <c r="D32" s="21" t="s">
        <v>218</v>
      </c>
      <c r="E32" s="21"/>
      <c r="F32" s="21"/>
      <c r="G32" s="21" t="s">
        <v>10</v>
      </c>
      <c r="H32" s="21" t="s">
        <v>579</v>
      </c>
      <c r="I32" s="21" t="s">
        <v>636</v>
      </c>
      <c r="J32" s="21" t="s">
        <v>580</v>
      </c>
      <c r="K32" s="21" t="s">
        <v>871</v>
      </c>
      <c r="L32" s="21" t="s">
        <v>643</v>
      </c>
      <c r="M32" s="21"/>
      <c r="N32" s="26" t="str">
        <f t="shared" si="0"/>
        <v>insert into CHB_DATACHECK_RULE_INV values ('de494A49-6813-5A9E-E050-107F01006A65','ProductReportRegister002','isNotEmpty','repInvTypeRat','','','N','投资资产种类及比例要素不可为空。','D','com.joyintech.tams.invest.common.ChbBaseCheckLib');</v>
      </c>
    </row>
    <row r="33" spans="1:14" s="22" customFormat="1">
      <c r="A33" s="21" t="s">
        <v>682</v>
      </c>
      <c r="B33" s="21" t="s">
        <v>605</v>
      </c>
      <c r="C33" s="21" t="s">
        <v>12</v>
      </c>
      <c r="D33" s="21" t="s">
        <v>218</v>
      </c>
      <c r="E33" s="21"/>
      <c r="F33" s="21" t="s">
        <v>219</v>
      </c>
      <c r="G33" s="21" t="s">
        <v>14</v>
      </c>
      <c r="H33" s="21" t="s">
        <v>684</v>
      </c>
      <c r="I33" s="24" t="s">
        <v>865</v>
      </c>
      <c r="J33" s="21" t="s">
        <v>630</v>
      </c>
      <c r="K33" s="21" t="s">
        <v>871</v>
      </c>
      <c r="L33" s="21" t="s">
        <v>643</v>
      </c>
      <c r="M33" s="21"/>
      <c r="N33" s="26" t="str">
        <f t="shared" si="0"/>
        <v>insert into CHB_DATACHECK_RULE_INV values ('de494A49-6813-5A9E-E050-007F01006A65','ProductReportRegister002','lessThanCharLength','repInvTypeRat','','301','Y','投资资产种类及比例超长（最大长）300','E','com.joyintech.tams.invest.common.ChbBaseCheckLib');</v>
      </c>
    </row>
    <row r="34" spans="1:14" s="22" customFormat="1">
      <c r="A34" s="21" t="s">
        <v>683</v>
      </c>
      <c r="B34" s="21" t="s">
        <v>605</v>
      </c>
      <c r="C34" s="21" t="s">
        <v>16</v>
      </c>
      <c r="D34" s="21" t="s">
        <v>218</v>
      </c>
      <c r="E34" s="21"/>
      <c r="F34" s="21" t="s">
        <v>43</v>
      </c>
      <c r="G34" s="21" t="s">
        <v>14</v>
      </c>
      <c r="H34" s="21" t="s">
        <v>220</v>
      </c>
      <c r="I34" s="21" t="s">
        <v>11</v>
      </c>
      <c r="J34" s="21" t="s">
        <v>580</v>
      </c>
      <c r="K34" s="21" t="s">
        <v>871</v>
      </c>
      <c r="L34" s="21" t="s">
        <v>643</v>
      </c>
      <c r="M34" s="21"/>
      <c r="N34" s="26" t="str">
        <f t="shared" si="0"/>
        <v>insert into CHB_DATACHECK_RULE_INV values ('de294A49-6813-5A9E-E050-007F01006B22','ProductReportRegister002','isCustomizedStringForWhitelist','repInvTypeRat','','^[\u4e00-\u9fa5\ue815-\ue864\uff01-\uff5e\uffe0-\uffe5\u3000-\u3003\u3005-\u3017\u301d-\u301e\u2010\u2013-\u2016\u2018-\u2019\u201c-\u201d\u2025-\u2026\u2030\u2032-\u2033\u2035\u203b\u00b7\u0030-\u0039\u0041-\u005a\u0061-\u007a\u2160-\u216b\u0020-\u0026\u0028-\u007B\u007D\u007E]{0,}$','Y','投资资产种类及比例必须填写白名单中的文字。','E','com.joyintech.tams.invest.common.ChbBaseCheckLib');</v>
      </c>
    </row>
    <row r="35" spans="1:14" s="22" customFormat="1">
      <c r="A35" s="21" t="s">
        <v>685</v>
      </c>
      <c r="B35" s="21" t="s">
        <v>605</v>
      </c>
      <c r="C35" s="21" t="s">
        <v>8</v>
      </c>
      <c r="D35" s="21" t="s">
        <v>137</v>
      </c>
      <c r="E35" s="21"/>
      <c r="F35" s="21"/>
      <c r="G35" s="21" t="s">
        <v>10</v>
      </c>
      <c r="H35" s="21" t="s">
        <v>550</v>
      </c>
      <c r="I35" s="21" t="s">
        <v>636</v>
      </c>
      <c r="J35" s="21" t="s">
        <v>477</v>
      </c>
      <c r="K35" s="21" t="s">
        <v>871</v>
      </c>
      <c r="L35" s="21" t="s">
        <v>643</v>
      </c>
      <c r="M35" s="21"/>
      <c r="N35" s="26" t="str">
        <f t="shared" si="0"/>
        <v>insert into CHB_DATACHECK_RULE_INV values ('de194A52-6813-5A9E-E050-007F01006A65','ProductReportRegister002','isNotEmpty','repRiskType','','','N','投资者风险偏好要素不可为空','D','com.joyintech.tams.invest.common.ChbBaseCheckLib');</v>
      </c>
    </row>
    <row r="36" spans="1:14" s="22" customFormat="1">
      <c r="A36" s="21" t="s">
        <v>686</v>
      </c>
      <c r="B36" s="21" t="s">
        <v>605</v>
      </c>
      <c r="C36" s="21" t="s">
        <v>20</v>
      </c>
      <c r="D36" s="21" t="s">
        <v>137</v>
      </c>
      <c r="E36" s="21" t="s">
        <v>21</v>
      </c>
      <c r="F36" s="21" t="s">
        <v>138</v>
      </c>
      <c r="G36" s="21" t="s">
        <v>14</v>
      </c>
      <c r="H36" s="21" t="s">
        <v>139</v>
      </c>
      <c r="I36" s="21" t="s">
        <v>11</v>
      </c>
      <c r="J36" s="21" t="s">
        <v>477</v>
      </c>
      <c r="K36" s="21" t="s">
        <v>871</v>
      </c>
      <c r="L36" s="21" t="s">
        <v>643</v>
      </c>
      <c r="M36" s="21"/>
      <c r="N36" s="26" t="str">
        <f t="shared" si="0"/>
        <v>insert into CHB_DATACHECK_RULE_INV values ('de294A49-6813-5A9E-E050-007F01006B34','ProductReportRegister002','inDatadict','repRiskType','&lt;','SVR_RISKTYPE','Y','投资者风险偏好不在值域范围内并且投资者风险偏好的多选选项不可重复。','E','com.joyintech.tams.invest.common.ChbBaseCheckLib');</v>
      </c>
    </row>
    <row r="37" spans="1:14" s="22" customFormat="1">
      <c r="A37" s="21" t="s">
        <v>687</v>
      </c>
      <c r="B37" s="21" t="s">
        <v>605</v>
      </c>
      <c r="C37" s="21" t="s">
        <v>8</v>
      </c>
      <c r="D37" s="21" t="s">
        <v>221</v>
      </c>
      <c r="E37" s="21"/>
      <c r="F37" s="21"/>
      <c r="G37" s="21" t="s">
        <v>10</v>
      </c>
      <c r="H37" s="21" t="s">
        <v>581</v>
      </c>
      <c r="I37" s="21" t="s">
        <v>636</v>
      </c>
      <c r="J37" s="21" t="s">
        <v>582</v>
      </c>
      <c r="K37" s="21" t="s">
        <v>871</v>
      </c>
      <c r="L37" s="21" t="s">
        <v>643</v>
      </c>
      <c r="M37" s="21"/>
      <c r="N37" s="26" t="str">
        <f t="shared" si="0"/>
        <v>insert into CHB_DATACHECK_RULE_INV values ('de454A49-6813-5A9E-E050-107F01006A65','ProductReportRegister002','isNotEmpty','repInvestNature','','','N','产品投资性质要素不可为空。','D','com.joyintech.tams.invest.common.ChbBaseCheckLib');</v>
      </c>
    </row>
    <row r="38" spans="1:14" s="22" customFormat="1">
      <c r="A38" s="21" t="s">
        <v>688</v>
      </c>
      <c r="B38" s="21" t="s">
        <v>605</v>
      </c>
      <c r="C38" s="21" t="s">
        <v>20</v>
      </c>
      <c r="D38" s="21" t="s">
        <v>221</v>
      </c>
      <c r="E38" s="21" t="s">
        <v>34</v>
      </c>
      <c r="F38" s="21" t="s">
        <v>222</v>
      </c>
      <c r="G38" s="21" t="s">
        <v>14</v>
      </c>
      <c r="H38" s="21" t="s">
        <v>223</v>
      </c>
      <c r="I38" s="21" t="s">
        <v>11</v>
      </c>
      <c r="J38" s="21" t="s">
        <v>582</v>
      </c>
      <c r="K38" s="21" t="s">
        <v>871</v>
      </c>
      <c r="L38" s="21" t="s">
        <v>643</v>
      </c>
      <c r="M38" s="21"/>
      <c r="N38" s="26" t="str">
        <f t="shared" si="0"/>
        <v>insert into CHB_DATACHECK_RULE_INV values ('de454A49-6813-5A9E-E050-007F01006A65','ProductReportRegister002','inDatadict','repInvestNature','==','INVEST_TYPE','Y','产品投资性质不在值域范围内。','E','com.joyintech.tams.invest.common.ChbBaseCheckLib');</v>
      </c>
    </row>
    <row r="39" spans="1:14" s="22" customFormat="1">
      <c r="A39" s="21" t="s">
        <v>689</v>
      </c>
      <c r="B39" s="21" t="s">
        <v>605</v>
      </c>
      <c r="C39" s="21" t="s">
        <v>8</v>
      </c>
      <c r="D39" s="21" t="s">
        <v>160</v>
      </c>
      <c r="E39" s="21"/>
      <c r="F39" s="21"/>
      <c r="G39" s="21" t="s">
        <v>10</v>
      </c>
      <c r="H39" s="21" t="s">
        <v>559</v>
      </c>
      <c r="I39" s="21" t="s">
        <v>636</v>
      </c>
      <c r="J39" s="21" t="s">
        <v>560</v>
      </c>
      <c r="K39" s="21" t="s">
        <v>871</v>
      </c>
      <c r="L39" s="21" t="s">
        <v>643</v>
      </c>
      <c r="M39" s="21"/>
      <c r="N39" s="26" t="str">
        <f t="shared" si="0"/>
        <v>insert into CHB_DATACHECK_RULE_INV values ('de464A64-6813-5A9E-E050-107F01006A65','ProductReportRegister002','isNotEmpty','repInvestProfDate','','','N','投资收益到账日要素不可为空。','D','com.joyintech.tams.invest.common.ChbBaseCheckLib');</v>
      </c>
    </row>
    <row r="40" spans="1:14" s="22" customFormat="1">
      <c r="A40" s="21" t="s">
        <v>690</v>
      </c>
      <c r="B40" s="21" t="s">
        <v>605</v>
      </c>
      <c r="C40" s="21" t="s">
        <v>20</v>
      </c>
      <c r="D40" s="21" t="s">
        <v>160</v>
      </c>
      <c r="E40" s="21" t="s">
        <v>34</v>
      </c>
      <c r="F40" s="21" t="s">
        <v>161</v>
      </c>
      <c r="G40" s="21" t="s">
        <v>14</v>
      </c>
      <c r="H40" s="21" t="s">
        <v>162</v>
      </c>
      <c r="I40" s="21" t="s">
        <v>11</v>
      </c>
      <c r="J40" s="21" t="s">
        <v>560</v>
      </c>
      <c r="K40" s="21" t="s">
        <v>871</v>
      </c>
      <c r="L40" s="21" t="s">
        <v>643</v>
      </c>
      <c r="M40" s="21"/>
      <c r="N40" s="26" t="str">
        <f t="shared" si="0"/>
        <v>insert into CHB_DATACHECK_RULE_INV values ('de464A64-6813-5A9E-E050-007F01006A65','ProductReportRegister002','inDatadict','repInvestProfDate','==','SVR_AMTDATETYPE','Y','投资收益到账日不在值域范围内。','E','com.joyintech.tams.invest.common.ChbBaseCheckLib');</v>
      </c>
    </row>
    <row r="41" spans="1:14" s="22" customFormat="1">
      <c r="A41" s="21" t="s">
        <v>276</v>
      </c>
      <c r="B41" s="21" t="s">
        <v>605</v>
      </c>
      <c r="C41" s="21" t="s">
        <v>12</v>
      </c>
      <c r="D41" s="21" t="s">
        <v>277</v>
      </c>
      <c r="E41" s="21"/>
      <c r="F41" s="21" t="s">
        <v>99</v>
      </c>
      <c r="G41" s="21" t="s">
        <v>10</v>
      </c>
      <c r="H41" s="21" t="s">
        <v>278</v>
      </c>
      <c r="I41" s="29" t="s">
        <v>615</v>
      </c>
      <c r="J41" s="21" t="s">
        <v>599</v>
      </c>
      <c r="K41" s="21" t="s">
        <v>871</v>
      </c>
      <c r="L41" s="21" t="s">
        <v>643</v>
      </c>
      <c r="M41" s="21"/>
      <c r="N41" s="26" t="str">
        <f t="shared" si="0"/>
        <v>insert into CHB_DATACHECK_RULE_INV values ('de8E4A49-6813-5A9E-E050-007F21206A66','ProductReportRegister002','lessThanCharLength','repManagerName','','201','N','投资经理姓名要素不可为空且文字长度（最大长）200','D','com.joyintech.tams.invest.common.ChbBaseCheckLib');</v>
      </c>
    </row>
    <row r="42" spans="1:14" s="22" customFormat="1">
      <c r="A42" s="21" t="s">
        <v>691</v>
      </c>
      <c r="B42" s="21" t="s">
        <v>605</v>
      </c>
      <c r="C42" s="21" t="s">
        <v>8</v>
      </c>
      <c r="D42" s="21" t="s">
        <v>224</v>
      </c>
      <c r="E42" s="21"/>
      <c r="F42" s="21"/>
      <c r="G42" s="21" t="s">
        <v>10</v>
      </c>
      <c r="H42" s="21" t="s">
        <v>225</v>
      </c>
      <c r="I42" s="21" t="s">
        <v>636</v>
      </c>
      <c r="J42" s="21" t="s">
        <v>583</v>
      </c>
      <c r="K42" s="21" t="s">
        <v>871</v>
      </c>
      <c r="L42" s="21" t="s">
        <v>643</v>
      </c>
      <c r="M42" s="21"/>
      <c r="N42" s="26" t="str">
        <f t="shared" si="0"/>
        <v>insert into CHB_DATACHECK_RULE_INV values ('de8E4A49-6813-5A9E-E050-007F01006A66','ProductReportRegister002','isNotEmpty','repManagerId','','','N','投资经理身份证号要素不可为空。','D','com.joyintech.tams.invest.common.ChbBaseCheckLib');</v>
      </c>
    </row>
    <row r="43" spans="1:14" s="22" customFormat="1">
      <c r="A43" s="21" t="s">
        <v>692</v>
      </c>
      <c r="B43" s="21" t="s">
        <v>605</v>
      </c>
      <c r="C43" s="21" t="s">
        <v>12</v>
      </c>
      <c r="D43" s="21" t="s">
        <v>224</v>
      </c>
      <c r="E43" s="21"/>
      <c r="F43" s="21" t="s">
        <v>62</v>
      </c>
      <c r="G43" s="21" t="s">
        <v>14</v>
      </c>
      <c r="H43" s="21" t="s">
        <v>226</v>
      </c>
      <c r="I43" s="24" t="s">
        <v>865</v>
      </c>
      <c r="J43" s="21" t="s">
        <v>583</v>
      </c>
      <c r="K43" s="21" t="s">
        <v>871</v>
      </c>
      <c r="L43" s="21" t="s">
        <v>643</v>
      </c>
      <c r="M43" s="21"/>
      <c r="N43" s="26" t="str">
        <f t="shared" si="0"/>
        <v>insert into CHB_DATACHECK_RULE_INV values ('de294A49-6813-5A9E-E050-107F01006B15','ProductReportRegister002','lessThanCharLength','repManagerId','','31','Y','投资经理身份证号过长。','E','com.joyintech.tams.invest.common.ChbBaseCheckLib');</v>
      </c>
    </row>
    <row r="44" spans="1:14" s="22" customFormat="1">
      <c r="A44" s="21" t="s">
        <v>693</v>
      </c>
      <c r="B44" s="21" t="s">
        <v>605</v>
      </c>
      <c r="C44" s="21" t="s">
        <v>16</v>
      </c>
      <c r="D44" s="21" t="s">
        <v>224</v>
      </c>
      <c r="E44" s="21"/>
      <c r="F44" s="21" t="s">
        <v>43</v>
      </c>
      <c r="G44" s="21" t="s">
        <v>14</v>
      </c>
      <c r="H44" s="21" t="s">
        <v>227</v>
      </c>
      <c r="I44" s="21" t="s">
        <v>11</v>
      </c>
      <c r="J44" s="21" t="s">
        <v>583</v>
      </c>
      <c r="K44" s="21" t="s">
        <v>871</v>
      </c>
      <c r="L44" s="21" t="s">
        <v>643</v>
      </c>
      <c r="M44" s="21"/>
      <c r="N44" s="26" t="str">
        <f t="shared" si="0"/>
        <v>insert into CHB_DATACHECK_RULE_INV values ('de294A49-6813-5A9E-E050-007F01006B15','ProductReportRegister002','isCustomizedStringForWhitelist','repManagerId','','^[\u4e00-\u9fa5\ue815-\ue864\uff01-\uff5e\uffe0-\uffe5\u3000-\u3003\u3005-\u3017\u301d-\u301e\u2010\u2013-\u2016\u2018-\u2019\u201c-\u201d\u2025-\u2026\u2030\u2032-\u2033\u2035\u203b\u00b7\u0030-\u0039\u0041-\u005a\u0061-\u007a\u2160-\u216b\u0020-\u0026\u0028-\u007B\u007D\u007E]{0,}$','Y','投资经理身份证号必须填写白名单中的文字。','E','com.joyintech.tams.invest.common.ChbBaseCheckLib');</v>
      </c>
    </row>
    <row r="45" spans="1:14" s="22" customFormat="1">
      <c r="A45" s="21" t="s">
        <v>694</v>
      </c>
      <c r="B45" s="21" t="s">
        <v>605</v>
      </c>
      <c r="C45" s="21" t="s">
        <v>8</v>
      </c>
      <c r="D45" s="21" t="s">
        <v>264</v>
      </c>
      <c r="E45" s="21"/>
      <c r="F45" s="21"/>
      <c r="G45" s="21" t="s">
        <v>10</v>
      </c>
      <c r="H45" s="21" t="s">
        <v>265</v>
      </c>
      <c r="I45" s="21" t="s">
        <v>636</v>
      </c>
      <c r="J45" s="21" t="s">
        <v>600</v>
      </c>
      <c r="K45" s="21" t="s">
        <v>871</v>
      </c>
      <c r="L45" s="21" t="s">
        <v>643</v>
      </c>
      <c r="M45" s="21"/>
      <c r="N45" s="26" t="str">
        <f t="shared" si="0"/>
        <v>insert into CHB_DATACHECK_RULE_INV values ('de4E4A67-6813-5A9E-E050-107F01006A66','ProductReportRegister002','isNotEmpty','repInvestFeeRate','','','N','投资管理费率%要素不可为空。','D','com.joyintech.tams.invest.common.ChbBaseCheckLib');</v>
      </c>
    </row>
    <row r="46" spans="1:14" s="22" customFormat="1">
      <c r="A46" s="21" t="s">
        <v>695</v>
      </c>
      <c r="B46" s="21" t="s">
        <v>605</v>
      </c>
      <c r="C46" s="21" t="s">
        <v>25</v>
      </c>
      <c r="D46" s="21" t="s">
        <v>264</v>
      </c>
      <c r="E46" s="21"/>
      <c r="F46" s="21" t="s">
        <v>26</v>
      </c>
      <c r="G46" s="21" t="s">
        <v>14</v>
      </c>
      <c r="H46" s="21" t="s">
        <v>266</v>
      </c>
      <c r="I46" s="21" t="s">
        <v>11</v>
      </c>
      <c r="J46" s="21" t="s">
        <v>600</v>
      </c>
      <c r="K46" s="21" t="s">
        <v>871</v>
      </c>
      <c r="L46" s="21" t="s">
        <v>643</v>
      </c>
      <c r="M46" s="21"/>
      <c r="N46" s="26" t="str">
        <f t="shared" si="0"/>
        <v>insert into CHB_DATACHECK_RULE_INV values ('de4E4A67-6813-5A9E-E050-007F01006A66','ProductReportRegister002','isNumber2','repInvestFeeRate','','8,5','Y','投资管理费率%以百分数形式表示时必须为n（8,5）格式。','E','com.joyintech.tams.invest.common.ChbBaseCheckLib');</v>
      </c>
    </row>
    <row r="47" spans="1:14" s="22" customFormat="1">
      <c r="A47" s="21" t="s">
        <v>696</v>
      </c>
      <c r="B47" s="21" t="s">
        <v>605</v>
      </c>
      <c r="C47" s="21" t="s">
        <v>28</v>
      </c>
      <c r="D47" s="21" t="s">
        <v>264</v>
      </c>
      <c r="E47" s="21" t="s">
        <v>29</v>
      </c>
      <c r="F47" s="21" t="s">
        <v>30</v>
      </c>
      <c r="G47" s="21" t="s">
        <v>14</v>
      </c>
      <c r="H47" s="21" t="s">
        <v>267</v>
      </c>
      <c r="I47" s="21" t="s">
        <v>11</v>
      </c>
      <c r="J47" s="21" t="s">
        <v>600</v>
      </c>
      <c r="K47" s="21" t="s">
        <v>871</v>
      </c>
      <c r="L47" s="21" t="s">
        <v>643</v>
      </c>
      <c r="M47" s="21"/>
      <c r="N47" s="26" t="str">
        <f t="shared" si="0"/>
        <v>insert into CHB_DATACHECK_RULE_INV values ('de4E4A68-6813-5A9E-E050-007F01006A66','ProductReportRegister002','compareValueAsNumber','repInvestFeeRate','&gt;=','0','Y','投资管理费率%必须大于等于0','E','com.joyintech.tams.invest.common.ChbBaseCheckLib');</v>
      </c>
    </row>
    <row r="48" spans="1:14" s="22" customFormat="1">
      <c r="A48" s="21" t="s">
        <v>698</v>
      </c>
      <c r="B48" s="21" t="s">
        <v>605</v>
      </c>
      <c r="C48" s="21" t="s">
        <v>8</v>
      </c>
      <c r="D48" s="21" t="s">
        <v>697</v>
      </c>
      <c r="E48" s="21"/>
      <c r="F48" s="21"/>
      <c r="G48" s="21" t="s">
        <v>10</v>
      </c>
      <c r="H48" s="21" t="s">
        <v>597</v>
      </c>
      <c r="I48" s="21" t="s">
        <v>636</v>
      </c>
      <c r="J48" s="21" t="s">
        <v>598</v>
      </c>
      <c r="K48" s="21" t="s">
        <v>871</v>
      </c>
      <c r="L48" s="21" t="s">
        <v>643</v>
      </c>
      <c r="M48" s="21"/>
      <c r="N48" s="26" t="str">
        <f t="shared" si="0"/>
        <v>insert into CHB_DATACHECK_RULE_INV values ('de464A63-6813-5A9E-E050-107F01006A65','ProductReportRegister002','isNotEmpty','repInvestPrinDate','','','N','投资本金到账日要素不可为空。','D','com.joyintech.tams.invest.common.ChbBaseCheckLib');</v>
      </c>
    </row>
    <row r="49" spans="1:14" s="22" customFormat="1">
      <c r="A49" s="21" t="s">
        <v>699</v>
      </c>
      <c r="B49" s="21" t="s">
        <v>605</v>
      </c>
      <c r="C49" s="21" t="s">
        <v>20</v>
      </c>
      <c r="D49" s="21" t="s">
        <v>274</v>
      </c>
      <c r="E49" s="21" t="s">
        <v>34</v>
      </c>
      <c r="F49" s="21" t="s">
        <v>161</v>
      </c>
      <c r="G49" s="21" t="s">
        <v>14</v>
      </c>
      <c r="H49" s="21" t="s">
        <v>275</v>
      </c>
      <c r="I49" s="21" t="s">
        <v>11</v>
      </c>
      <c r="J49" s="21" t="s">
        <v>598</v>
      </c>
      <c r="K49" s="21" t="s">
        <v>871</v>
      </c>
      <c r="L49" s="21" t="s">
        <v>643</v>
      </c>
      <c r="M49" s="21"/>
      <c r="N49" s="26" t="str">
        <f t="shared" si="0"/>
        <v>insert into CHB_DATACHECK_RULE_INV values ('de464A63-6813-5A9E-E050-007F01006A65','ProductReportRegister002','inDatadict','repInvestPrinDate','==','SVR_AMTDATETYPE','Y','投资本金到账日不在值域范围内。','E','com.joyintech.tams.invest.common.ChbBaseCheckLib');</v>
      </c>
    </row>
    <row r="50" spans="1:14" s="22" customFormat="1">
      <c r="A50" s="21" t="s">
        <v>700</v>
      </c>
      <c r="B50" s="21" t="s">
        <v>605</v>
      </c>
      <c r="C50" s="21" t="s">
        <v>8</v>
      </c>
      <c r="D50" s="21" t="s">
        <v>105</v>
      </c>
      <c r="E50" s="21"/>
      <c r="F50" s="21"/>
      <c r="G50" s="21" t="s">
        <v>10</v>
      </c>
      <c r="H50" s="21" t="s">
        <v>538</v>
      </c>
      <c r="I50" s="21" t="s">
        <v>764</v>
      </c>
      <c r="J50" s="21" t="s">
        <v>539</v>
      </c>
      <c r="K50" s="21" t="s">
        <v>871</v>
      </c>
      <c r="L50" s="21" t="s">
        <v>643</v>
      </c>
      <c r="M50" s="21"/>
      <c r="N50" s="26" t="str">
        <f t="shared" si="0"/>
        <v>insert into CHB_DATACHECK_RULE_INV values ('de344A49-6813-5A9E-E050-007F01006A65','ProductReportRegister002','isNotEmpty','repIsCashManage','','','N','是否现金管理类要素不可为空','E','com.joyintech.tams.invest.common.ChbBaseCheckLib');</v>
      </c>
    </row>
    <row r="51" spans="1:14" s="22" customFormat="1">
      <c r="A51" s="21" t="s">
        <v>701</v>
      </c>
      <c r="B51" s="21" t="s">
        <v>605</v>
      </c>
      <c r="C51" s="21" t="s">
        <v>12</v>
      </c>
      <c r="D51" s="21" t="s">
        <v>105</v>
      </c>
      <c r="E51" s="21" t="s">
        <v>34</v>
      </c>
      <c r="F51" s="21" t="s">
        <v>30</v>
      </c>
      <c r="G51" s="21" t="s">
        <v>14</v>
      </c>
      <c r="H51" s="21" t="s">
        <v>107</v>
      </c>
      <c r="I51" s="21" t="s">
        <v>764</v>
      </c>
      <c r="J51" s="21" t="s">
        <v>539</v>
      </c>
      <c r="K51" s="21" t="s">
        <v>871</v>
      </c>
      <c r="L51" s="21" t="s">
        <v>643</v>
      </c>
      <c r="M51" s="21"/>
      <c r="N51" s="26" t="str">
        <f t="shared" si="0"/>
        <v>insert into CHB_DATACHECK_RULE_INV values ('de374A49-6813-5A9E-E050-007F01006A65','ProductReportRegister002','lessThanCharLength','repIsCashManage','==','0','Y','是否现金管理类要素必须为空','E','com.joyintech.tams.invest.common.ChbBaseCheckLib');</v>
      </c>
    </row>
    <row r="52" spans="1:14" s="22" customFormat="1">
      <c r="A52" s="21" t="s">
        <v>702</v>
      </c>
      <c r="B52" s="21" t="s">
        <v>605</v>
      </c>
      <c r="C52" s="21" t="s">
        <v>20</v>
      </c>
      <c r="D52" s="21" t="s">
        <v>105</v>
      </c>
      <c r="E52" s="21" t="s">
        <v>34</v>
      </c>
      <c r="F52" s="29" t="s">
        <v>614</v>
      </c>
      <c r="G52" s="21" t="s">
        <v>14</v>
      </c>
      <c r="H52" s="21" t="s">
        <v>108</v>
      </c>
      <c r="I52" s="21" t="s">
        <v>11</v>
      </c>
      <c r="J52" s="21" t="s">
        <v>539</v>
      </c>
      <c r="K52" s="21" t="s">
        <v>871</v>
      </c>
      <c r="L52" s="21" t="s">
        <v>643</v>
      </c>
      <c r="M52" s="21"/>
      <c r="N52" s="26" t="str">
        <f t="shared" si="0"/>
        <v>insert into CHB_DATACHECK_RULE_INV values ('1e364A49-6813-5A9E-E050-007F01006A66','ProductReportRegister002','inDatadict','repIsCashManage','==','YES_OR_NO','Y','是否现金管理类要素不在值域范围内','E','com.joyintech.tams.invest.common.ChbBaseCheckLib');</v>
      </c>
    </row>
    <row r="53" spans="1:14" s="22" customFormat="1">
      <c r="A53" s="21" t="s">
        <v>703</v>
      </c>
      <c r="B53" s="21" t="s">
        <v>605</v>
      </c>
      <c r="C53" s="21" t="s">
        <v>8</v>
      </c>
      <c r="D53" s="21" t="s">
        <v>117</v>
      </c>
      <c r="E53" s="21"/>
      <c r="F53" s="21"/>
      <c r="G53" s="21" t="s">
        <v>10</v>
      </c>
      <c r="H53" s="21" t="s">
        <v>542</v>
      </c>
      <c r="I53" s="21" t="s">
        <v>636</v>
      </c>
      <c r="J53" s="21" t="s">
        <v>505</v>
      </c>
      <c r="K53" s="21" t="s">
        <v>871</v>
      </c>
      <c r="L53" s="21" t="s">
        <v>643</v>
      </c>
      <c r="M53" s="21"/>
      <c r="N53" s="26" t="str">
        <f t="shared" si="0"/>
        <v>insert into CHB_DATACHECK_RULE_INV values ('de254A49-6813-5A9E-E050-007F01006A65','ProductReportRegister002','isNotEmpty','isShortTerm','','','N','是否设置最短持有期限要素不可为空','D','com.joyintech.tams.invest.common.ChbBaseCheckLib');</v>
      </c>
    </row>
    <row r="54" spans="1:14" s="22" customFormat="1">
      <c r="A54" s="21" t="s">
        <v>704</v>
      </c>
      <c r="B54" s="21" t="s">
        <v>605</v>
      </c>
      <c r="C54" s="21" t="s">
        <v>12</v>
      </c>
      <c r="D54" s="21" t="s">
        <v>117</v>
      </c>
      <c r="E54" s="21" t="s">
        <v>34</v>
      </c>
      <c r="F54" s="21" t="s">
        <v>30</v>
      </c>
      <c r="G54" s="21" t="s">
        <v>14</v>
      </c>
      <c r="H54" s="21" t="s">
        <v>119</v>
      </c>
      <c r="I54" s="21" t="s">
        <v>11</v>
      </c>
      <c r="J54" s="21" t="s">
        <v>505</v>
      </c>
      <c r="K54" s="21" t="s">
        <v>871</v>
      </c>
      <c r="L54" s="21" t="s">
        <v>643</v>
      </c>
      <c r="M54" s="21"/>
      <c r="N54" s="26" t="str">
        <f t="shared" si="0"/>
        <v>insert into CHB_DATACHECK_RULE_INV values ('de274A49-6813-5A9E-E050-007F01006A65','ProductReportRegister002','lessThanCharLength','isShortTerm','==','0','Y','是否设置最短持有期限要素必须为空','E','com.joyintech.tams.invest.common.ChbBaseCheckLib');</v>
      </c>
    </row>
    <row r="55" spans="1:14" s="22" customFormat="1">
      <c r="A55" s="21" t="s">
        <v>705</v>
      </c>
      <c r="B55" s="21" t="s">
        <v>605</v>
      </c>
      <c r="C55" s="21" t="s">
        <v>20</v>
      </c>
      <c r="D55" s="21" t="s">
        <v>117</v>
      </c>
      <c r="E55" s="21" t="s">
        <v>34</v>
      </c>
      <c r="F55" s="21" t="s">
        <v>46</v>
      </c>
      <c r="G55" s="21" t="s">
        <v>14</v>
      </c>
      <c r="H55" s="21" t="s">
        <v>120</v>
      </c>
      <c r="I55" s="21" t="s">
        <v>11</v>
      </c>
      <c r="J55" s="21" t="s">
        <v>505</v>
      </c>
      <c r="K55" s="21" t="s">
        <v>871</v>
      </c>
      <c r="L55" s="21" t="s">
        <v>643</v>
      </c>
      <c r="M55" s="21"/>
      <c r="N55" s="26" t="str">
        <f t="shared" si="0"/>
        <v>insert into CHB_DATACHECK_RULE_INV values ('de264A49-6813-5A9E-E050-007F01006A65','ProductReportRegister002','inDatadict','isShortTerm','==','YES_NO','Y','是否设置最短持有期限不在值域范围内。','E','com.joyintech.tams.invest.common.ChbBaseCheckLib');</v>
      </c>
    </row>
    <row r="56" spans="1:14" s="22" customFormat="1">
      <c r="A56" s="21" t="s">
        <v>706</v>
      </c>
      <c r="B56" s="21" t="s">
        <v>605</v>
      </c>
      <c r="C56" s="21" t="s">
        <v>8</v>
      </c>
      <c r="D56" s="21" t="s">
        <v>94</v>
      </c>
      <c r="E56" s="21"/>
      <c r="F56" s="21"/>
      <c r="G56" s="21" t="s">
        <v>10</v>
      </c>
      <c r="H56" s="21" t="s">
        <v>532</v>
      </c>
      <c r="I56" s="21" t="s">
        <v>636</v>
      </c>
      <c r="J56" s="21" t="s">
        <v>533</v>
      </c>
      <c r="K56" s="21" t="s">
        <v>871</v>
      </c>
      <c r="L56" s="21" t="s">
        <v>643</v>
      </c>
      <c r="M56" s="21"/>
      <c r="N56" s="26" t="str">
        <f t="shared" si="0"/>
        <v>insert into CHB_DATACHECK_RULE_INV values ('de144A49-6813-5A9E-E050-107F01006A65','ProductReportRegister002','isNotEmpty','excFinSector','','','N','是否金融同业专属要素不可为空。','D','com.joyintech.tams.invest.common.ChbBaseCheckLib');</v>
      </c>
    </row>
    <row r="57" spans="1:14" s="22" customFormat="1">
      <c r="A57" s="21" t="s">
        <v>707</v>
      </c>
      <c r="B57" s="21" t="s">
        <v>605</v>
      </c>
      <c r="C57" s="21" t="s">
        <v>20</v>
      </c>
      <c r="D57" s="21" t="s">
        <v>94</v>
      </c>
      <c r="E57" s="21" t="s">
        <v>34</v>
      </c>
      <c r="F57" s="21" t="s">
        <v>46</v>
      </c>
      <c r="G57" s="21" t="s">
        <v>14</v>
      </c>
      <c r="H57" s="21" t="s">
        <v>95</v>
      </c>
      <c r="I57" s="21" t="s">
        <v>11</v>
      </c>
      <c r="J57" s="21" t="s">
        <v>533</v>
      </c>
      <c r="K57" s="21" t="s">
        <v>871</v>
      </c>
      <c r="L57" s="21" t="s">
        <v>643</v>
      </c>
      <c r="M57" s="21"/>
      <c r="N57" s="26" t="str">
        <f t="shared" si="0"/>
        <v>insert into CHB_DATACHECK_RULE_INV values ('de164A49-6813-5A9E-E050-007F01006A65','ProductReportRegister002','inDatadict','excFinSector','==','YES_NO','Y','是否金融同业专属不在值域范围内。','E','com.joyintech.tams.invest.common.ChbBaseCheckLib');</v>
      </c>
    </row>
    <row r="58" spans="1:14" s="22" customFormat="1">
      <c r="A58" s="21" t="s">
        <v>708</v>
      </c>
      <c r="B58" s="21" t="s">
        <v>605</v>
      </c>
      <c r="C58" s="21" t="s">
        <v>8</v>
      </c>
      <c r="D58" s="21" t="s">
        <v>110</v>
      </c>
      <c r="E58" s="21"/>
      <c r="F58" s="21"/>
      <c r="G58" s="21" t="s">
        <v>10</v>
      </c>
      <c r="H58" s="21" t="s">
        <v>540</v>
      </c>
      <c r="I58" s="21" t="s">
        <v>636</v>
      </c>
      <c r="J58" s="21" t="s">
        <v>541</v>
      </c>
      <c r="K58" s="21" t="s">
        <v>871</v>
      </c>
      <c r="L58" s="21" t="s">
        <v>643</v>
      </c>
      <c r="M58" s="21"/>
      <c r="N58" s="26" t="str">
        <f t="shared" si="0"/>
        <v>insert into CHB_DATACHECK_RULE_INV values ('de404A49-6813-5A9E-E050-007F01006A65','ProductReportRegister002','isNotEmpty','repMname','','','N','实际管理人名称要素不可为空','D','com.joyintech.tams.invest.common.ChbBaseCheckLib');</v>
      </c>
    </row>
    <row r="59" spans="1:14" s="22" customFormat="1">
      <c r="A59" s="21" t="s">
        <v>709</v>
      </c>
      <c r="B59" s="21" t="s">
        <v>605</v>
      </c>
      <c r="C59" s="21" t="s">
        <v>12</v>
      </c>
      <c r="D59" s="21" t="s">
        <v>110</v>
      </c>
      <c r="E59" s="21" t="s">
        <v>34</v>
      </c>
      <c r="F59" s="21" t="s">
        <v>30</v>
      </c>
      <c r="G59" s="21" t="s">
        <v>14</v>
      </c>
      <c r="H59" s="21" t="s">
        <v>112</v>
      </c>
      <c r="I59" s="21" t="s">
        <v>11</v>
      </c>
      <c r="J59" s="21" t="s">
        <v>541</v>
      </c>
      <c r="K59" s="21" t="s">
        <v>871</v>
      </c>
      <c r="L59" s="21" t="s">
        <v>643</v>
      </c>
      <c r="M59" s="21"/>
      <c r="N59" s="26" t="str">
        <f t="shared" si="0"/>
        <v>insert into CHB_DATACHECK_RULE_INV values ('de434A49-6813-5A9E-E050-007F01006A65','ProductReportRegister002','lessThanCharLength','repMname','==','0','Y','实际管理人名称要素必须为空','E','com.joyintech.tams.invest.common.ChbBaseCheckLib');</v>
      </c>
    </row>
    <row r="60" spans="1:14" s="22" customFormat="1">
      <c r="A60" s="21" t="s">
        <v>711</v>
      </c>
      <c r="B60" s="21" t="s">
        <v>605</v>
      </c>
      <c r="C60" s="21" t="s">
        <v>12</v>
      </c>
      <c r="D60" s="21" t="s">
        <v>710</v>
      </c>
      <c r="E60" s="21" t="s">
        <v>34</v>
      </c>
      <c r="F60" s="21" t="s">
        <v>113</v>
      </c>
      <c r="G60" s="21" t="s">
        <v>14</v>
      </c>
      <c r="H60" s="21" t="s">
        <v>114</v>
      </c>
      <c r="I60" s="24" t="s">
        <v>865</v>
      </c>
      <c r="J60" s="21" t="s">
        <v>541</v>
      </c>
      <c r="K60" s="21" t="s">
        <v>871</v>
      </c>
      <c r="L60" s="21" t="s">
        <v>643</v>
      </c>
      <c r="M60" s="21"/>
      <c r="N60" s="26" t="str">
        <f t="shared" si="0"/>
        <v>insert into CHB_DATACHECK_RULE_INV values ('1e424A49-6813-5A9E-E050-007F01006A66','ProductReportRegister002','lessThanCharLength','repMname','==','121','Y','实际管理人名称要素超长（最大长）120','E','com.joyintech.tams.invest.common.ChbBaseCheckLib');</v>
      </c>
    </row>
    <row r="61" spans="1:14" s="22" customFormat="1">
      <c r="A61" s="21" t="s">
        <v>712</v>
      </c>
      <c r="B61" s="21" t="s">
        <v>605</v>
      </c>
      <c r="C61" s="21" t="s">
        <v>16</v>
      </c>
      <c r="D61" s="21" t="s">
        <v>110</v>
      </c>
      <c r="E61" s="21"/>
      <c r="F61" s="21" t="s">
        <v>43</v>
      </c>
      <c r="G61" s="21" t="s">
        <v>14</v>
      </c>
      <c r="H61" s="21" t="s">
        <v>115</v>
      </c>
      <c r="I61" s="21" t="s">
        <v>11</v>
      </c>
      <c r="J61" s="21" t="s">
        <v>541</v>
      </c>
      <c r="K61" s="21" t="s">
        <v>871</v>
      </c>
      <c r="L61" s="21" t="s">
        <v>643</v>
      </c>
      <c r="M61" s="21"/>
      <c r="N61" s="26" t="str">
        <f t="shared" si="0"/>
        <v>insert into CHB_DATACHECK_RULE_INV values ('de294A49-6813-5A9E-E050-007F01006B17','ProductReportRegister002','isCustomizedStringForWhitelist','repMname','','^[\u4e00-\u9fa5\ue815-\ue864\uff01-\uff5e\uffe0-\uffe5\u3000-\u3003\u3005-\u3017\u301d-\u301e\u2010\u2013-\u2016\u2018-\u2019\u201c-\u201d\u2025-\u2026\u2030\u2032-\u2033\u2035\u203b\u00b7\u0030-\u0039\u0041-\u005a\u0061-\u007a\u2160-\u216b\u0020-\u0026\u0028-\u007B\u007D\u007E]{0,}$','Y','实际管理人名称必须填写白名单中的文字。','E','com.joyintech.tams.invest.common.ChbBaseCheckLib');</v>
      </c>
    </row>
    <row r="62" spans="1:14" s="22" customFormat="1">
      <c r="A62" s="21" t="s">
        <v>713</v>
      </c>
      <c r="B62" s="21" t="s">
        <v>605</v>
      </c>
      <c r="C62" s="21" t="s">
        <v>8</v>
      </c>
      <c r="D62" s="21" t="s">
        <v>171</v>
      </c>
      <c r="E62" s="21"/>
      <c r="F62" s="21"/>
      <c r="G62" s="21" t="s">
        <v>10</v>
      </c>
      <c r="H62" s="21" t="s">
        <v>565</v>
      </c>
      <c r="I62" s="21" t="s">
        <v>636</v>
      </c>
      <c r="J62" s="21" t="s">
        <v>566</v>
      </c>
      <c r="K62" s="21" t="s">
        <v>871</v>
      </c>
      <c r="L62" s="21" t="s">
        <v>643</v>
      </c>
      <c r="M62" s="21"/>
      <c r="N62" s="26" t="str">
        <f t="shared" si="0"/>
        <v>insert into CHB_DATACHECK_RULE_INV values ('de4E4A57-6813-5A9E-E050-107F01006A66','ProductReportRegister002','isNotEmpty','repSaleAmtStr','','','N','起点销售金额要素不可为空。','D','com.joyintech.tams.invest.common.ChbBaseCheckLib');</v>
      </c>
    </row>
    <row r="63" spans="1:14" s="22" customFormat="1">
      <c r="A63" s="21" t="s">
        <v>866</v>
      </c>
      <c r="B63" s="21" t="s">
        <v>605</v>
      </c>
      <c r="C63" s="21" t="s">
        <v>25</v>
      </c>
      <c r="D63" s="21" t="s">
        <v>171</v>
      </c>
      <c r="E63" s="21"/>
      <c r="F63" s="21" t="s">
        <v>172</v>
      </c>
      <c r="G63" s="21" t="s">
        <v>14</v>
      </c>
      <c r="H63" s="21" t="s">
        <v>173</v>
      </c>
      <c r="I63" s="24" t="s">
        <v>865</v>
      </c>
      <c r="J63" s="21" t="s">
        <v>566</v>
      </c>
      <c r="K63" s="21" t="s">
        <v>871</v>
      </c>
      <c r="L63" s="21" t="s">
        <v>643</v>
      </c>
      <c r="M63" s="21"/>
      <c r="N63" s="26" t="str">
        <f t="shared" si="0"/>
        <v>insert into CHB_DATACHECK_RULE_INV values ('de4E4A57-6813-5A9E-E050-007F01006A66','ProductReportRegister002','isNumber2','repSaleAmtStr','','15,2','Y','起点销售金额必须为n（15,2）格式。','E','com.joyintech.tams.invest.common.ChbBaseCheckLib');</v>
      </c>
    </row>
    <row r="64" spans="1:14" s="25" customFormat="1">
      <c r="A64" s="21" t="s">
        <v>714</v>
      </c>
      <c r="B64" s="21" t="s">
        <v>605</v>
      </c>
      <c r="C64" s="21" t="s">
        <v>717</v>
      </c>
      <c r="D64" s="21" t="s">
        <v>171</v>
      </c>
      <c r="E64" s="21" t="s">
        <v>716</v>
      </c>
      <c r="F64" s="21" t="s">
        <v>30</v>
      </c>
      <c r="G64" s="21" t="s">
        <v>14</v>
      </c>
      <c r="H64" s="21" t="s">
        <v>174</v>
      </c>
      <c r="I64" s="21" t="s">
        <v>636</v>
      </c>
      <c r="J64" s="21" t="s">
        <v>566</v>
      </c>
      <c r="K64" s="21" t="s">
        <v>871</v>
      </c>
      <c r="L64" s="24" t="s">
        <v>643</v>
      </c>
      <c r="M64" s="24" t="s">
        <v>715</v>
      </c>
      <c r="N64" s="26" t="str">
        <f t="shared" si="0"/>
        <v>insert into CHB_DATACHECK_RULE_INV values ('de314A58-6813-5A9E-E050-007F01006A66','ProductReportRegister002','compareValueAsNumber','repSaleAmtStr','&gt;','0','Y','起点销售金额必须大于0。','D','com.joyintech.tams.invest.common.ChbBaseCheckLib');</v>
      </c>
    </row>
    <row r="65" spans="1:14" s="22" customFormat="1">
      <c r="A65" s="21" t="s">
        <v>718</v>
      </c>
      <c r="B65" s="21" t="s">
        <v>605</v>
      </c>
      <c r="C65" s="21" t="s">
        <v>8</v>
      </c>
      <c r="D65" s="21" t="s">
        <v>32</v>
      </c>
      <c r="E65" s="21"/>
      <c r="F65" s="21"/>
      <c r="G65" s="21" t="s">
        <v>10</v>
      </c>
      <c r="H65" s="21" t="s">
        <v>511</v>
      </c>
      <c r="I65" s="21" t="s">
        <v>636</v>
      </c>
      <c r="J65" s="21" t="s">
        <v>513</v>
      </c>
      <c r="K65" s="21" t="s">
        <v>871</v>
      </c>
      <c r="L65" s="21" t="s">
        <v>643</v>
      </c>
      <c r="M65" s="21"/>
      <c r="N65" s="26" t="str">
        <f t="shared" si="0"/>
        <v>insert into CHB_DATACHECK_RULE_INV values ('de314A62-6813-5A9E-E050-107F01006A66','ProductReportRegister002','isNotEmpty','repRaisePenddate','','','N','募集起始日期（到）要素不可为空。','D','com.joyintech.tams.invest.common.ChbBaseCheckLib');</v>
      </c>
    </row>
    <row r="66" spans="1:14" s="22" customFormat="1">
      <c r="A66" s="21" t="s">
        <v>719</v>
      </c>
      <c r="B66" s="21" t="s">
        <v>605</v>
      </c>
      <c r="C66" s="21" t="s">
        <v>33</v>
      </c>
      <c r="D66" s="21" t="s">
        <v>721</v>
      </c>
      <c r="E66" s="21" t="s">
        <v>34</v>
      </c>
      <c r="F66" s="21" t="s">
        <v>35</v>
      </c>
      <c r="G66" s="21" t="s">
        <v>14</v>
      </c>
      <c r="H66" s="21" t="s">
        <v>36</v>
      </c>
      <c r="I66" s="21" t="s">
        <v>11</v>
      </c>
      <c r="J66" s="21" t="s">
        <v>513</v>
      </c>
      <c r="K66" s="21" t="s">
        <v>871</v>
      </c>
      <c r="L66" s="21" t="s">
        <v>656</v>
      </c>
      <c r="M66" s="21" t="s">
        <v>720</v>
      </c>
      <c r="N66" s="26" t="str">
        <f t="shared" si="0"/>
        <v>insert into CHB_DATACHECK_RULE_INV values ('de314A62-6813-5A9E-E050-007F01006A66','ProductReportRegister002','isValidDate','repRaisePenddate','==','yyyy-MM-dd','Y','募集起始日期（到）必须为日期格式（YYYY-MM-DD）且为正确的日期。','E','com.joyintech.tams.invest.common.ChbBaseCheckLib');</v>
      </c>
    </row>
    <row r="67" spans="1:14" s="22" customFormat="1">
      <c r="A67" s="21" t="s">
        <v>857</v>
      </c>
      <c r="B67" s="21" t="s">
        <v>605</v>
      </c>
      <c r="C67" s="21" t="s">
        <v>858</v>
      </c>
      <c r="D67" s="21" t="s">
        <v>32</v>
      </c>
      <c r="E67" s="21" t="s">
        <v>29</v>
      </c>
      <c r="F67" s="21" t="s">
        <v>859</v>
      </c>
      <c r="G67" s="21" t="s">
        <v>14</v>
      </c>
      <c r="H67" s="21" t="s">
        <v>860</v>
      </c>
      <c r="I67" s="21" t="s">
        <v>11</v>
      </c>
      <c r="J67" s="21" t="s">
        <v>513</v>
      </c>
      <c r="K67" s="21" t="s">
        <v>871</v>
      </c>
      <c r="L67" s="21" t="s">
        <v>852</v>
      </c>
      <c r="M67" s="42" t="s">
        <v>723</v>
      </c>
      <c r="N67" s="26" t="str">
        <f t="shared" ref="N67:N130" si="1">CONCATENATE("insert into CHB_DATACHECK_RULE_INV values ('",A67,"','",B67,"','",C67,"','",J67,"','",E67,"','",F67,"','",G67,"','",H67,"','",I67,"','",K67,"');")</f>
        <v>insert into CHB_DATACHECK_RULE_INV values ('de244A61-6813-5A9E-E050-007F01006A65','ProductReportRegister002','compareProperty','repRaisePenddate','&gt;=','repRaisePstrdate','Y','募集起始日期（到）必须大于等于募集起始日期（从）','E','com.joyintech.tams.invest.common.ChbBaseCheckLib');</v>
      </c>
    </row>
    <row r="68" spans="1:14" s="22" customFormat="1">
      <c r="A68" s="21" t="s">
        <v>724</v>
      </c>
      <c r="B68" s="21" t="s">
        <v>605</v>
      </c>
      <c r="C68" s="21" t="s">
        <v>8</v>
      </c>
      <c r="D68" s="21" t="s">
        <v>722</v>
      </c>
      <c r="E68" s="21"/>
      <c r="F68" s="21"/>
      <c r="G68" s="21" t="s">
        <v>10</v>
      </c>
      <c r="H68" s="21" t="s">
        <v>147</v>
      </c>
      <c r="I68" s="21" t="s">
        <v>636</v>
      </c>
      <c r="J68" s="21" t="s">
        <v>512</v>
      </c>
      <c r="K68" s="21" t="s">
        <v>871</v>
      </c>
      <c r="L68" s="21" t="s">
        <v>643</v>
      </c>
      <c r="M68" s="21"/>
      <c r="N68" s="26" t="str">
        <f t="shared" si="1"/>
        <v>insert into CHB_DATACHECK_RULE_INV values ('de314A61-6813-5A9E-E050-107F01006A66','ProductReportRegister002','isNotEmpty','repRaisePstrdate','','','N','募集起始日期（从）要素不可为空。','D','com.joyintech.tams.invest.common.ChbBaseCheckLib');</v>
      </c>
    </row>
    <row r="69" spans="1:14" s="22" customFormat="1">
      <c r="A69" s="21" t="s">
        <v>725</v>
      </c>
      <c r="B69" s="21" t="s">
        <v>605</v>
      </c>
      <c r="C69" s="21" t="s">
        <v>33</v>
      </c>
      <c r="D69" s="21" t="s">
        <v>146</v>
      </c>
      <c r="E69" s="21" t="s">
        <v>34</v>
      </c>
      <c r="F69" s="21" t="s">
        <v>35</v>
      </c>
      <c r="G69" s="21" t="s">
        <v>14</v>
      </c>
      <c r="H69" s="21" t="s">
        <v>148</v>
      </c>
      <c r="I69" s="21" t="s">
        <v>11</v>
      </c>
      <c r="J69" s="21" t="s">
        <v>512</v>
      </c>
      <c r="K69" s="21" t="s">
        <v>871</v>
      </c>
      <c r="L69" s="21" t="s">
        <v>656</v>
      </c>
      <c r="M69" s="21" t="s">
        <v>720</v>
      </c>
      <c r="N69" s="26" t="str">
        <f t="shared" si="1"/>
        <v>insert into CHB_DATACHECK_RULE_INV values ('de314A61-6813-5A9E-E050-007F01006A66','ProductReportRegister002','isValidDate','repRaisePstrdate','==','yyyy-MM-dd','Y','募集起始日期（从）必须为日期格式（YYYY-MM-DD）且为正确的日期。','E','com.joyintech.tams.invest.common.ChbBaseCheckLib');</v>
      </c>
    </row>
    <row r="70" spans="1:14" s="22" customFormat="1">
      <c r="A70" s="21" t="s">
        <v>726</v>
      </c>
      <c r="B70" s="21" t="s">
        <v>605</v>
      </c>
      <c r="C70" s="21" t="s">
        <v>8</v>
      </c>
      <c r="D70" s="21" t="s">
        <v>88</v>
      </c>
      <c r="E70" s="21"/>
      <c r="F70" s="21"/>
      <c r="G70" s="21" t="s">
        <v>10</v>
      </c>
      <c r="H70" s="21" t="s">
        <v>529</v>
      </c>
      <c r="I70" s="21" t="s">
        <v>636</v>
      </c>
      <c r="J70" s="21" t="s">
        <v>530</v>
      </c>
      <c r="K70" s="21" t="s">
        <v>871</v>
      </c>
      <c r="L70" s="21" t="s">
        <v>643</v>
      </c>
      <c r="M70" s="21"/>
      <c r="N70" s="26" t="str">
        <f t="shared" si="1"/>
        <v>insert into CHB_DATACHECK_RULE_INV values ('de154A49-6813-5A9E-E050-107F01006A65','ProductReportRegister002','isNotEmpty','repIssueType','','','N','产品募集方式要素不可为空。','D','com.joyintech.tams.invest.common.ChbBaseCheckLib');</v>
      </c>
    </row>
    <row r="71" spans="1:14" s="22" customFormat="1">
      <c r="A71" s="21" t="s">
        <v>89</v>
      </c>
      <c r="B71" s="21" t="s">
        <v>605</v>
      </c>
      <c r="C71" s="21" t="s">
        <v>20</v>
      </c>
      <c r="D71" s="21" t="s">
        <v>88</v>
      </c>
      <c r="E71" s="21" t="s">
        <v>34</v>
      </c>
      <c r="F71" s="29" t="s">
        <v>609</v>
      </c>
      <c r="G71" s="21" t="s">
        <v>14</v>
      </c>
      <c r="H71" s="21" t="s">
        <v>90</v>
      </c>
      <c r="I71" s="21" t="s">
        <v>11</v>
      </c>
      <c r="J71" s="21" t="s">
        <v>530</v>
      </c>
      <c r="K71" s="21" t="s">
        <v>871</v>
      </c>
      <c r="L71" s="21" t="s">
        <v>643</v>
      </c>
      <c r="M71" s="21"/>
      <c r="N71" s="26" t="str">
        <f t="shared" si="1"/>
        <v>insert into CHB_DATACHECK_RULE_INV values ('de154A49-6813-5A9E-E050-007F01006A65','ProductReportRegister002','inDatadict','repIssueType','==','RAISE_TYPE','Y','产品募集方式不在值域范围内。','E','com.joyintech.tams.invest.common.ChbBaseCheckLib');</v>
      </c>
    </row>
    <row r="72" spans="1:14" s="22" customFormat="1">
      <c r="A72" s="21" t="s">
        <v>727</v>
      </c>
      <c r="B72" s="21" t="s">
        <v>605</v>
      </c>
      <c r="C72" s="21" t="s">
        <v>8</v>
      </c>
      <c r="D72" s="21" t="s">
        <v>211</v>
      </c>
      <c r="E72" s="21"/>
      <c r="F72" s="21"/>
      <c r="G72" s="21" t="s">
        <v>10</v>
      </c>
      <c r="H72" s="21" t="s">
        <v>576</v>
      </c>
      <c r="I72" s="21" t="s">
        <v>636</v>
      </c>
      <c r="J72" s="21" t="s">
        <v>479</v>
      </c>
      <c r="K72" s="21" t="s">
        <v>871</v>
      </c>
      <c r="L72" s="21" t="s">
        <v>643</v>
      </c>
      <c r="M72" s="21"/>
      <c r="N72" s="26" t="str">
        <f t="shared" si="1"/>
        <v>insert into CHB_DATACHECK_RULE_INV values ('de194A54-6813-5A9E-E050-007F01006A65','ProductReportRegister002','isNotEmpty','repRaiseCcy','','','N','募集币种要素不可为空','D','com.joyintech.tams.invest.common.ChbBaseCheckLib');</v>
      </c>
    </row>
    <row r="73" spans="1:14" s="22" customFormat="1">
      <c r="A73" s="21" t="s">
        <v>728</v>
      </c>
      <c r="B73" s="21" t="s">
        <v>605</v>
      </c>
      <c r="C73" s="21" t="s">
        <v>20</v>
      </c>
      <c r="D73" s="21" t="s">
        <v>211</v>
      </c>
      <c r="E73" s="21" t="s">
        <v>21</v>
      </c>
      <c r="F73" s="21" t="s">
        <v>22</v>
      </c>
      <c r="G73" s="21" t="s">
        <v>14</v>
      </c>
      <c r="H73" s="21" t="s">
        <v>212</v>
      </c>
      <c r="I73" s="21" t="s">
        <v>11</v>
      </c>
      <c r="J73" s="21" t="s">
        <v>479</v>
      </c>
      <c r="K73" s="21" t="s">
        <v>871</v>
      </c>
      <c r="L73" s="21" t="s">
        <v>643</v>
      </c>
      <c r="M73" s="21"/>
      <c r="N73" s="26" t="str">
        <f t="shared" si="1"/>
        <v>insert into CHB_DATACHECK_RULE_INV values ('de294A49-6813-5A9E-E050-007F01006B30','ProductReportRegister002','inDatadict','repRaiseCcy','&lt;','CURRENCY_CHB','Y','募集币种区域不在值域范围内并且募集币种的多选选项不可重复。','E','com.joyintech.tams.invest.common.ChbBaseCheckLib');</v>
      </c>
    </row>
    <row r="74" spans="1:14" s="22" customFormat="1">
      <c r="A74" s="21" t="s">
        <v>729</v>
      </c>
      <c r="B74" s="21" t="s">
        <v>605</v>
      </c>
      <c r="C74" s="21" t="s">
        <v>8</v>
      </c>
      <c r="D74" s="21" t="s">
        <v>155</v>
      </c>
      <c r="E74" s="21"/>
      <c r="F74" s="21"/>
      <c r="G74" s="21" t="s">
        <v>10</v>
      </c>
      <c r="H74" s="21" t="s">
        <v>557</v>
      </c>
      <c r="I74" s="21" t="s">
        <v>636</v>
      </c>
      <c r="J74" s="21" t="s">
        <v>558</v>
      </c>
      <c r="K74" s="21" t="s">
        <v>871</v>
      </c>
      <c r="L74" s="21" t="s">
        <v>643</v>
      </c>
      <c r="M74" s="21"/>
      <c r="N74" s="26" t="str">
        <f t="shared" si="1"/>
        <v>insert into CHB_DATACHECK_RULE_INV values ('de224A49-6813-5A9E-E050-007F01006A65','ProductReportRegister002','isNotEmpty','repFinanSerModel','','','N','理财业务服务模式要素不可为空','D','com.joyintech.tams.invest.common.ChbBaseCheckLib');</v>
      </c>
    </row>
    <row r="75" spans="1:14" s="22" customFormat="1">
      <c r="A75" s="21" t="s">
        <v>730</v>
      </c>
      <c r="B75" s="21" t="s">
        <v>731</v>
      </c>
      <c r="C75" s="21" t="s">
        <v>12</v>
      </c>
      <c r="D75" s="21" t="s">
        <v>155</v>
      </c>
      <c r="E75" s="21" t="s">
        <v>34</v>
      </c>
      <c r="F75" s="21" t="s">
        <v>30</v>
      </c>
      <c r="G75" s="21" t="s">
        <v>14</v>
      </c>
      <c r="H75" s="21" t="s">
        <v>157</v>
      </c>
      <c r="I75" s="21" t="s">
        <v>11</v>
      </c>
      <c r="J75" s="21" t="s">
        <v>558</v>
      </c>
      <c r="K75" s="21" t="s">
        <v>871</v>
      </c>
      <c r="L75" s="21" t="s">
        <v>643</v>
      </c>
      <c r="M75" s="21"/>
      <c r="N75" s="26" t="str">
        <f t="shared" si="1"/>
        <v>insert into CHB_DATACHECK_RULE_INV values ('de234A49-6813-5A9E-E050-007F01006A65','ProductReportRegister002','lessThanCharLength','repFinanSerModel','==','0','Y','理财业务服务模式要素必须为空','E','com.joyintech.tams.invest.common.ChbBaseCheckLib');</v>
      </c>
    </row>
    <row r="76" spans="1:14" s="22" customFormat="1">
      <c r="A76" s="21" t="s">
        <v>732</v>
      </c>
      <c r="B76" s="21" t="s">
        <v>605</v>
      </c>
      <c r="C76" s="21" t="s">
        <v>20</v>
      </c>
      <c r="D76" s="21" t="s">
        <v>155</v>
      </c>
      <c r="E76" s="21" t="s">
        <v>34</v>
      </c>
      <c r="F76" s="21" t="s">
        <v>158</v>
      </c>
      <c r="G76" s="21" t="s">
        <v>14</v>
      </c>
      <c r="H76" s="21" t="s">
        <v>159</v>
      </c>
      <c r="I76" s="21" t="s">
        <v>11</v>
      </c>
      <c r="J76" s="21" t="s">
        <v>558</v>
      </c>
      <c r="K76" s="21" t="s">
        <v>871</v>
      </c>
      <c r="L76" s="21" t="s">
        <v>643</v>
      </c>
      <c r="M76" s="21"/>
      <c r="N76" s="26" t="str">
        <f t="shared" si="1"/>
        <v>insert into CHB_DATACHECK_RULE_INV values ('1e234A49-6813-5A9E-E050-007F01006A66','ProductReportRegister002','inDatadict','repFinanSerModel','==','SVR_SERVICEMODE','Y','理财业务服务模式要素不在值域范围内','E','com.joyintech.tams.invest.common.ChbBaseCheckLib');</v>
      </c>
    </row>
    <row r="77" spans="1:14" s="22" customFormat="1">
      <c r="A77" s="21" t="s">
        <v>733</v>
      </c>
      <c r="B77" s="21" t="s">
        <v>605</v>
      </c>
      <c r="C77" s="21" t="s">
        <v>8</v>
      </c>
      <c r="D77" s="21" t="s">
        <v>45</v>
      </c>
      <c r="E77" s="21"/>
      <c r="F77" s="21"/>
      <c r="G77" s="21" t="s">
        <v>10</v>
      </c>
      <c r="H77" s="21" t="s">
        <v>517</v>
      </c>
      <c r="I77" s="28" t="s">
        <v>664</v>
      </c>
      <c r="J77" s="21" t="s">
        <v>735</v>
      </c>
      <c r="K77" s="21" t="s">
        <v>871</v>
      </c>
      <c r="L77" s="21" t="s">
        <v>643</v>
      </c>
      <c r="M77" s="21"/>
      <c r="N77" s="26" t="str">
        <f t="shared" si="1"/>
        <v>insert into CHB_DATACHECK_RULE_INV values ('de469111-6813-5A9E-E050-007F01006A65','ProductReportRegister002','isNotEmpty','repCusRedeemFlag','','','N','客户赎回权标识要素不可为空。','D','com.joyintech.tams.invest.common.ChbBaseCheckLib');</v>
      </c>
    </row>
    <row r="78" spans="1:14" s="22" customFormat="1">
      <c r="A78" s="21" t="s">
        <v>734</v>
      </c>
      <c r="B78" s="21" t="s">
        <v>605</v>
      </c>
      <c r="C78" s="21" t="s">
        <v>20</v>
      </c>
      <c r="D78" s="21" t="s">
        <v>45</v>
      </c>
      <c r="E78" s="21" t="s">
        <v>34</v>
      </c>
      <c r="F78" s="21" t="s">
        <v>46</v>
      </c>
      <c r="G78" s="21" t="s">
        <v>14</v>
      </c>
      <c r="H78" s="21" t="s">
        <v>47</v>
      </c>
      <c r="I78" s="21" t="s">
        <v>11</v>
      </c>
      <c r="J78" s="21" t="s">
        <v>518</v>
      </c>
      <c r="K78" s="21" t="s">
        <v>871</v>
      </c>
      <c r="L78" s="21" t="s">
        <v>643</v>
      </c>
      <c r="M78" s="21"/>
      <c r="N78" s="26" t="str">
        <f t="shared" si="1"/>
        <v>insert into CHB_DATACHECK_RULE_INV values ('de464A84-6813-5A9E-E050-007F01006A65','ProductReportRegister002','inDatadict','repCusRedeemFlag','==','YES_NO','Y','客户赎回权标识不在值域范围内。','E','com.joyintech.tams.invest.common.ChbBaseCheckLib');</v>
      </c>
    </row>
    <row r="79" spans="1:14" s="22" customFormat="1">
      <c r="A79" s="21" t="s">
        <v>736</v>
      </c>
      <c r="B79" s="21" t="s">
        <v>605</v>
      </c>
      <c r="C79" s="21" t="s">
        <v>8</v>
      </c>
      <c r="D79" s="21" t="s">
        <v>150</v>
      </c>
      <c r="E79" s="21"/>
      <c r="F79" s="21"/>
      <c r="G79" s="21" t="s">
        <v>10</v>
      </c>
      <c r="H79" s="21" t="s">
        <v>555</v>
      </c>
      <c r="I79" s="21" t="s">
        <v>636</v>
      </c>
      <c r="J79" s="21" t="s">
        <v>556</v>
      </c>
      <c r="K79" s="21" t="s">
        <v>871</v>
      </c>
      <c r="L79" s="21" t="s">
        <v>643</v>
      </c>
      <c r="M79" s="21"/>
      <c r="N79" s="26" t="str">
        <f t="shared" si="1"/>
        <v>insert into CHB_DATACHECK_RULE_INV values ('de194A78-6813-5A9E-E050-007F01006A65','ProductReportRegister002','isNotEmpty','repOutDepName','','','N','境外托管机构名称要素不可为空','D','com.joyintech.tams.invest.common.ChbBaseCheckLib');</v>
      </c>
    </row>
    <row r="80" spans="1:14" s="22" customFormat="1">
      <c r="A80" s="21" t="s">
        <v>737</v>
      </c>
      <c r="B80" s="21" t="s">
        <v>605</v>
      </c>
      <c r="C80" s="21" t="s">
        <v>12</v>
      </c>
      <c r="D80" s="21" t="s">
        <v>150</v>
      </c>
      <c r="E80" s="21" t="s">
        <v>34</v>
      </c>
      <c r="F80" s="21" t="s">
        <v>30</v>
      </c>
      <c r="G80" s="21" t="s">
        <v>14</v>
      </c>
      <c r="H80" s="21" t="s">
        <v>152</v>
      </c>
      <c r="I80" s="21" t="s">
        <v>11</v>
      </c>
      <c r="J80" s="21" t="s">
        <v>738</v>
      </c>
      <c r="K80" s="21" t="s">
        <v>871</v>
      </c>
      <c r="L80" s="21" t="s">
        <v>643</v>
      </c>
      <c r="M80" s="21"/>
      <c r="N80" s="26" t="str">
        <f t="shared" si="1"/>
        <v>insert into CHB_DATACHECK_RULE_INV values ('de194A80-6813-5A9E-E050-007F01006A65','ProductReportRegister002','lessThanCharLength','repOutDepName','==','0','Y','境外托管机构名称要素必须为空','E','com.joyintech.tams.invest.common.ChbBaseCheckLib');</v>
      </c>
    </row>
    <row r="81" spans="1:14" s="22" customFormat="1">
      <c r="A81" s="21" t="s">
        <v>739</v>
      </c>
      <c r="B81" s="21" t="s">
        <v>605</v>
      </c>
      <c r="C81" s="21" t="s">
        <v>12</v>
      </c>
      <c r="D81" s="21" t="s">
        <v>150</v>
      </c>
      <c r="E81" s="21" t="s">
        <v>34</v>
      </c>
      <c r="F81" s="21" t="s">
        <v>99</v>
      </c>
      <c r="G81" s="21" t="s">
        <v>14</v>
      </c>
      <c r="H81" s="21" t="s">
        <v>153</v>
      </c>
      <c r="I81" s="24" t="s">
        <v>865</v>
      </c>
      <c r="J81" s="21" t="s">
        <v>556</v>
      </c>
      <c r="K81" s="21" t="s">
        <v>871</v>
      </c>
      <c r="L81" s="21" t="s">
        <v>643</v>
      </c>
      <c r="M81" s="21"/>
      <c r="N81" s="26" t="str">
        <f t="shared" si="1"/>
        <v>insert into CHB_DATACHECK_RULE_INV values ('11194A80-6813-5A9E-E050-007F01006A66','ProductReportRegister002','lessThanCharLength','repOutDepName','==','201','Y','境外托管机构名称要素超长（200）','E','com.joyintech.tams.invest.common.ChbBaseCheckLib');</v>
      </c>
    </row>
    <row r="82" spans="1:14" s="22" customFormat="1">
      <c r="A82" s="21" t="s">
        <v>740</v>
      </c>
      <c r="B82" s="21" t="s">
        <v>605</v>
      </c>
      <c r="C82" s="21" t="s">
        <v>16</v>
      </c>
      <c r="D82" s="21" t="s">
        <v>150</v>
      </c>
      <c r="E82" s="21"/>
      <c r="F82" s="21" t="s">
        <v>43</v>
      </c>
      <c r="G82" s="21" t="s">
        <v>14</v>
      </c>
      <c r="H82" s="21" t="s">
        <v>279</v>
      </c>
      <c r="I82" s="21" t="s">
        <v>11</v>
      </c>
      <c r="J82" s="21" t="s">
        <v>556</v>
      </c>
      <c r="K82" s="21" t="s">
        <v>871</v>
      </c>
      <c r="L82" s="21" t="s">
        <v>643</v>
      </c>
      <c r="M82" s="21"/>
      <c r="N82" s="26" t="str">
        <f t="shared" si="1"/>
        <v>insert into CHB_DATACHECK_RULE_INV values ('de194A79-6813-5A9E-E050-007F01006A65','ProductReportRegister002','isCustomizedStringForWhitelist','repOutDepName','','^[\u4e00-\u9fa5\ue815-\ue864\uff01-\uff5e\uffe0-\uffe5\u3000-\u3003\u3005-\u3017\u301d-\u301e\u2010\u2013-\u2016\u2018-\u2019\u201c-\u201d\u2025-\u2026\u2030\u2032-\u2033\u2035\u203b\u00b7\u0030-\u0039\u0041-\u005a\u0061-\u007a\u2160-\u216b\u0020-\u0026\u0028-\u007B\u007D\u007E]{0,}$','Y','境外托管机构名称必须填写白名单中的文字。','E','com.joyintech.tams.invest.common.ChbBaseCheckLib');</v>
      </c>
    </row>
    <row r="83" spans="1:14" s="22" customFormat="1">
      <c r="A83" s="21" t="s">
        <v>741</v>
      </c>
      <c r="B83" s="21" t="s">
        <v>605</v>
      </c>
      <c r="C83" s="21" t="s">
        <v>8</v>
      </c>
      <c r="D83" s="21" t="s">
        <v>232</v>
      </c>
      <c r="E83" s="21"/>
      <c r="F83" s="21"/>
      <c r="G83" s="21" t="s">
        <v>10</v>
      </c>
      <c r="H83" s="21" t="s">
        <v>586</v>
      </c>
      <c r="I83" s="21" t="s">
        <v>636</v>
      </c>
      <c r="J83" s="21" t="s">
        <v>503</v>
      </c>
      <c r="K83" s="21" t="s">
        <v>871</v>
      </c>
      <c r="L83" s="21" t="s">
        <v>643</v>
      </c>
      <c r="M83" s="21"/>
      <c r="N83" s="26" t="str">
        <f t="shared" si="1"/>
        <v>insert into CHB_DATACHECK_RULE_INV values ('de194A76-6813-5A9E-E050-007F01006A03','ProductReportRegister002','isNotEmpty','repOutDepCtry','','','N','境外托管机构国别要素不可为空','D','com.joyintech.tams.invest.common.ChbBaseCheckLib');</v>
      </c>
    </row>
    <row r="84" spans="1:14" s="22" customFormat="1">
      <c r="A84" s="21" t="s">
        <v>742</v>
      </c>
      <c r="B84" s="21" t="s">
        <v>605</v>
      </c>
      <c r="C84" s="21" t="s">
        <v>624</v>
      </c>
      <c r="D84" s="21" t="s">
        <v>232</v>
      </c>
      <c r="E84" s="21" t="s">
        <v>185</v>
      </c>
      <c r="F84" s="21" t="s">
        <v>186</v>
      </c>
      <c r="G84" s="21" t="s">
        <v>14</v>
      </c>
      <c r="H84" s="21" t="s">
        <v>234</v>
      </c>
      <c r="I84" s="28" t="s">
        <v>664</v>
      </c>
      <c r="J84" s="21" t="s">
        <v>503</v>
      </c>
      <c r="K84" s="21" t="s">
        <v>871</v>
      </c>
      <c r="L84" s="21" t="s">
        <v>643</v>
      </c>
      <c r="M84" s="21"/>
      <c r="N84" s="26" t="str">
        <f t="shared" si="1"/>
        <v>insert into CHB_DATACHECK_RULE_INV values ('de464A70-6813-5A9E-E050-007F01006A65','ProductReportRegister002','compareValue','repOutDepCtry','!=','CHN','Y','境外托管机构国别不能填写中国。','D','com.joyintech.tams.invest.common.ChbBaseCheckLib');</v>
      </c>
    </row>
    <row r="85" spans="1:14" s="22" customFormat="1">
      <c r="A85" s="21" t="s">
        <v>743</v>
      </c>
      <c r="B85" s="21" t="s">
        <v>605</v>
      </c>
      <c r="C85" s="21" t="s">
        <v>12</v>
      </c>
      <c r="D85" s="21" t="s">
        <v>232</v>
      </c>
      <c r="E85" s="21" t="s">
        <v>34</v>
      </c>
      <c r="F85" s="21" t="s">
        <v>30</v>
      </c>
      <c r="G85" s="21" t="s">
        <v>14</v>
      </c>
      <c r="H85" s="21" t="s">
        <v>236</v>
      </c>
      <c r="I85" s="21" t="s">
        <v>11</v>
      </c>
      <c r="J85" s="21" t="s">
        <v>744</v>
      </c>
      <c r="K85" s="21" t="s">
        <v>871</v>
      </c>
      <c r="L85" s="21" t="s">
        <v>643</v>
      </c>
      <c r="M85" s="21"/>
      <c r="N85" s="26" t="str">
        <f t="shared" si="1"/>
        <v>insert into CHB_DATACHECK_RULE_INV values ('de194A77-6813-5A9E-E050-007F01006A65','ProductReportRegister002','lessThanCharLength','repOutDepCtry','==','0','Y','境外托管机构国别要素必须为空','E','com.joyintech.tams.invest.common.ChbBaseCheckLib');</v>
      </c>
    </row>
    <row r="86" spans="1:14" s="22" customFormat="1">
      <c r="A86" s="21" t="s">
        <v>745</v>
      </c>
      <c r="B86" s="21" t="s">
        <v>605</v>
      </c>
      <c r="C86" s="21" t="s">
        <v>20</v>
      </c>
      <c r="D86" s="21" t="s">
        <v>232</v>
      </c>
      <c r="E86" s="21" t="s">
        <v>21</v>
      </c>
      <c r="F86" s="21" t="s">
        <v>178</v>
      </c>
      <c r="G86" s="21" t="s">
        <v>14</v>
      </c>
      <c r="H86" s="21" t="s">
        <v>237</v>
      </c>
      <c r="I86" s="21" t="s">
        <v>11</v>
      </c>
      <c r="J86" s="21" t="s">
        <v>503</v>
      </c>
      <c r="K86" s="21" t="s">
        <v>871</v>
      </c>
      <c r="L86" s="21" t="s">
        <v>643</v>
      </c>
      <c r="M86" s="21"/>
      <c r="N86" s="26" t="str">
        <f t="shared" si="1"/>
        <v>insert into CHB_DATACHECK_RULE_INV values ('de294A49-6813-5A9E-E050-007F01006B33','ProductReportRegister002','inDatadict','repOutDepCtry','&lt;','SVR_COUNTRY_AREA','Y','境外托管机构国别不在值域范围内并且境外托管机构国别的多选选项不可重复。','E','com.joyintech.tams.invest.common.ChbBaseCheckLib');</v>
      </c>
    </row>
    <row r="87" spans="1:14" s="22" customFormat="1">
      <c r="A87" s="21" t="s">
        <v>746</v>
      </c>
      <c r="B87" s="21" t="s">
        <v>605</v>
      </c>
      <c r="C87" s="21" t="s">
        <v>8</v>
      </c>
      <c r="D87" s="21" t="s">
        <v>122</v>
      </c>
      <c r="E87" s="21"/>
      <c r="F87" s="21"/>
      <c r="G87" s="21" t="s">
        <v>10</v>
      </c>
      <c r="H87" s="21" t="s">
        <v>543</v>
      </c>
      <c r="I87" s="21" t="s">
        <v>636</v>
      </c>
      <c r="J87" s="21" t="s">
        <v>501</v>
      </c>
      <c r="K87" s="21" t="s">
        <v>871</v>
      </c>
      <c r="L87" s="21" t="s">
        <v>643</v>
      </c>
      <c r="M87" s="21"/>
      <c r="N87" s="26" t="str">
        <f t="shared" si="1"/>
        <v>insert into CHB_DATACHECK_RULE_INV values ('de464A69-6813-5A9E-E050-007F01006A65','ProductReportRegister002','isNotEmpty','repInDepName','','','N','境内托管机构名称要素不可为空','D','com.joyintech.tams.invest.common.ChbBaseCheckLib');</v>
      </c>
    </row>
    <row r="88" spans="1:14" s="22" customFormat="1">
      <c r="A88" s="21" t="s">
        <v>747</v>
      </c>
      <c r="B88" s="21" t="s">
        <v>605</v>
      </c>
      <c r="C88" s="21" t="s">
        <v>12</v>
      </c>
      <c r="D88" s="21" t="s">
        <v>122</v>
      </c>
      <c r="E88" s="21" t="s">
        <v>34</v>
      </c>
      <c r="F88" s="21" t="s">
        <v>30</v>
      </c>
      <c r="G88" s="21" t="s">
        <v>14</v>
      </c>
      <c r="H88" s="21" t="s">
        <v>124</v>
      </c>
      <c r="I88" s="21" t="s">
        <v>11</v>
      </c>
      <c r="J88" s="21" t="s">
        <v>748</v>
      </c>
      <c r="K88" s="21" t="s">
        <v>871</v>
      </c>
      <c r="L88" s="21" t="s">
        <v>643</v>
      </c>
      <c r="M88" s="21"/>
      <c r="N88" s="26" t="str">
        <f t="shared" si="1"/>
        <v>insert into CHB_DATACHECK_RULE_INV values ('de304A71-6813-5A9E-E050-007F01006A66','ProductReportRegister002','lessThanCharLength','repInDepName','==','0','Y','境内托管机构名称要素必须为空','E','com.joyintech.tams.invest.common.ChbBaseCheckLib');</v>
      </c>
    </row>
    <row r="89" spans="1:14" s="22" customFormat="1">
      <c r="A89" s="21" t="s">
        <v>749</v>
      </c>
      <c r="B89" s="21" t="s">
        <v>605</v>
      </c>
      <c r="C89" s="21" t="s">
        <v>20</v>
      </c>
      <c r="D89" s="21" t="s">
        <v>122</v>
      </c>
      <c r="E89" s="21" t="s">
        <v>34</v>
      </c>
      <c r="F89" s="21" t="s">
        <v>125</v>
      </c>
      <c r="G89" s="21" t="s">
        <v>14</v>
      </c>
      <c r="H89" s="21" t="s">
        <v>126</v>
      </c>
      <c r="I89" s="21" t="s">
        <v>11</v>
      </c>
      <c r="J89" s="21" t="s">
        <v>501</v>
      </c>
      <c r="K89" s="21" t="s">
        <v>871</v>
      </c>
      <c r="L89" s="21" t="s">
        <v>643</v>
      </c>
      <c r="M89" s="21"/>
      <c r="N89" s="26" t="str">
        <f t="shared" si="1"/>
        <v>insert into CHB_DATACHECK_RULE_INV values ('1e4E4A67-6813-5A9E-E050-007F01006A67','ProductReportRegister002','inDatadict','repInDepName','==','SVR_IN_DEP_NAME','Y','境内托管机构名称不在值域范围内','E','com.joyintech.tams.invest.common.ChbBaseCheckLib');</v>
      </c>
    </row>
    <row r="90" spans="1:14" s="22" customFormat="1">
      <c r="A90" s="21" t="s">
        <v>750</v>
      </c>
      <c r="B90" s="21" t="s">
        <v>605</v>
      </c>
      <c r="C90" s="21" t="s">
        <v>12</v>
      </c>
      <c r="D90" s="21" t="s">
        <v>214</v>
      </c>
      <c r="E90" s="21" t="s">
        <v>34</v>
      </c>
      <c r="F90" s="21" t="s">
        <v>30</v>
      </c>
      <c r="G90" s="21" t="s">
        <v>14</v>
      </c>
      <c r="H90" s="21" t="s">
        <v>577</v>
      </c>
      <c r="I90" s="21" t="s">
        <v>11</v>
      </c>
      <c r="J90" s="21" t="s">
        <v>578</v>
      </c>
      <c r="K90" s="21" t="s">
        <v>871</v>
      </c>
      <c r="L90" s="21" t="s">
        <v>643</v>
      </c>
      <c r="M90" s="21"/>
      <c r="N90" s="26" t="str">
        <f t="shared" si="1"/>
        <v>insert into CHB_DATACHECK_RULE_INV values ('de304A73-6813-5A9E-E050-007F01006A66','ProductReportRegister002','lessThanCharLength','repInDepCode','==','0','Y','境内托管机构代码要素必须为空','E','com.joyintech.tams.invest.common.ChbBaseCheckLib');</v>
      </c>
    </row>
    <row r="91" spans="1:14" s="22" customFormat="1">
      <c r="A91" s="21" t="s">
        <v>752</v>
      </c>
      <c r="B91" s="21" t="s">
        <v>605</v>
      </c>
      <c r="C91" s="21" t="s">
        <v>12</v>
      </c>
      <c r="D91" s="21" t="s">
        <v>214</v>
      </c>
      <c r="E91" s="21" t="s">
        <v>34</v>
      </c>
      <c r="F91" s="21" t="s">
        <v>215</v>
      </c>
      <c r="G91" s="21" t="s">
        <v>14</v>
      </c>
      <c r="H91" s="21" t="s">
        <v>216</v>
      </c>
      <c r="I91" s="28" t="s">
        <v>664</v>
      </c>
      <c r="J91" s="21" t="s">
        <v>751</v>
      </c>
      <c r="K91" s="21" t="s">
        <v>871</v>
      </c>
      <c r="L91" s="21" t="s">
        <v>643</v>
      </c>
      <c r="M91" s="21"/>
      <c r="N91" s="26" t="str">
        <f t="shared" si="1"/>
        <v>insert into CHB_DATACHECK_RULE_INV values ('de494A74-6813-5A9E-E050-007F01006A65','ProductReportRegister002','lessThanCharLength','repInDepCode','==','13','Y','境内托管机构代码要素超长','D','com.joyintech.tams.invest.common.ChbBaseCheckLib');</v>
      </c>
    </row>
    <row r="92" spans="1:14" s="22" customFormat="1">
      <c r="A92" s="21" t="s">
        <v>753</v>
      </c>
      <c r="B92" s="21" t="s">
        <v>605</v>
      </c>
      <c r="C92" s="21" t="s">
        <v>16</v>
      </c>
      <c r="D92" s="21" t="s">
        <v>214</v>
      </c>
      <c r="E92" s="21"/>
      <c r="F92" s="21" t="s">
        <v>43</v>
      </c>
      <c r="G92" s="21" t="s">
        <v>14</v>
      </c>
      <c r="H92" s="21" t="s">
        <v>217</v>
      </c>
      <c r="I92" s="21" t="s">
        <v>11</v>
      </c>
      <c r="J92" s="21" t="s">
        <v>578</v>
      </c>
      <c r="K92" s="21" t="s">
        <v>871</v>
      </c>
      <c r="L92" s="21" t="s">
        <v>643</v>
      </c>
      <c r="M92" s="21"/>
      <c r="N92" s="26" t="str">
        <f t="shared" si="1"/>
        <v>insert into CHB_DATACHECK_RULE_INV values ('de294A49-6813-5A9E-E050-007F01006B18','ProductReportRegister002','isCustomizedStringForWhitelist','repInDepCode','','^[\u4e00-\u9fa5\ue815-\ue864\uff01-\uff5e\uffe0-\uffe5\u3000-\u3003\u3005-\u3017\u301d-\u301e\u2010\u2013-\u2016\u2018-\u2019\u201c-\u201d\u2025-\u2026\u2030\u2032-\u2033\u2035\u203b\u00b7\u0030-\u0039\u0041-\u005a\u0061-\u007a\u2160-\u216b\u0020-\u0026\u0028-\u007B\u007D\u007E]{0,}$','Y','境内托管机构代码必须填写白名单中的文字。','E','com.joyintech.tams.invest.common.ChbBaseCheckLib');</v>
      </c>
    </row>
    <row r="93" spans="1:14" s="22" customFormat="1">
      <c r="A93" s="21" t="s">
        <v>754</v>
      </c>
      <c r="B93" s="21" t="s">
        <v>605</v>
      </c>
      <c r="C93" s="21" t="s">
        <v>8</v>
      </c>
      <c r="D93" s="21" t="s">
        <v>261</v>
      </c>
      <c r="E93" s="21"/>
      <c r="F93" s="21"/>
      <c r="G93" s="21" t="s">
        <v>10</v>
      </c>
      <c r="H93" s="21" t="s">
        <v>595</v>
      </c>
      <c r="I93" s="21" t="s">
        <v>636</v>
      </c>
      <c r="J93" s="21" t="s">
        <v>596</v>
      </c>
      <c r="K93" s="21" t="s">
        <v>871</v>
      </c>
      <c r="L93" s="21" t="s">
        <v>643</v>
      </c>
      <c r="M93" s="21"/>
      <c r="N93" s="26" t="str">
        <f t="shared" si="1"/>
        <v>insert into CHB_DATACHECK_RULE_INV values ('de4E4A59-6813-5A9E-E050-107F01006A66','ProductReportRegister002','isNotEmpty','repRaiseAmtPlan','','','N','计划募集金额（元）要素不可为空。','D','com.joyintech.tams.invest.common.ChbBaseCheckLib');</v>
      </c>
    </row>
    <row r="94" spans="1:14" s="22" customFormat="1">
      <c r="A94" s="21" t="s">
        <v>755</v>
      </c>
      <c r="B94" s="21" t="s">
        <v>605</v>
      </c>
      <c r="C94" s="21" t="s">
        <v>25</v>
      </c>
      <c r="D94" s="21" t="s">
        <v>261</v>
      </c>
      <c r="E94" s="21"/>
      <c r="F94" s="21" t="s">
        <v>172</v>
      </c>
      <c r="G94" s="21" t="s">
        <v>14</v>
      </c>
      <c r="H94" s="21" t="s">
        <v>262</v>
      </c>
      <c r="I94" s="28" t="s">
        <v>664</v>
      </c>
      <c r="J94" s="21" t="s">
        <v>757</v>
      </c>
      <c r="K94" s="21" t="s">
        <v>871</v>
      </c>
      <c r="L94" s="21" t="s">
        <v>643</v>
      </c>
      <c r="M94" s="21"/>
      <c r="N94" s="26" t="str">
        <f t="shared" si="1"/>
        <v>insert into CHB_DATACHECK_RULE_INV values ('de4E4A59-6813-5A9E-E050-007F01006A66','ProductReportRegister002','isNumber2','repRaiseAmtPlan','','15,2','Y','计划募集金额（元）必须为n(15,2)格式','D','com.joyintech.tams.invest.common.ChbBaseCheckLib');</v>
      </c>
    </row>
    <row r="95" spans="1:14" s="25" customFormat="1">
      <c r="A95" s="21" t="s">
        <v>756</v>
      </c>
      <c r="B95" s="21" t="s">
        <v>605</v>
      </c>
      <c r="C95" s="21" t="s">
        <v>28</v>
      </c>
      <c r="D95" s="21" t="s">
        <v>261</v>
      </c>
      <c r="E95" s="21" t="s">
        <v>55</v>
      </c>
      <c r="F95" s="21" t="s">
        <v>30</v>
      </c>
      <c r="G95" s="21" t="s">
        <v>14</v>
      </c>
      <c r="H95" s="21" t="s">
        <v>263</v>
      </c>
      <c r="I95" s="28" t="s">
        <v>664</v>
      </c>
      <c r="J95" s="21" t="s">
        <v>596</v>
      </c>
      <c r="K95" s="21" t="s">
        <v>871</v>
      </c>
      <c r="L95" s="24" t="s">
        <v>643</v>
      </c>
      <c r="M95" s="24" t="s">
        <v>715</v>
      </c>
      <c r="N95" s="26" t="str">
        <f t="shared" si="1"/>
        <v>insert into CHB_DATACHECK_RULE_INV values ('de314A60-6813-5A9E-E050-007F01006A66','ProductReportRegister002','compareValueAsNumber','repRaiseAmtPlan','&gt;','0','Y','计划募集金额（元）必须大于0','D','com.joyintech.tams.invest.common.ChbBaseCheckLib');</v>
      </c>
    </row>
    <row r="96" spans="1:14" s="22" customFormat="1">
      <c r="A96" s="21" t="s">
        <v>758</v>
      </c>
      <c r="B96" s="21" t="s">
        <v>605</v>
      </c>
      <c r="C96" s="21" t="s">
        <v>8</v>
      </c>
      <c r="D96" s="21" t="s">
        <v>191</v>
      </c>
      <c r="E96" s="21"/>
      <c r="F96" s="21"/>
      <c r="G96" s="21" t="s">
        <v>10</v>
      </c>
      <c r="H96" s="21" t="s">
        <v>571</v>
      </c>
      <c r="I96" s="21" t="s">
        <v>636</v>
      </c>
      <c r="J96" s="21" t="s">
        <v>497</v>
      </c>
      <c r="K96" s="21" t="s">
        <v>871</v>
      </c>
      <c r="L96" s="21" t="s">
        <v>643</v>
      </c>
      <c r="M96" s="21"/>
      <c r="N96" s="26" t="str">
        <f t="shared" si="1"/>
        <v>insert into CHB_DATACHECK_RULE_INV values ('de464A49-6813-5A9E-E050-107F01006A65','ProductReportRegister002','isNotEmpty','repContMode','','','N','合作模式要素不可为空。','D','com.joyintech.tams.invest.common.ChbBaseCheckLib');</v>
      </c>
    </row>
    <row r="97" spans="1:14" s="22" customFormat="1">
      <c r="A97" s="21" t="s">
        <v>759</v>
      </c>
      <c r="B97" s="21" t="s">
        <v>605</v>
      </c>
      <c r="C97" s="21" t="s">
        <v>20</v>
      </c>
      <c r="D97" s="21" t="s">
        <v>191</v>
      </c>
      <c r="E97" s="21" t="s">
        <v>34</v>
      </c>
      <c r="F97" s="21" t="s">
        <v>192</v>
      </c>
      <c r="G97" s="21" t="s">
        <v>14</v>
      </c>
      <c r="H97" s="21" t="s">
        <v>193</v>
      </c>
      <c r="I97" s="21" t="s">
        <v>11</v>
      </c>
      <c r="J97" s="21" t="s">
        <v>760</v>
      </c>
      <c r="K97" s="21" t="s">
        <v>871</v>
      </c>
      <c r="L97" s="21" t="s">
        <v>643</v>
      </c>
      <c r="M97" s="21"/>
      <c r="N97" s="26" t="str">
        <f t="shared" si="1"/>
        <v>insert into CHB_DATACHECK_RULE_INV values ('de464A49-6813-5A9E-E050-007F01006A65','ProductReportRegister002','inDatadict','repContMode','==','SVR_CONTMODE','Y','合作模式不在值域范围内。','E','com.joyintech.tams.invest.common.ChbBaseCheckLib');</v>
      </c>
    </row>
    <row r="98" spans="1:14" s="22" customFormat="1">
      <c r="A98" s="21" t="s">
        <v>761</v>
      </c>
      <c r="B98" s="21" t="s">
        <v>605</v>
      </c>
      <c r="C98" s="21" t="s">
        <v>8</v>
      </c>
      <c r="D98" s="21" t="s">
        <v>269</v>
      </c>
      <c r="E98" s="21"/>
      <c r="F98" s="21"/>
      <c r="G98" s="21" t="s">
        <v>10</v>
      </c>
      <c r="H98" s="21" t="s">
        <v>593</v>
      </c>
      <c r="I98" s="28" t="s">
        <v>664</v>
      </c>
      <c r="J98" s="21" t="s">
        <v>594</v>
      </c>
      <c r="K98" s="21" t="s">
        <v>871</v>
      </c>
      <c r="L98" s="21" t="s">
        <v>643</v>
      </c>
      <c r="M98" s="21"/>
      <c r="N98" s="26" t="str">
        <f t="shared" si="1"/>
        <v>insert into CHB_DATACHECK_RULE_INV values ('de474A49-6813-5A9E-E050-007F01006A65','ProductReportRegister002','isNotEmpty','repCoopName','','','N','合作机构名称要素不可为空','D','com.joyintech.tams.invest.common.ChbBaseCheckLib');</v>
      </c>
    </row>
    <row r="99" spans="1:14" s="22" customFormat="1">
      <c r="A99" s="21" t="s">
        <v>762</v>
      </c>
      <c r="B99" s="21" t="s">
        <v>605</v>
      </c>
      <c r="C99" s="21" t="s">
        <v>12</v>
      </c>
      <c r="D99" s="21" t="s">
        <v>269</v>
      </c>
      <c r="E99" s="21" t="s">
        <v>34</v>
      </c>
      <c r="F99" s="21" t="s">
        <v>30</v>
      </c>
      <c r="G99" s="21" t="s">
        <v>14</v>
      </c>
      <c r="H99" s="21" t="s">
        <v>271</v>
      </c>
      <c r="I99" s="21" t="s">
        <v>764</v>
      </c>
      <c r="J99" s="21" t="s">
        <v>763</v>
      </c>
      <c r="K99" s="21" t="s">
        <v>871</v>
      </c>
      <c r="L99" s="21" t="s">
        <v>643</v>
      </c>
      <c r="M99" s="21"/>
      <c r="N99" s="26" t="str">
        <f t="shared" si="1"/>
        <v>insert into CHB_DATACHECK_RULE_INV values ('de484A49-6813-5A9E-E050-007F01006A65','ProductReportRegister002','lessThanCharLength','repCoopName','==','0','Y','合作机构名称要素必须为空','E','com.joyintech.tams.invest.common.ChbBaseCheckLib');</v>
      </c>
    </row>
    <row r="100" spans="1:14" s="22" customFormat="1">
      <c r="A100" s="21" t="s">
        <v>765</v>
      </c>
      <c r="B100" s="21" t="s">
        <v>605</v>
      </c>
      <c r="C100" s="21" t="s">
        <v>12</v>
      </c>
      <c r="D100" s="21" t="s">
        <v>269</v>
      </c>
      <c r="E100" s="21"/>
      <c r="F100" s="21" t="s">
        <v>113</v>
      </c>
      <c r="G100" s="21" t="s">
        <v>14</v>
      </c>
      <c r="H100" s="21" t="s">
        <v>272</v>
      </c>
      <c r="I100" s="24" t="s">
        <v>865</v>
      </c>
      <c r="J100" s="21" t="s">
        <v>594</v>
      </c>
      <c r="K100" s="21" t="s">
        <v>871</v>
      </c>
      <c r="L100" s="21" t="s">
        <v>643</v>
      </c>
      <c r="M100" s="21"/>
      <c r="N100" s="26" t="str">
        <f t="shared" si="1"/>
        <v>insert into CHB_DATACHECK_RULE_INV values ('1e464A49-6813-5A9E-E050-007F01006A66','ProductReportRegister002','lessThanCharLength','repCoopName','','121','Y','合作机构名称要素超长（最大长）120','E','com.joyintech.tams.invest.common.ChbBaseCheckLib');</v>
      </c>
    </row>
    <row r="101" spans="1:14" s="22" customFormat="1">
      <c r="A101" s="21" t="s">
        <v>766</v>
      </c>
      <c r="B101" s="21" t="s">
        <v>605</v>
      </c>
      <c r="C101" s="21" t="s">
        <v>16</v>
      </c>
      <c r="D101" s="21" t="s">
        <v>269</v>
      </c>
      <c r="E101" s="21"/>
      <c r="F101" s="21" t="s">
        <v>43</v>
      </c>
      <c r="G101" s="21" t="s">
        <v>14</v>
      </c>
      <c r="H101" s="21" t="s">
        <v>273</v>
      </c>
      <c r="I101" s="21" t="s">
        <v>11</v>
      </c>
      <c r="J101" s="21" t="s">
        <v>594</v>
      </c>
      <c r="K101" s="21" t="s">
        <v>871</v>
      </c>
      <c r="L101" s="21" t="s">
        <v>643</v>
      </c>
      <c r="M101" s="21"/>
      <c r="N101" s="26" t="str">
        <f t="shared" si="1"/>
        <v>insert into CHB_DATACHECK_RULE_INV values ('de294A49-6813-5A9E-E050-007F01006B21','ProductReportRegister002','isCustomizedStringForWhitelist','repCoopName','','^[\u4e00-\u9fa5\ue815-\ue864\uff01-\uff5e\uffe0-\uffe5\u3000-\u3003\u3005-\u3017\u301d-\u301e\u2010\u2013-\u2016\u2018-\u2019\u201c-\u201d\u2025-\u2026\u2030\u2032-\u2033\u2035\u203b\u00b7\u0030-\u0039\u0041-\u005a\u0061-\u007a\u2160-\u216b\u0020-\u0026\u0028-\u007B\u007D\u007E]{0,}$','Y','合作机构名称必须填写白名单中的文字。','E','com.joyintech.tams.invest.common.ChbBaseCheckLib');</v>
      </c>
    </row>
    <row r="102" spans="1:14" s="22" customFormat="1">
      <c r="A102" s="21" t="s">
        <v>767</v>
      </c>
      <c r="B102" s="21" t="s">
        <v>605</v>
      </c>
      <c r="C102" s="21" t="s">
        <v>8</v>
      </c>
      <c r="D102" s="21" t="s">
        <v>9</v>
      </c>
      <c r="E102" s="21"/>
      <c r="F102" s="21"/>
      <c r="G102" s="21" t="s">
        <v>10</v>
      </c>
      <c r="H102" s="21" t="s">
        <v>506</v>
      </c>
      <c r="I102" s="27" t="s">
        <v>664</v>
      </c>
      <c r="J102" s="21" t="s">
        <v>507</v>
      </c>
      <c r="K102" s="21" t="s">
        <v>871</v>
      </c>
      <c r="L102" s="21" t="s">
        <v>643</v>
      </c>
      <c r="M102" s="21"/>
      <c r="N102" s="26" t="str">
        <f t="shared" si="1"/>
        <v>insert into CHB_DATACHECK_RULE_INV values ('de2E4A49-6813-5A9E-E050-007F01006A66','ProductReportRegister002','isNotEmpty','repFinprodInsId','','','N','行内标识码要素不可为空。','D','com.joyintech.tams.invest.common.ChbBaseCheckLib');</v>
      </c>
    </row>
    <row r="103" spans="1:14" s="22" customFormat="1">
      <c r="A103" s="21" t="s">
        <v>768</v>
      </c>
      <c r="B103" s="21" t="s">
        <v>605</v>
      </c>
      <c r="C103" s="21" t="s">
        <v>12</v>
      </c>
      <c r="D103" s="21" t="s">
        <v>9</v>
      </c>
      <c r="E103" s="21"/>
      <c r="F103" s="21" t="s">
        <v>13</v>
      </c>
      <c r="G103" s="21" t="s">
        <v>14</v>
      </c>
      <c r="H103" s="21" t="s">
        <v>15</v>
      </c>
      <c r="I103" s="21" t="s">
        <v>11</v>
      </c>
      <c r="J103" s="21" t="s">
        <v>507</v>
      </c>
      <c r="K103" s="21" t="s">
        <v>871</v>
      </c>
      <c r="L103" s="21" t="s">
        <v>643</v>
      </c>
      <c r="M103" s="21"/>
      <c r="N103" s="26" t="str">
        <f t="shared" si="1"/>
        <v>insert into CHB_DATACHECK_RULE_INV values ('de2E4A49-6813-5A9E-E050-107F01006A66','ProductReportRegister002','lessThanCharLength','repFinprodInsId','','101','Y','行内标识码超长（最大长100）。','E','com.joyintech.tams.invest.common.ChbBaseCheckLib');</v>
      </c>
    </row>
    <row r="104" spans="1:14" s="22" customFormat="1">
      <c r="A104" s="21" t="s">
        <v>769</v>
      </c>
      <c r="B104" s="21" t="s">
        <v>605</v>
      </c>
      <c r="C104" s="21" t="s">
        <v>16</v>
      </c>
      <c r="D104" s="21" t="s">
        <v>9</v>
      </c>
      <c r="E104" s="21"/>
      <c r="F104" s="21" t="s">
        <v>17</v>
      </c>
      <c r="G104" s="21" t="s">
        <v>14</v>
      </c>
      <c r="H104" s="21" t="s">
        <v>18</v>
      </c>
      <c r="I104" s="21" t="s">
        <v>11</v>
      </c>
      <c r="J104" s="21" t="s">
        <v>507</v>
      </c>
      <c r="K104" s="21" t="s">
        <v>871</v>
      </c>
      <c r="L104" s="21" t="s">
        <v>643</v>
      </c>
      <c r="M104" s="21"/>
      <c r="N104" s="26" t="str">
        <f t="shared" si="1"/>
        <v>insert into CHB_DATACHECK_RULE_INV values ('de294A49-6813-5A9E-E050-007F01006B12','ProductReportRegister002','isCustomizedStringForWhitelist','repFinprodInsId','','^[\u0030-\u0039\u0041-\u005a\u0061-\u007a\u0020-\u0026\u0028-\u007B\u007D\u007E]{0,}$','Y','行内标识码只能含有白名单内的阿拉伯数字，英文字母，半角符号，全角符号。','E','com.joyintech.tams.invest.common.ChbBaseCheckLib');</v>
      </c>
    </row>
    <row r="105" spans="1:14" s="22" customFormat="1">
      <c r="A105" s="21" t="s">
        <v>770</v>
      </c>
      <c r="B105" s="21" t="s">
        <v>605</v>
      </c>
      <c r="C105" s="21" t="s">
        <v>8</v>
      </c>
      <c r="D105" s="21" t="s">
        <v>140</v>
      </c>
      <c r="E105" s="21"/>
      <c r="F105" s="21"/>
      <c r="G105" s="21" t="s">
        <v>10</v>
      </c>
      <c r="H105" s="21" t="s">
        <v>551</v>
      </c>
      <c r="I105" s="28" t="s">
        <v>664</v>
      </c>
      <c r="J105" s="21" t="s">
        <v>772</v>
      </c>
      <c r="K105" s="21" t="s">
        <v>871</v>
      </c>
      <c r="L105" s="21" t="s">
        <v>643</v>
      </c>
      <c r="M105" s="21"/>
      <c r="N105" s="26" t="str">
        <f t="shared" si="1"/>
        <v>insert into CHB_DATACHECK_RULE_INV values ('de464101-6813-5A9E-E050-107F01006A65','ProductReportRegister002','isNotEmpty','repTermRightFlag','','','N','发行机构提前终止权标识要素不可为空。','D','com.joyintech.tams.invest.common.ChbBaseCheckLib');</v>
      </c>
    </row>
    <row r="106" spans="1:14" s="22" customFormat="1">
      <c r="A106" s="21" t="s">
        <v>771</v>
      </c>
      <c r="B106" s="21" t="s">
        <v>605</v>
      </c>
      <c r="C106" s="21" t="s">
        <v>20</v>
      </c>
      <c r="D106" s="21" t="s">
        <v>140</v>
      </c>
      <c r="E106" s="21" t="s">
        <v>34</v>
      </c>
      <c r="F106" s="21" t="s">
        <v>141</v>
      </c>
      <c r="G106" s="21" t="s">
        <v>14</v>
      </c>
      <c r="H106" s="21" t="s">
        <v>142</v>
      </c>
      <c r="I106" s="21" t="s">
        <v>11</v>
      </c>
      <c r="J106" s="21" t="s">
        <v>552</v>
      </c>
      <c r="K106" s="21" t="s">
        <v>871</v>
      </c>
      <c r="L106" s="21" t="s">
        <v>643</v>
      </c>
      <c r="M106" s="21"/>
      <c r="N106" s="26" t="str">
        <f t="shared" si="1"/>
        <v>insert into CHB_DATACHECK_RULE_INV values ('de464101-6813-5A9E-E050-007F01006A65','ProductReportRegister002','inDatadict','repTermRightFlag','==','SVR_HAVE_OR_NOT','Y','发行机构提前终止权标识不在值域范围内。','E','com.joyintech.tams.invest.common.ChbBaseCheckLib');</v>
      </c>
    </row>
    <row r="107" spans="1:14" s="22" customFormat="1">
      <c r="A107" s="21" t="s">
        <v>773</v>
      </c>
      <c r="B107" s="21" t="s">
        <v>605</v>
      </c>
      <c r="C107" s="21" t="s">
        <v>8</v>
      </c>
      <c r="D107" s="21" t="s">
        <v>101</v>
      </c>
      <c r="E107" s="21"/>
      <c r="F107" s="21"/>
      <c r="G107" s="21" t="s">
        <v>10</v>
      </c>
      <c r="H107" s="21" t="s">
        <v>536</v>
      </c>
      <c r="I107" s="28" t="s">
        <v>664</v>
      </c>
      <c r="J107" s="21" t="s">
        <v>537</v>
      </c>
      <c r="K107" s="21" t="s">
        <v>871</v>
      </c>
      <c r="L107" s="21" t="s">
        <v>643</v>
      </c>
      <c r="M107" s="21"/>
      <c r="N107" s="26" t="str">
        <f t="shared" si="1"/>
        <v>insert into CHB_DATACHECK_RULE_INV values ('de5E4A49-6813-5A9E-E050-007F01006A66','ProductReportRegister002','isNotEmpty','repIssuePartyId','','','N','发行机构代码要素不可为空。','D','com.joyintech.tams.invest.common.ChbBaseCheckLib');</v>
      </c>
    </row>
    <row r="108" spans="1:14" s="22" customFormat="1">
      <c r="A108" s="21" t="s">
        <v>774</v>
      </c>
      <c r="B108" s="21" t="s">
        <v>605</v>
      </c>
      <c r="C108" s="21" t="s">
        <v>102</v>
      </c>
      <c r="D108" s="21" t="s">
        <v>101</v>
      </c>
      <c r="E108" s="21"/>
      <c r="F108" s="21" t="s">
        <v>103</v>
      </c>
      <c r="G108" s="21" t="s">
        <v>14</v>
      </c>
      <c r="H108" s="21" t="s">
        <v>104</v>
      </c>
      <c r="I108" s="21" t="s">
        <v>636</v>
      </c>
      <c r="J108" s="21" t="s">
        <v>537</v>
      </c>
      <c r="K108" s="21" t="s">
        <v>871</v>
      </c>
      <c r="L108" s="21" t="s">
        <v>643</v>
      </c>
      <c r="M108" s="21"/>
      <c r="N108" s="26" t="str">
        <f t="shared" si="1"/>
        <v>insert into CHB_DATACHECK_RULE_INV values ('de294A49-6813-5A9E-E050-007F01006B24','ProductReportRegister002','isCustomizedString','repIssuePartyId','','^[0-9a-zA-Z]{6}$','Y','发行机构代码要素格式不对。正确的格式：6位英文或数字。','D','com.joyintech.tams.invest.common.ChbBaseCheckLib');</v>
      </c>
    </row>
    <row r="109" spans="1:14" s="22" customFormat="1">
      <c r="A109" s="21" t="s">
        <v>775</v>
      </c>
      <c r="B109" s="21" t="s">
        <v>605</v>
      </c>
      <c r="C109" s="21" t="s">
        <v>8</v>
      </c>
      <c r="D109" s="21" t="s">
        <v>65</v>
      </c>
      <c r="E109" s="21"/>
      <c r="F109" s="21"/>
      <c r="G109" s="21" t="s">
        <v>10</v>
      </c>
      <c r="H109" s="21" t="s">
        <v>523</v>
      </c>
      <c r="I109" s="28" t="s">
        <v>664</v>
      </c>
      <c r="J109" s="21" t="s">
        <v>779</v>
      </c>
      <c r="K109" s="21" t="s">
        <v>871</v>
      </c>
      <c r="L109" s="21" t="s">
        <v>643</v>
      </c>
      <c r="M109" s="21"/>
      <c r="N109" s="26" t="str">
        <f t="shared" si="1"/>
        <v>insert into CHB_DATACHECK_RULE_INV values ('de194A56-6813-5A9E-E050-007F01006A65','ProductReportRegister002','isNotEmpty','repCashProfCcy','','','N','兑付收益币种要素不可为空','D','com.joyintech.tams.invest.common.ChbBaseCheckLib');</v>
      </c>
    </row>
    <row r="110" spans="1:14" s="22" customFormat="1">
      <c r="A110" s="21" t="s">
        <v>776</v>
      </c>
      <c r="B110" s="21" t="s">
        <v>605</v>
      </c>
      <c r="C110" s="21" t="s">
        <v>20</v>
      </c>
      <c r="D110" s="21" t="s">
        <v>65</v>
      </c>
      <c r="E110" s="21" t="s">
        <v>21</v>
      </c>
      <c r="F110" s="21" t="s">
        <v>22</v>
      </c>
      <c r="G110" s="21" t="s">
        <v>14</v>
      </c>
      <c r="H110" s="21" t="s">
        <v>66</v>
      </c>
      <c r="I110" s="21" t="s">
        <v>11</v>
      </c>
      <c r="J110" s="21" t="s">
        <v>488</v>
      </c>
      <c r="K110" s="21" t="s">
        <v>871</v>
      </c>
      <c r="L110" s="21" t="s">
        <v>643</v>
      </c>
      <c r="M110" s="21"/>
      <c r="N110" s="26" t="str">
        <f t="shared" si="1"/>
        <v>insert into CHB_DATACHECK_RULE_INV values ('de294A49-6813-5A9E-E050-007F01006B32','ProductReportRegister002','inDatadict','repCashProfCcy','&lt;','CURRENCY_CHB','Y','兑付收益币种不在值域范围内并且兑付收益币种的多选选项不可重复。','E','com.joyintech.tams.invest.common.ChbBaseCheckLib');</v>
      </c>
    </row>
    <row r="111" spans="1:14" s="22" customFormat="1">
      <c r="A111" s="21" t="s">
        <v>777</v>
      </c>
      <c r="B111" s="21" t="s">
        <v>605</v>
      </c>
      <c r="C111" s="21" t="s">
        <v>8</v>
      </c>
      <c r="D111" s="21" t="s">
        <v>19</v>
      </c>
      <c r="E111" s="21"/>
      <c r="F111" s="21"/>
      <c r="G111" s="21" t="s">
        <v>10</v>
      </c>
      <c r="H111" s="21" t="s">
        <v>508</v>
      </c>
      <c r="I111" s="28" t="s">
        <v>664</v>
      </c>
      <c r="J111" s="21" t="s">
        <v>499</v>
      </c>
      <c r="K111" s="21" t="s">
        <v>871</v>
      </c>
      <c r="L111" s="21" t="s">
        <v>643</v>
      </c>
      <c r="M111" s="21"/>
      <c r="N111" s="26" t="str">
        <f t="shared" si="1"/>
        <v>insert into CHB_DATACHECK_RULE_INV values ('de194A55-6813-5A9E-E050-007F01006A65','ProductReportRegister002','isNotEmpty','repCashPrinCcy','','','N','兑付本金币种要素不可为空','D','com.joyintech.tams.invest.common.ChbBaseCheckLib');</v>
      </c>
    </row>
    <row r="112" spans="1:14" s="22" customFormat="1">
      <c r="A112" s="21" t="s">
        <v>778</v>
      </c>
      <c r="B112" s="21" t="s">
        <v>605</v>
      </c>
      <c r="C112" s="21" t="s">
        <v>20</v>
      </c>
      <c r="D112" s="21" t="s">
        <v>19</v>
      </c>
      <c r="E112" s="21" t="s">
        <v>21</v>
      </c>
      <c r="F112" s="21" t="s">
        <v>22</v>
      </c>
      <c r="G112" s="21" t="s">
        <v>14</v>
      </c>
      <c r="H112" s="21" t="s">
        <v>23</v>
      </c>
      <c r="I112" s="21" t="s">
        <v>11</v>
      </c>
      <c r="J112" s="21" t="s">
        <v>499</v>
      </c>
      <c r="K112" s="21" t="s">
        <v>871</v>
      </c>
      <c r="L112" s="21" t="s">
        <v>643</v>
      </c>
      <c r="M112" s="21"/>
      <c r="N112" s="26" t="str">
        <f t="shared" si="1"/>
        <v>insert into CHB_DATACHECK_RULE_INV values ('de294A49-6813-5A9E-E050-007F01006B31','ProductReportRegister002','inDatadict','repCashPrinCcy','&lt;','CURRENCY_CHB','Y','兑付本金币种不在值域范围内并且兑付本金币种的多选选项不可重复。','E','com.joyintech.tams.invest.common.ChbBaseCheckLib');</v>
      </c>
    </row>
    <row r="113" spans="1:14" s="22" customFormat="1">
      <c r="A113" s="21" t="s">
        <v>780</v>
      </c>
      <c r="B113" s="21" t="s">
        <v>605</v>
      </c>
      <c r="C113" s="21" t="s">
        <v>8</v>
      </c>
      <c r="D113" s="21" t="s">
        <v>69</v>
      </c>
      <c r="E113" s="21"/>
      <c r="F113" s="21"/>
      <c r="G113" s="21" t="s">
        <v>10</v>
      </c>
      <c r="H113" s="21" t="s">
        <v>525</v>
      </c>
      <c r="I113" s="21" t="s">
        <v>636</v>
      </c>
      <c r="J113" s="21" t="s">
        <v>526</v>
      </c>
      <c r="K113" s="21" t="s">
        <v>871</v>
      </c>
      <c r="L113" s="21" t="s">
        <v>643</v>
      </c>
      <c r="M113" s="21"/>
      <c r="N113" s="26" t="str">
        <f t="shared" si="1"/>
        <v>insert into CHB_DATACHECK_RULE_INV values ('de384A49-6813-5A9E-E050-107F01006A65','ProductReportRegister002','isNotEmpty','repCmmode','','','N','产品资产配置方式要素不可为空。','D','com.joyintech.tams.invest.common.ChbBaseCheckLib');</v>
      </c>
    </row>
    <row r="114" spans="1:14" s="22" customFormat="1">
      <c r="A114" s="21" t="s">
        <v>781</v>
      </c>
      <c r="B114" s="21" t="s">
        <v>605</v>
      </c>
      <c r="C114" s="21" t="s">
        <v>20</v>
      </c>
      <c r="D114" s="21" t="s">
        <v>69</v>
      </c>
      <c r="E114" s="21" t="s">
        <v>34</v>
      </c>
      <c r="F114" s="21" t="s">
        <v>70</v>
      </c>
      <c r="G114" s="21" t="s">
        <v>14</v>
      </c>
      <c r="H114" s="21" t="s">
        <v>71</v>
      </c>
      <c r="I114" s="21" t="s">
        <v>11</v>
      </c>
      <c r="J114" s="21" t="s">
        <v>782</v>
      </c>
      <c r="K114" s="21" t="s">
        <v>871</v>
      </c>
      <c r="L114" s="21" t="s">
        <v>643</v>
      </c>
      <c r="M114" s="21"/>
      <c r="N114" s="26" t="str">
        <f t="shared" si="1"/>
        <v>insert into CHB_DATACHECK_RULE_INV values ('de384A49-6813-5A9E-E050-007F01006A65','ProductReportRegister002','inDatadict','repCmmode','==','SVR_CMMODE','Y','产品资产配置方式不在值域范围内。','E','com.joyintech.tams.invest.common.ChbBaseCheckLib');</v>
      </c>
    </row>
    <row r="115" spans="1:14" s="22" customFormat="1">
      <c r="A115" s="21" t="s">
        <v>783</v>
      </c>
      <c r="B115" s="21" t="s">
        <v>605</v>
      </c>
      <c r="C115" s="21" t="s">
        <v>8</v>
      </c>
      <c r="D115" s="21" t="s">
        <v>245</v>
      </c>
      <c r="E115" s="21"/>
      <c r="F115" s="21"/>
      <c r="G115" s="21" t="s">
        <v>10</v>
      </c>
      <c r="H115" s="21" t="s">
        <v>590</v>
      </c>
      <c r="I115" s="21" t="s">
        <v>636</v>
      </c>
      <c r="J115" s="21" t="s">
        <v>591</v>
      </c>
      <c r="K115" s="21" t="s">
        <v>871</v>
      </c>
      <c r="L115" s="21" t="s">
        <v>643</v>
      </c>
      <c r="M115" s="21"/>
      <c r="N115" s="26" t="str">
        <f t="shared" si="1"/>
        <v>insert into CHB_DATACHECK_RULE_INV values ('de464A88-6813-5A9E-E050-007F01006A65','ProductReportRegister002','isNotEmpty','repCreditMode','','','N','产品增信形式要素不可为空','D','com.joyintech.tams.invest.common.ChbBaseCheckLib');</v>
      </c>
    </row>
    <row r="116" spans="1:14" s="22" customFormat="1">
      <c r="A116" s="21" t="s">
        <v>785</v>
      </c>
      <c r="B116" s="21" t="s">
        <v>605</v>
      </c>
      <c r="C116" s="21" t="s">
        <v>12</v>
      </c>
      <c r="D116" s="21" t="s">
        <v>245</v>
      </c>
      <c r="E116" s="21" t="s">
        <v>34</v>
      </c>
      <c r="F116" s="21" t="s">
        <v>30</v>
      </c>
      <c r="G116" s="21" t="s">
        <v>14</v>
      </c>
      <c r="H116" s="21" t="s">
        <v>247</v>
      </c>
      <c r="I116" s="21" t="s">
        <v>11</v>
      </c>
      <c r="J116" s="21" t="s">
        <v>787</v>
      </c>
      <c r="K116" s="21" t="s">
        <v>871</v>
      </c>
      <c r="L116" s="21" t="s">
        <v>643</v>
      </c>
      <c r="M116" s="21"/>
      <c r="N116" s="26" t="str">
        <f t="shared" si="1"/>
        <v>insert into CHB_DATACHECK_RULE_INV values ('de194A89-6813-5A9E-E050-007F01006A65','ProductReportRegister002','lessThanCharLength','repCreditMode','==','0','Y','产品增信形式要素必须为空','E','com.joyintech.tams.invest.common.ChbBaseCheckLib');</v>
      </c>
    </row>
    <row r="117" spans="1:14" s="22" customFormat="1">
      <c r="A117" s="21" t="s">
        <v>790</v>
      </c>
      <c r="B117" s="21" t="s">
        <v>605</v>
      </c>
      <c r="C117" s="21" t="s">
        <v>20</v>
      </c>
      <c r="D117" s="21" t="s">
        <v>245</v>
      </c>
      <c r="E117" s="21" t="s">
        <v>34</v>
      </c>
      <c r="F117" s="21" t="s">
        <v>248</v>
      </c>
      <c r="G117" s="21" t="s">
        <v>14</v>
      </c>
      <c r="H117" s="21" t="s">
        <v>249</v>
      </c>
      <c r="I117" s="21" t="s">
        <v>11</v>
      </c>
      <c r="J117" s="21" t="s">
        <v>787</v>
      </c>
      <c r="K117" s="21" t="s">
        <v>871</v>
      </c>
      <c r="L117" s="21" t="s">
        <v>643</v>
      </c>
      <c r="M117" s="21"/>
      <c r="N117" s="26" t="str">
        <f t="shared" si="1"/>
        <v>insert into CHB_DATACHECK_RULE_INV values ('1e184A86-6813-5A9E-E050-007F01006A66','ProductReportRegister002','inDatadict','repCreditMode','==','SVR_CREDIT_MODE','Y','产品增信形式要素不在值域范围内','E','com.joyintech.tams.invest.common.ChbBaseCheckLib');</v>
      </c>
    </row>
    <row r="118" spans="1:14" s="22" customFormat="1">
      <c r="A118" s="21" t="s">
        <v>784</v>
      </c>
      <c r="B118" s="21" t="s">
        <v>605</v>
      </c>
      <c r="C118" s="21" t="s">
        <v>8</v>
      </c>
      <c r="D118" s="21" t="s">
        <v>239</v>
      </c>
      <c r="E118" s="21"/>
      <c r="F118" s="21"/>
      <c r="G118" s="21" t="s">
        <v>10</v>
      </c>
      <c r="H118" s="21" t="s">
        <v>592</v>
      </c>
      <c r="I118" s="21" t="s">
        <v>636</v>
      </c>
      <c r="J118" s="21" t="s">
        <v>788</v>
      </c>
      <c r="K118" s="21" t="s">
        <v>871</v>
      </c>
      <c r="L118" s="21" t="s">
        <v>643</v>
      </c>
      <c r="M118" s="21"/>
      <c r="N118" s="26" t="str">
        <f t="shared" si="1"/>
        <v>insert into CHB_DATACHECK_RULE_INV values ('de184A86-6813-5A9E-E050-007F01006A65','ProductReportRegister002','isNotEmpty','repCreditType','','','N','产品增信机构类型要素不可为空','D','com.joyintech.tams.invest.common.ChbBaseCheckLib');</v>
      </c>
    </row>
    <row r="119" spans="1:14" s="22" customFormat="1">
      <c r="A119" s="21" t="s">
        <v>786</v>
      </c>
      <c r="B119" s="21" t="s">
        <v>605</v>
      </c>
      <c r="C119" s="21" t="s">
        <v>12</v>
      </c>
      <c r="D119" s="21" t="s">
        <v>239</v>
      </c>
      <c r="E119" s="21" t="s">
        <v>34</v>
      </c>
      <c r="F119" s="21" t="s">
        <v>30</v>
      </c>
      <c r="G119" s="21" t="s">
        <v>14</v>
      </c>
      <c r="H119" s="21" t="s">
        <v>241</v>
      </c>
      <c r="I119" s="21" t="s">
        <v>11</v>
      </c>
      <c r="J119" s="21" t="s">
        <v>788</v>
      </c>
      <c r="K119" s="21" t="s">
        <v>871</v>
      </c>
      <c r="L119" s="21" t="s">
        <v>643</v>
      </c>
      <c r="M119" s="21"/>
      <c r="N119" s="26" t="str">
        <f t="shared" si="1"/>
        <v>insert into CHB_DATACHECK_RULE_INV values ('de194A87-6813-5A9E-E050-007F01006A65','ProductReportRegister002','lessThanCharLength','repCreditType','==','0','Y','产品增信机构类型要素必须为空','E','com.joyintech.tams.invest.common.ChbBaseCheckLib');</v>
      </c>
    </row>
    <row r="120" spans="1:14" s="22" customFormat="1">
      <c r="A120" s="21" t="s">
        <v>789</v>
      </c>
      <c r="B120" s="21" t="s">
        <v>605</v>
      </c>
      <c r="C120" s="21" t="s">
        <v>20</v>
      </c>
      <c r="D120" s="21" t="s">
        <v>239</v>
      </c>
      <c r="E120" s="21" t="s">
        <v>21</v>
      </c>
      <c r="F120" s="21" t="s">
        <v>242</v>
      </c>
      <c r="G120" s="21" t="s">
        <v>14</v>
      </c>
      <c r="H120" s="21" t="s">
        <v>243</v>
      </c>
      <c r="I120" s="21" t="s">
        <v>11</v>
      </c>
      <c r="J120" s="21" t="s">
        <v>788</v>
      </c>
      <c r="K120" s="21" t="s">
        <v>871</v>
      </c>
      <c r="L120" s="21" t="s">
        <v>643</v>
      </c>
      <c r="M120" s="21"/>
      <c r="N120" s="26" t="str">
        <f t="shared" si="1"/>
        <v>insert into CHB_DATACHECK_RULE_INV values ('de294A49-6813-5A9E-E050-007F01006B35','ProductReportRegister002','inDatadict','repCreditType','&lt;','SVR_CREDIT_TYPE','Y','产品增信机构类型不在值域范围内并且产品增信机构类型的多选选项不可重复。','E','com.joyintech.tams.invest.common.ChbBaseCheckLib');</v>
      </c>
    </row>
    <row r="121" spans="1:14" s="22" customFormat="1">
      <c r="A121" s="21" t="s">
        <v>792</v>
      </c>
      <c r="B121" s="21" t="s">
        <v>605</v>
      </c>
      <c r="C121" s="21" t="s">
        <v>8</v>
      </c>
      <c r="D121" s="21" t="s">
        <v>67</v>
      </c>
      <c r="E121" s="21"/>
      <c r="F121" s="21"/>
      <c r="G121" s="21" t="s">
        <v>10</v>
      </c>
      <c r="H121" s="21" t="s">
        <v>524</v>
      </c>
      <c r="I121" s="21" t="s">
        <v>664</v>
      </c>
      <c r="J121" s="21" t="s">
        <v>791</v>
      </c>
      <c r="K121" s="21" t="s">
        <v>871</v>
      </c>
      <c r="L121" s="21" t="s">
        <v>643</v>
      </c>
      <c r="M121" s="21"/>
      <c r="N121" s="26" t="str">
        <f t="shared" si="1"/>
        <v>insert into CHB_DATACHECK_RULE_INV values ('de464A85-6813-5A9E-E050-107F01006A65','ProductReportRegister002','isNotEmpty','repCreditFlag','','','N','产品增信标识要素不可为空。','D','com.joyintech.tams.invest.common.ChbBaseCheckLib');</v>
      </c>
    </row>
    <row r="122" spans="1:14" s="22" customFormat="1">
      <c r="A122" s="21" t="s">
        <v>793</v>
      </c>
      <c r="B122" s="21" t="s">
        <v>605</v>
      </c>
      <c r="C122" s="21" t="s">
        <v>20</v>
      </c>
      <c r="D122" s="21" t="s">
        <v>67</v>
      </c>
      <c r="E122" s="21" t="s">
        <v>34</v>
      </c>
      <c r="F122" s="21" t="s">
        <v>46</v>
      </c>
      <c r="G122" s="21" t="s">
        <v>14</v>
      </c>
      <c r="H122" s="21" t="s">
        <v>68</v>
      </c>
      <c r="I122" s="21" t="s">
        <v>11</v>
      </c>
      <c r="J122" s="21" t="s">
        <v>493</v>
      </c>
      <c r="K122" s="21" t="s">
        <v>871</v>
      </c>
      <c r="L122" s="21" t="s">
        <v>643</v>
      </c>
      <c r="M122" s="21"/>
      <c r="N122" s="26" t="str">
        <f t="shared" si="1"/>
        <v>insert into CHB_DATACHECK_RULE_INV values ('de464A85-6813-5A9E-E050-007F01006A65','ProductReportRegister002','inDatadict','repCreditFlag','==','YES_NO','Y','产品增信标识不在值域范围内。','E','com.joyintech.tams.invest.common.ChbBaseCheckLib');</v>
      </c>
    </row>
    <row r="123" spans="1:14" s="22" customFormat="1">
      <c r="A123" s="21" t="s">
        <v>794</v>
      </c>
      <c r="B123" s="21" t="s">
        <v>605</v>
      </c>
      <c r="C123" s="21" t="s">
        <v>8</v>
      </c>
      <c r="D123" s="21" t="s">
        <v>250</v>
      </c>
      <c r="E123" s="21"/>
      <c r="F123" s="21"/>
      <c r="G123" s="21" t="s">
        <v>10</v>
      </c>
      <c r="H123" s="21" t="s">
        <v>589</v>
      </c>
      <c r="I123" s="21" t="s">
        <v>636</v>
      </c>
      <c r="J123" s="21" t="s">
        <v>484</v>
      </c>
      <c r="K123" s="21" t="s">
        <v>871</v>
      </c>
      <c r="L123" s="21" t="s">
        <v>643</v>
      </c>
      <c r="M123" s="21"/>
      <c r="N123" s="26" t="str">
        <f t="shared" si="1"/>
        <v>insert into CHB_DATACHECK_RULE_INV values ('1e234A49-6813-5A9E-E050-107F01006A66','ProductReportRegister002','isNotEmpty','repOperateMode','','','N','产品运作模式要素不可为空。','D','com.joyintech.tams.invest.common.ChbBaseCheckLib');</v>
      </c>
    </row>
    <row r="124" spans="1:14" s="22" customFormat="1">
      <c r="A124" s="21" t="s">
        <v>795</v>
      </c>
      <c r="B124" s="21" t="s">
        <v>605</v>
      </c>
      <c r="C124" s="21" t="s">
        <v>20</v>
      </c>
      <c r="D124" s="21" t="s">
        <v>250</v>
      </c>
      <c r="E124" s="21" t="s">
        <v>34</v>
      </c>
      <c r="F124" s="21" t="s">
        <v>251</v>
      </c>
      <c r="G124" s="21" t="s">
        <v>14</v>
      </c>
      <c r="H124" s="21" t="s">
        <v>252</v>
      </c>
      <c r="I124" s="21" t="s">
        <v>11</v>
      </c>
      <c r="J124" s="21" t="s">
        <v>796</v>
      </c>
      <c r="K124" s="21" t="s">
        <v>871</v>
      </c>
      <c r="L124" s="21" t="s">
        <v>643</v>
      </c>
      <c r="M124" s="21"/>
      <c r="N124" s="26" t="str">
        <f t="shared" si="1"/>
        <v>insert into CHB_DATACHECK_RULE_INV values ('de244A49-6813-5A9E-E050-007F01006A65','ProductReportRegister002','inDatadict','repOperateMode','==','SVR_OPERATEMODE_DECLARE','Y','产品运作模式不在值域范围内。','E','com.joyintech.tams.invest.common.ChbBaseCheckLib');</v>
      </c>
    </row>
    <row r="125" spans="1:14" s="22" customFormat="1">
      <c r="A125" s="21" t="s">
        <v>797</v>
      </c>
      <c r="B125" s="21" t="s">
        <v>605</v>
      </c>
      <c r="C125" s="21" t="s">
        <v>8</v>
      </c>
      <c r="D125" s="21" t="s">
        <v>228</v>
      </c>
      <c r="E125" s="21"/>
      <c r="F125" s="21"/>
      <c r="G125" s="21" t="s">
        <v>10</v>
      </c>
      <c r="H125" s="21" t="s">
        <v>584</v>
      </c>
      <c r="I125" s="21" t="s">
        <v>636</v>
      </c>
      <c r="J125" s="21" t="s">
        <v>585</v>
      </c>
      <c r="K125" s="21" t="s">
        <v>871</v>
      </c>
      <c r="L125" s="21" t="s">
        <v>643</v>
      </c>
      <c r="M125" s="21"/>
      <c r="N125" s="26" t="str">
        <f t="shared" si="1"/>
        <v>insert into CHB_DATACHECK_RULE_INV values ('de194A53-6813-5A9E-E050-007F01006A65','ProductReportRegister002','isNotEmpty','repSaleArea','','','N','产品销售区域要素不可为空','D','com.joyintech.tams.invest.common.ChbBaseCheckLib');</v>
      </c>
    </row>
    <row r="126" spans="1:14" s="22" customFormat="1">
      <c r="A126" s="21" t="s">
        <v>798</v>
      </c>
      <c r="B126" s="21" t="s">
        <v>605</v>
      </c>
      <c r="C126" s="21" t="s">
        <v>20</v>
      </c>
      <c r="D126" s="21" t="s">
        <v>228</v>
      </c>
      <c r="E126" s="21" t="s">
        <v>21</v>
      </c>
      <c r="F126" s="21" t="s">
        <v>229</v>
      </c>
      <c r="G126" s="21" t="s">
        <v>14</v>
      </c>
      <c r="H126" s="21" t="s">
        <v>230</v>
      </c>
      <c r="I126" s="21" t="s">
        <v>11</v>
      </c>
      <c r="J126" s="21" t="s">
        <v>799</v>
      </c>
      <c r="K126" s="21" t="s">
        <v>871</v>
      </c>
      <c r="L126" s="21" t="s">
        <v>643</v>
      </c>
      <c r="M126" s="21"/>
      <c r="N126" s="26" t="str">
        <f t="shared" si="1"/>
        <v>insert into CHB_DATACHECK_RULE_INV values ('de294A49-6813-5A9E-E050-007F01006B28','ProductReportRegister002','inDatadict','repSaleArea','&lt;','SVR_BUY_PLACE','Y','产品销售区域不在值域范围内并且产品销售区域的多选选项不可重复。','E','com.joyintech.tams.invest.common.ChbBaseCheckLib');</v>
      </c>
    </row>
    <row r="127" spans="1:14" s="22" customFormat="1">
      <c r="A127" s="21" t="s">
        <v>800</v>
      </c>
      <c r="B127" s="21" t="s">
        <v>605</v>
      </c>
      <c r="C127" s="21" t="s">
        <v>12</v>
      </c>
      <c r="D127" s="21" t="s">
        <v>177</v>
      </c>
      <c r="E127" s="21" t="s">
        <v>34</v>
      </c>
      <c r="F127" s="21" t="s">
        <v>30</v>
      </c>
      <c r="G127" s="21" t="s">
        <v>14</v>
      </c>
      <c r="H127" s="21" t="s">
        <v>568</v>
      </c>
      <c r="I127" s="21" t="s">
        <v>11</v>
      </c>
      <c r="J127" s="21" t="s">
        <v>801</v>
      </c>
      <c r="K127" s="21" t="s">
        <v>871</v>
      </c>
      <c r="L127" s="21" t="s">
        <v>643</v>
      </c>
      <c r="M127" s="21"/>
      <c r="N127" s="26" t="str">
        <f t="shared" si="1"/>
        <v>insert into CHB_DATACHECK_RULE_INV values ('de204A49-6813-5A9E-E050-007F01006A65','ProductReportRegister002','lessThanCharLength','repInvestCountry','==','0','Y','产品投资国家或地区要素必须为空','E','com.joyintech.tams.invest.common.ChbBaseCheckLib');</v>
      </c>
    </row>
    <row r="128" spans="1:14" s="22" customFormat="1">
      <c r="A128" s="21" t="s">
        <v>802</v>
      </c>
      <c r="B128" s="21" t="s">
        <v>605</v>
      </c>
      <c r="C128" s="21" t="s">
        <v>20</v>
      </c>
      <c r="D128" s="21" t="s">
        <v>177</v>
      </c>
      <c r="E128" s="21" t="s">
        <v>21</v>
      </c>
      <c r="F128" s="21" t="s">
        <v>178</v>
      </c>
      <c r="G128" s="21" t="s">
        <v>14</v>
      </c>
      <c r="H128" s="21" t="s">
        <v>179</v>
      </c>
      <c r="I128" s="21" t="s">
        <v>11</v>
      </c>
      <c r="J128" s="21" t="s">
        <v>801</v>
      </c>
      <c r="K128" s="21" t="s">
        <v>871</v>
      </c>
      <c r="L128" s="21" t="s">
        <v>643</v>
      </c>
      <c r="M128" s="21"/>
      <c r="N128" s="26" t="str">
        <f t="shared" si="1"/>
        <v>insert into CHB_DATACHECK_RULE_INV values ('de294A49-6813-5A9E-E050-007F01006B29','ProductReportRegister002','inDatadict','repInvestCountry','&lt;','SVR_COUNTRY_AREA','Y','产品投资国家或地区不在值域范围内并且产品投资国家或地区的多选选项不可重复。','E','com.joyintech.tams.invest.common.ChbBaseCheckLib');</v>
      </c>
    </row>
    <row r="129" spans="1:14" s="22" customFormat="1">
      <c r="A129" s="21" t="s">
        <v>803</v>
      </c>
      <c r="B129" s="21" t="s">
        <v>605</v>
      </c>
      <c r="C129" s="21" t="s">
        <v>8</v>
      </c>
      <c r="D129" s="21" t="s">
        <v>177</v>
      </c>
      <c r="E129" s="21"/>
      <c r="F129" s="21"/>
      <c r="G129" s="21" t="s">
        <v>10</v>
      </c>
      <c r="H129" s="21" t="s">
        <v>570</v>
      </c>
      <c r="I129" s="21" t="s">
        <v>636</v>
      </c>
      <c r="J129" s="21" t="s">
        <v>486</v>
      </c>
      <c r="K129" s="21" t="s">
        <v>871</v>
      </c>
      <c r="L129" s="21" t="s">
        <v>643</v>
      </c>
      <c r="M129" s="21"/>
      <c r="N129" s="26" t="str">
        <f t="shared" si="1"/>
        <v>insert into CHB_DATACHECK_RULE_INV values ('de184A49-6813-5A9E-E050-007F01006A65','ProductReportRegister002','isNotEmpty','repInvestCountry','','','N','产品投资国家或地区要素不可为空','D','com.joyintech.tams.invest.common.ChbBaseCheckLib');</v>
      </c>
    </row>
    <row r="130" spans="1:14" s="22" customFormat="1">
      <c r="A130" s="21" t="s">
        <v>804</v>
      </c>
      <c r="B130" s="21" t="s">
        <v>605</v>
      </c>
      <c r="C130" s="21" t="s">
        <v>184</v>
      </c>
      <c r="D130" s="21" t="s">
        <v>177</v>
      </c>
      <c r="E130" s="21" t="s">
        <v>185</v>
      </c>
      <c r="F130" s="21" t="s">
        <v>186</v>
      </c>
      <c r="G130" s="21" t="s">
        <v>14</v>
      </c>
      <c r="H130" s="21" t="s">
        <v>187</v>
      </c>
      <c r="I130" s="28" t="s">
        <v>664</v>
      </c>
      <c r="J130" s="21" t="s">
        <v>486</v>
      </c>
      <c r="K130" s="21" t="s">
        <v>871</v>
      </c>
      <c r="L130" s="21" t="s">
        <v>643</v>
      </c>
      <c r="M130" s="21"/>
      <c r="N130" s="26" t="str">
        <f t="shared" si="1"/>
        <v>insert into CHB_DATACHECK_RULE_INV values ('de184A49-6813-5A9E-E050-107F01006A65','ProductReportRegister002','compareValue','repInvestCountry','!=','CHN','Y','产品投资国家或地区不能填写中国。','D','com.joyintech.tams.invest.common.ChbBaseCheckLib');</v>
      </c>
    </row>
    <row r="131" spans="1:14" s="22" customFormat="1">
      <c r="A131" s="21" t="s">
        <v>805</v>
      </c>
      <c r="B131" s="21" t="s">
        <v>605</v>
      </c>
      <c r="C131" s="21" t="s">
        <v>8</v>
      </c>
      <c r="D131" s="21" t="s">
        <v>255</v>
      </c>
      <c r="E131" s="21"/>
      <c r="F131" s="21"/>
      <c r="G131" s="21" t="s">
        <v>10</v>
      </c>
      <c r="H131" s="21" t="s">
        <v>587</v>
      </c>
      <c r="I131" s="21" t="s">
        <v>636</v>
      </c>
      <c r="J131" s="21" t="s">
        <v>588</v>
      </c>
      <c r="K131" s="21" t="s">
        <v>871</v>
      </c>
      <c r="L131" s="21" t="s">
        <v>643</v>
      </c>
      <c r="M131" s="21"/>
      <c r="N131" s="26" t="str">
        <f t="shared" ref="N131:N170" si="2">CONCATENATE("insert into CHB_DATACHECK_RULE_INV values ('",A131,"','",B131,"','",C131,"','",J131,"','",E131,"','",F131,"','",G131,"','",H131,"','",I131,"','",K131,"');")</f>
        <v>insert into CHB_DATACHECK_RULE_INV values ('de294A49-6813-5A9E-E050-107F01006B27','ProductReportRegister002','isNotEmpty','repProfitType','','','N','产品收益类型要素不可为空。','D','com.joyintech.tams.invest.common.ChbBaseCheckLib');</v>
      </c>
    </row>
    <row r="132" spans="1:14" s="22" customFormat="1">
      <c r="A132" s="21" t="s">
        <v>806</v>
      </c>
      <c r="B132" s="21" t="s">
        <v>605</v>
      </c>
      <c r="C132" s="21" t="s">
        <v>20</v>
      </c>
      <c r="D132" s="21" t="s">
        <v>255</v>
      </c>
      <c r="E132" s="21" t="s">
        <v>34</v>
      </c>
      <c r="F132" s="21" t="s">
        <v>256</v>
      </c>
      <c r="G132" s="21" t="s">
        <v>14</v>
      </c>
      <c r="H132" s="21" t="s">
        <v>257</v>
      </c>
      <c r="I132" s="21" t="s">
        <v>11</v>
      </c>
      <c r="J132" s="21" t="s">
        <v>807</v>
      </c>
      <c r="K132" s="21" t="s">
        <v>871</v>
      </c>
      <c r="L132" s="21" t="s">
        <v>643</v>
      </c>
      <c r="M132" s="21"/>
      <c r="N132" s="26" t="str">
        <f t="shared" si="2"/>
        <v>insert into CHB_DATACHECK_RULE_INV values ('de134A49-6813-5A9E-E050-007F01006A65','ProductReportRegister002','inDatadict','repProfitType','==','SVR_PROD_PROFIT_TYPE','Y','产品收益类型不在值域范围内。','E','com.joyintech.tams.invest.common.ChbBaseCheckLib');</v>
      </c>
    </row>
    <row r="133" spans="1:14" s="22" customFormat="1">
      <c r="A133" s="21" t="s">
        <v>808</v>
      </c>
      <c r="B133" s="21" t="s">
        <v>605</v>
      </c>
      <c r="C133" s="21" t="s">
        <v>12</v>
      </c>
      <c r="D133" s="21" t="s">
        <v>175</v>
      </c>
      <c r="E133" s="21"/>
      <c r="F133" s="21" t="s">
        <v>99</v>
      </c>
      <c r="G133" s="21" t="s">
        <v>10</v>
      </c>
      <c r="H133" s="21" t="s">
        <v>567</v>
      </c>
      <c r="I133" s="34" t="s">
        <v>635</v>
      </c>
      <c r="J133" s="21" t="s">
        <v>809</v>
      </c>
      <c r="K133" s="21" t="s">
        <v>871</v>
      </c>
      <c r="L133" s="21" t="s">
        <v>643</v>
      </c>
      <c r="M133" s="21"/>
      <c r="N133" s="26" t="str">
        <f t="shared" si="2"/>
        <v>insert into CHB_DATACHECK_RULE_INV values ('de6E4A49-6813-5A9E-E050-007F21106A66','ProductReportRegister002','lessThanCharLength','repApproverName','','201','N','产品审批人姓名要素不可为空且文字长度（最大长）200','D','com.joyintech.tams.invest.common.ChbBaseCheckLib');</v>
      </c>
    </row>
    <row r="134" spans="1:14" s="22" customFormat="1">
      <c r="A134" s="21" t="s">
        <v>810</v>
      </c>
      <c r="B134" s="21" t="s">
        <v>605</v>
      </c>
      <c r="C134" s="21" t="s">
        <v>8</v>
      </c>
      <c r="D134" s="21" t="s">
        <v>61</v>
      </c>
      <c r="E134" s="21"/>
      <c r="F134" s="21"/>
      <c r="G134" s="21" t="s">
        <v>10</v>
      </c>
      <c r="H134" s="21" t="s">
        <v>521</v>
      </c>
      <c r="I134" s="21" t="s">
        <v>636</v>
      </c>
      <c r="J134" s="21" t="s">
        <v>812</v>
      </c>
      <c r="K134" s="21" t="s">
        <v>871</v>
      </c>
      <c r="L134" s="21" t="s">
        <v>643</v>
      </c>
      <c r="M134" s="21"/>
      <c r="N134" s="26" t="str">
        <f t="shared" si="2"/>
        <v>insert into CHB_DATACHECK_RULE_INV values ('de6E4A49-6813-5A9E-E050-007F01006A66','ProductReportRegister002','isNotEmpty','repApproverId','','','N','产品审批人身份证号要素不可为空。','D','com.joyintech.tams.invest.common.ChbBaseCheckLib');</v>
      </c>
    </row>
    <row r="135" spans="1:14" s="22" customFormat="1">
      <c r="A135" s="21" t="s">
        <v>867</v>
      </c>
      <c r="B135" s="21" t="s">
        <v>605</v>
      </c>
      <c r="C135" s="21" t="s">
        <v>12</v>
      </c>
      <c r="D135" s="21" t="s">
        <v>61</v>
      </c>
      <c r="E135" s="21"/>
      <c r="F135" s="21" t="s">
        <v>62</v>
      </c>
      <c r="G135" s="21" t="s">
        <v>14</v>
      </c>
      <c r="H135" s="21" t="s">
        <v>63</v>
      </c>
      <c r="I135" s="24" t="s">
        <v>865</v>
      </c>
      <c r="J135" s="21" t="s">
        <v>522</v>
      </c>
      <c r="K135" s="21" t="s">
        <v>871</v>
      </c>
      <c r="L135" s="21" t="s">
        <v>643</v>
      </c>
      <c r="M135" s="21"/>
      <c r="N135" s="26" t="str">
        <f t="shared" si="2"/>
        <v>insert into CHB_DATACHECK_RULE_INV values ('de6E4A49-6813-5A9E-E050-107F01006A66','ProductReportRegister002','lessThanCharLength','repApproverId','','31','Y','产品审批人身份证号过长。','E','com.joyintech.tams.invest.common.ChbBaseCheckLib');</v>
      </c>
    </row>
    <row r="136" spans="1:14" s="22" customFormat="1">
      <c r="A136" s="21" t="s">
        <v>811</v>
      </c>
      <c r="B136" s="21" t="s">
        <v>605</v>
      </c>
      <c r="C136" s="21" t="s">
        <v>16</v>
      </c>
      <c r="D136" s="21" t="s">
        <v>61</v>
      </c>
      <c r="E136" s="21"/>
      <c r="F136" s="21" t="s">
        <v>43</v>
      </c>
      <c r="G136" s="21" t="s">
        <v>14</v>
      </c>
      <c r="H136" s="21" t="s">
        <v>64</v>
      </c>
      <c r="I136" s="34" t="s">
        <v>11</v>
      </c>
      <c r="J136" s="21" t="s">
        <v>522</v>
      </c>
      <c r="K136" s="21" t="s">
        <v>871</v>
      </c>
      <c r="L136" s="21" t="s">
        <v>643</v>
      </c>
      <c r="M136" s="21"/>
      <c r="N136" s="26" t="str">
        <f t="shared" si="2"/>
        <v>insert into CHB_DATACHECK_RULE_INV values ('de294A49-6813-5A9E-E050-007F01006B13','ProductReportRegister002','isCustomizedStringForWhitelist','repApproverId','','^[\u4e00-\u9fa5\ue815-\ue864\uff01-\uff5e\uffe0-\uffe5\u3000-\u3003\u3005-\u3017\u301d-\u301e\u2010\u2013-\u2016\u2018-\u2019\u201c-\u201d\u2025-\u2026\u2030\u2032-\u2033\u2035\u203b\u00b7\u0030-\u0039\u0041-\u005a\u0061-\u007a\u2160-\u216b\u0020-\u0026\u0028-\u007B\u007D\u007E]{0,}$','Y','产品审批人身份证号必须填写白名单中的文字。','E','com.joyintech.tams.invest.common.ChbBaseCheckLib');</v>
      </c>
    </row>
    <row r="137" spans="1:14" s="22" customFormat="1">
      <c r="A137" s="21" t="s">
        <v>814</v>
      </c>
      <c r="B137" s="21" t="s">
        <v>605</v>
      </c>
      <c r="C137" s="21" t="s">
        <v>12</v>
      </c>
      <c r="D137" s="21" t="s">
        <v>206</v>
      </c>
      <c r="E137" s="21"/>
      <c r="F137" s="21" t="s">
        <v>99</v>
      </c>
      <c r="G137" s="21" t="s">
        <v>10</v>
      </c>
      <c r="H137" s="21" t="s">
        <v>574</v>
      </c>
      <c r="I137" s="34" t="s">
        <v>635</v>
      </c>
      <c r="J137" s="21" t="s">
        <v>813</v>
      </c>
      <c r="K137" s="21" t="s">
        <v>871</v>
      </c>
      <c r="L137" s="21" t="s">
        <v>643</v>
      </c>
      <c r="M137" s="21"/>
      <c r="N137" s="26" t="str">
        <f t="shared" si="2"/>
        <v>insert into CHB_DATACHECK_RULE_INV values ('de7E4A49-6813-5A9E-E050-007F21306A66','ProductReportRegister002','lessThanCharLength','repDesignerName','','201','N','产品设计人姓名要素不可为空且文字长度（最大长）200','D','com.joyintech.tams.invest.common.ChbBaseCheckLib');</v>
      </c>
    </row>
    <row r="138" spans="1:14" s="22" customFormat="1">
      <c r="A138" s="21" t="s">
        <v>815</v>
      </c>
      <c r="B138" s="21" t="s">
        <v>605</v>
      </c>
      <c r="C138" s="21" t="s">
        <v>8</v>
      </c>
      <c r="D138" s="21" t="s">
        <v>207</v>
      </c>
      <c r="E138" s="21"/>
      <c r="F138" s="21"/>
      <c r="G138" s="21" t="s">
        <v>10</v>
      </c>
      <c r="H138" s="21" t="s">
        <v>208</v>
      </c>
      <c r="I138" s="34" t="s">
        <v>635</v>
      </c>
      <c r="J138" s="21" t="s">
        <v>818</v>
      </c>
      <c r="K138" s="21" t="s">
        <v>871</v>
      </c>
      <c r="L138" s="21" t="s">
        <v>643</v>
      </c>
      <c r="M138" s="21"/>
      <c r="N138" s="26" t="str">
        <f t="shared" si="2"/>
        <v>insert into CHB_DATACHECK_RULE_INV values ('de7E4A49-6813-5A9E-E050-007F01006A66','ProductReportRegister002','isNotEmpty','repDesignerId','','','N','产品设计人身份证号要素不可为空。','D','com.joyintech.tams.invest.common.ChbBaseCheckLib');</v>
      </c>
    </row>
    <row r="139" spans="1:14" s="22" customFormat="1">
      <c r="A139" s="21" t="s">
        <v>816</v>
      </c>
      <c r="B139" s="21" t="s">
        <v>605</v>
      </c>
      <c r="C139" s="21" t="s">
        <v>12</v>
      </c>
      <c r="D139" s="21" t="s">
        <v>207</v>
      </c>
      <c r="E139" s="21"/>
      <c r="F139" s="21" t="s">
        <v>62</v>
      </c>
      <c r="G139" s="21" t="s">
        <v>14</v>
      </c>
      <c r="H139" s="21" t="s">
        <v>209</v>
      </c>
      <c r="I139" s="24" t="s">
        <v>865</v>
      </c>
      <c r="J139" s="21" t="s">
        <v>818</v>
      </c>
      <c r="K139" s="21" t="s">
        <v>871</v>
      </c>
      <c r="L139" s="21" t="s">
        <v>643</v>
      </c>
      <c r="M139" s="21"/>
      <c r="N139" s="26" t="str">
        <f t="shared" si="2"/>
        <v>insert into CHB_DATACHECK_RULE_INV values ('de294A49-6813-5A9E-E050-107F01006B14','ProductReportRegister002','lessThanCharLength','repDesignerId','','31','Y','产品设计人身份证号过长。','E','com.joyintech.tams.invest.common.ChbBaseCheckLib');</v>
      </c>
    </row>
    <row r="140" spans="1:14" s="22" customFormat="1">
      <c r="A140" s="21" t="s">
        <v>817</v>
      </c>
      <c r="B140" s="21" t="s">
        <v>605</v>
      </c>
      <c r="C140" s="21" t="s">
        <v>16</v>
      </c>
      <c r="D140" s="21" t="s">
        <v>207</v>
      </c>
      <c r="E140" s="21"/>
      <c r="F140" s="21" t="s">
        <v>43</v>
      </c>
      <c r="G140" s="21" t="s">
        <v>14</v>
      </c>
      <c r="H140" s="21" t="s">
        <v>210</v>
      </c>
      <c r="I140" s="34" t="s">
        <v>11</v>
      </c>
      <c r="J140" s="21" t="s">
        <v>575</v>
      </c>
      <c r="K140" s="21" t="s">
        <v>871</v>
      </c>
      <c r="L140" s="21" t="s">
        <v>643</v>
      </c>
      <c r="M140" s="21"/>
      <c r="N140" s="26" t="str">
        <f t="shared" si="2"/>
        <v>insert into CHB_DATACHECK_RULE_INV values ('de294A49-6813-5A9E-E050-007F01006B14','ProductReportRegister002','isCustomizedStringForWhitelist','repDesignerId','','^[\u4e00-\u9fa5\ue815-\ue864\uff01-\uff5e\uffe0-\uffe5\u3000-\u3003\u3005-\u3017\u301d-\u301e\u2010\u2013-\u2016\u2018-\u2019\u201c-\u201d\u2025-\u2026\u2030\u2032-\u2033\u2035\u203b\u00b7\u0030-\u0039\u0041-\u005a\u0061-\u007a\u2160-\u216b\u0020-\u0026\u0028-\u007B\u007D\u007E]{0,}$','Y','产品设计人身份证号必须填写白名单中的文字。','E','com.joyintech.tams.invest.common.ChbBaseCheckLib');</v>
      </c>
    </row>
    <row r="141" spans="1:14" s="22" customFormat="1">
      <c r="A141" s="21" t="s">
        <v>819</v>
      </c>
      <c r="B141" s="21" t="s">
        <v>605</v>
      </c>
      <c r="C141" s="21" t="s">
        <v>8</v>
      </c>
      <c r="D141" s="21" t="s">
        <v>163</v>
      </c>
      <c r="E141" s="21"/>
      <c r="F141" s="21"/>
      <c r="G141" s="21" t="s">
        <v>10</v>
      </c>
      <c r="H141" s="21" t="s">
        <v>561</v>
      </c>
      <c r="I141" s="34" t="s">
        <v>635</v>
      </c>
      <c r="J141" s="21" t="s">
        <v>562</v>
      </c>
      <c r="K141" s="21" t="s">
        <v>871</v>
      </c>
      <c r="L141" s="21" t="s">
        <v>643</v>
      </c>
      <c r="M141" s="21"/>
      <c r="N141" s="26" t="str">
        <f t="shared" si="2"/>
        <v>insert into CHB_DATACHECK_RULE_INV values ('de134A49-6813-5A9E-E050-107F01006A65','ProductReportRegister002','isNotEmpty','repTerm','','','N','产品期限要素不可为空。','D','com.joyintech.tams.invest.common.ChbBaseCheckLib');</v>
      </c>
    </row>
    <row r="142" spans="1:14" s="22" customFormat="1">
      <c r="A142" s="21" t="s">
        <v>820</v>
      </c>
      <c r="B142" s="21" t="s">
        <v>605</v>
      </c>
      <c r="C142" s="21" t="s">
        <v>20</v>
      </c>
      <c r="D142" s="21" t="s">
        <v>163</v>
      </c>
      <c r="E142" s="21" t="s">
        <v>34</v>
      </c>
      <c r="F142" s="21" t="s">
        <v>164</v>
      </c>
      <c r="G142" s="21" t="s">
        <v>14</v>
      </c>
      <c r="H142" s="21" t="s">
        <v>165</v>
      </c>
      <c r="I142" s="34" t="s">
        <v>11</v>
      </c>
      <c r="J142" s="21" t="s">
        <v>821</v>
      </c>
      <c r="K142" s="21" t="s">
        <v>871</v>
      </c>
      <c r="L142" s="21" t="s">
        <v>643</v>
      </c>
      <c r="M142" s="21"/>
      <c r="N142" s="26" t="str">
        <f t="shared" si="2"/>
        <v>insert into CHB_DATACHECK_RULE_INV values ('de144A49-6813-5A9E-E050-007F01006A65','ProductReportRegister002','inDatadict','repTerm','==','SVR_PRODUCT_TERM','Y','产品期限不在值域范围内。','E','com.joyintech.tams.invest.common.ChbBaseCheckLib');</v>
      </c>
    </row>
    <row r="143" spans="1:14" s="22" customFormat="1">
      <c r="A143" s="21" t="s">
        <v>822</v>
      </c>
      <c r="B143" s="21" t="s">
        <v>605</v>
      </c>
      <c r="C143" s="21" t="s">
        <v>8</v>
      </c>
      <c r="D143" s="21" t="s">
        <v>127</v>
      </c>
      <c r="E143" s="21"/>
      <c r="F143" s="21"/>
      <c r="G143" s="21" t="s">
        <v>10</v>
      </c>
      <c r="H143" s="21" t="s">
        <v>544</v>
      </c>
      <c r="I143" s="28" t="s">
        <v>664</v>
      </c>
      <c r="J143" s="21" t="s">
        <v>545</v>
      </c>
      <c r="K143" s="21" t="s">
        <v>871</v>
      </c>
      <c r="L143" s="21" t="s">
        <v>643</v>
      </c>
      <c r="M143" s="21"/>
      <c r="N143" s="26" t="str">
        <f t="shared" si="2"/>
        <v>insert into CHB_DATACHECK_RULE_INV values ('de4E4A49-6813-5A9E-E050-107F01006A66','ProductReportRegister002','isNotEmpty','repFinprodStage','','','N','产品期次要素不可为空。','D','com.joyintech.tams.invest.common.ChbBaseCheckLib');</v>
      </c>
    </row>
    <row r="144" spans="1:14" s="22" customFormat="1">
      <c r="A144" s="21" t="s">
        <v>823</v>
      </c>
      <c r="B144" s="21" t="s">
        <v>605</v>
      </c>
      <c r="C144" s="21" t="s">
        <v>53</v>
      </c>
      <c r="D144" s="21" t="s">
        <v>127</v>
      </c>
      <c r="E144" s="21"/>
      <c r="F144" s="21" t="s">
        <v>128</v>
      </c>
      <c r="G144" s="21" t="s">
        <v>14</v>
      </c>
      <c r="H144" s="21" t="s">
        <v>825</v>
      </c>
      <c r="I144" s="24" t="s">
        <v>865</v>
      </c>
      <c r="J144" s="21" t="s">
        <v>824</v>
      </c>
      <c r="K144" s="21" t="s">
        <v>871</v>
      </c>
      <c r="L144" s="21" t="s">
        <v>643</v>
      </c>
      <c r="M144" s="42"/>
      <c r="N144" s="26" t="str">
        <f t="shared" si="2"/>
        <v>insert into CHB_DATACHECK_RULE_INV values ('de4E4A49-6813-5A9E-E050-007F01006A66','ProductReportRegister002','isNumber','repFinprodStage','','6,0','Y','产品期次必须为n..6格式。','E','com.joyintech.tams.invest.common.ChbBaseCheckLib');</v>
      </c>
    </row>
    <row r="145" spans="1:14" s="22" customFormat="1">
      <c r="A145" s="21" t="s">
        <v>826</v>
      </c>
      <c r="B145" s="21" t="s">
        <v>605</v>
      </c>
      <c r="C145" s="21" t="s">
        <v>12</v>
      </c>
      <c r="D145" s="21" t="s">
        <v>143</v>
      </c>
      <c r="E145" s="21"/>
      <c r="F145" s="21" t="s">
        <v>113</v>
      </c>
      <c r="G145" s="21" t="s">
        <v>14</v>
      </c>
      <c r="H145" s="21" t="s">
        <v>553</v>
      </c>
      <c r="I145" s="21" t="s">
        <v>11</v>
      </c>
      <c r="J145" s="21" t="s">
        <v>828</v>
      </c>
      <c r="K145" s="21" t="s">
        <v>871</v>
      </c>
      <c r="L145" s="21" t="s">
        <v>643</v>
      </c>
      <c r="M145" s="21"/>
      <c r="N145" s="26" t="str">
        <f t="shared" si="2"/>
        <v>insert into CHB_DATACHECK_RULE_INV values ('de3E4A49-6813-5A9E-E050-007F01006A66','ProductReportRegister002','lessThanCharLength','repFinprodBrand','','121','Y','产品品牌过长（最大长120）。','E','com.joyintech.tams.invest.common.ChbBaseCheckLib');</v>
      </c>
    </row>
    <row r="146" spans="1:14" s="22" customFormat="1">
      <c r="A146" s="21" t="s">
        <v>144</v>
      </c>
      <c r="B146" s="21" t="s">
        <v>605</v>
      </c>
      <c r="C146" s="21" t="s">
        <v>16</v>
      </c>
      <c r="D146" s="21" t="s">
        <v>143</v>
      </c>
      <c r="E146" s="21"/>
      <c r="F146" s="21" t="s">
        <v>43</v>
      </c>
      <c r="G146" s="21" t="s">
        <v>14</v>
      </c>
      <c r="H146" s="21" t="s">
        <v>145</v>
      </c>
      <c r="I146" s="21" t="s">
        <v>11</v>
      </c>
      <c r="J146" s="21" t="s">
        <v>554</v>
      </c>
      <c r="K146" s="21" t="s">
        <v>871</v>
      </c>
      <c r="L146" s="21" t="s">
        <v>643</v>
      </c>
      <c r="M146" s="21"/>
      <c r="N146" s="26" t="str">
        <f t="shared" si="2"/>
        <v>insert into CHB_DATACHECK_RULE_INV values ('de294A49-6813-5A9E-E050-007F01006B20','ProductReportRegister002','isCustomizedStringForWhitelist','repFinprodBrand','','^[\u4e00-\u9fa5\ue815-\ue864\uff01-\uff5e\uffe0-\uffe5\u3000-\u3003\u3005-\u3017\u301d-\u301e\u2010\u2013-\u2016\u2018-\u2019\u201c-\u201d\u2025-\u2026\u2030\u2032-\u2033\u2035\u203b\u00b7\u0030-\u0039\u0041-\u005a\u0061-\u007a\u2160-\u216b\u0020-\u0026\u0028-\u007B\u007D\u007E]{0,}$','Y','产品品牌必须填写白名单中的文字。','E','com.joyintech.tams.invest.common.ChbBaseCheckLib');</v>
      </c>
    </row>
    <row r="147" spans="1:14" s="22" customFormat="1">
      <c r="A147" s="21" t="s">
        <v>827</v>
      </c>
      <c r="B147" s="21" t="s">
        <v>605</v>
      </c>
      <c r="C147" s="21" t="s">
        <v>16</v>
      </c>
      <c r="D147" s="21" t="s">
        <v>96</v>
      </c>
      <c r="E147" s="21" t="s">
        <v>97</v>
      </c>
      <c r="F147" s="21" t="s">
        <v>43</v>
      </c>
      <c r="G147" s="21" t="s">
        <v>14</v>
      </c>
      <c r="H147" s="21" t="s">
        <v>534</v>
      </c>
      <c r="I147" s="21" t="s">
        <v>11</v>
      </c>
      <c r="J147" s="21" t="s">
        <v>535</v>
      </c>
      <c r="K147" s="21" t="s">
        <v>871</v>
      </c>
      <c r="L147" s="21" t="s">
        <v>643</v>
      </c>
      <c r="M147" s="21"/>
      <c r="N147" s="26" t="str">
        <f t="shared" si="2"/>
        <v>insert into CHB_DATACHECK_RULE_INV values ('de294A49-6813-5A9E-E050-007F01006B11','ProductReportRegister002','isCustomizedStringForWhitelist','repFinprodName','inWhitelistNoSymbol','^[\u4e00-\u9fa5\ue815-\ue864\uff01-\uff5e\uffe0-\uffe5\u3000-\u3003\u3005-\u3017\u301d-\u301e\u2010\u2013-\u2016\u2018-\u2019\u201c-\u201d\u2025-\u2026\u2030\u2032-\u2033\u2035\u203b\u00b7\u0030-\u0039\u0041-\u005a\u0061-\u007a\u2160-\u216b\u0020-\u0026\u0028-\u007B\u007D\u007E]{0,}$','Y','产品名称必须填写白名单中的文字，仅可由汉字、阿拉伯数字、英文字母组成，建议名称中不要含有任何符号。','E','com.joyintech.tams.invest.common.ChbBaseCheckLib');</v>
      </c>
    </row>
    <row r="148" spans="1:14" s="22" customFormat="1">
      <c r="A148" s="21" t="s">
        <v>829</v>
      </c>
      <c r="B148" s="21" t="s">
        <v>605</v>
      </c>
      <c r="C148" s="21" t="s">
        <v>8</v>
      </c>
      <c r="D148" s="21" t="s">
        <v>96</v>
      </c>
      <c r="E148" s="21"/>
      <c r="F148" s="21"/>
      <c r="G148" s="21" t="s">
        <v>10</v>
      </c>
      <c r="H148" s="21" t="s">
        <v>98</v>
      </c>
      <c r="I148" s="28" t="s">
        <v>664</v>
      </c>
      <c r="J148" s="21" t="s">
        <v>535</v>
      </c>
      <c r="K148" s="21" t="s">
        <v>871</v>
      </c>
      <c r="L148" s="21" t="s">
        <v>643</v>
      </c>
      <c r="M148" s="21"/>
      <c r="N148" s="26" t="str">
        <f t="shared" si="2"/>
        <v>insert into CHB_DATACHECK_RULE_INV values ('de1E4A49-6813-5A9E-E050-007F01006A66','ProductReportRegister002','isNotEmpty','repFinprodName','','','N','产品名称要素不可为空。','D','com.joyintech.tams.invest.common.ChbBaseCheckLib');</v>
      </c>
    </row>
    <row r="149" spans="1:14" s="22" customFormat="1">
      <c r="A149" s="21" t="s">
        <v>830</v>
      </c>
      <c r="B149" s="21" t="s">
        <v>605</v>
      </c>
      <c r="C149" s="21" t="s">
        <v>12</v>
      </c>
      <c r="D149" s="21" t="s">
        <v>96</v>
      </c>
      <c r="E149" s="21"/>
      <c r="F149" s="21" t="s">
        <v>99</v>
      </c>
      <c r="G149" s="21" t="s">
        <v>14</v>
      </c>
      <c r="H149" s="21" t="s">
        <v>100</v>
      </c>
      <c r="I149" s="21" t="s">
        <v>11</v>
      </c>
      <c r="J149" s="21" t="s">
        <v>535</v>
      </c>
      <c r="K149" s="21" t="s">
        <v>871</v>
      </c>
      <c r="L149" s="21" t="s">
        <v>643</v>
      </c>
      <c r="M149" s="21"/>
      <c r="N149" s="26" t="str">
        <f t="shared" si="2"/>
        <v>insert into CHB_DATACHECK_RULE_INV values ('de1E4A49-6813-5A9E-E050-107F01006A66','ProductReportRegister002','lessThanCharLength','repFinprodName','','201','Y','产品名称超长（最大长）200','E','com.joyintech.tams.invest.common.ChbBaseCheckLib');</v>
      </c>
    </row>
    <row r="150" spans="1:14" s="22" customFormat="1">
      <c r="A150" s="21" t="s">
        <v>831</v>
      </c>
      <c r="B150" s="21" t="s">
        <v>605</v>
      </c>
      <c r="C150" s="21" t="s">
        <v>8</v>
      </c>
      <c r="D150" s="21" t="s">
        <v>91</v>
      </c>
      <c r="E150" s="21"/>
      <c r="F150" s="21"/>
      <c r="G150" s="21" t="s">
        <v>10</v>
      </c>
      <c r="H150" s="21" t="s">
        <v>531</v>
      </c>
      <c r="I150" s="21" t="s">
        <v>636</v>
      </c>
      <c r="J150" s="21" t="s">
        <v>482</v>
      </c>
      <c r="K150" s="21" t="s">
        <v>871</v>
      </c>
      <c r="L150" s="21" t="s">
        <v>643</v>
      </c>
      <c r="M150" s="21"/>
      <c r="N150" s="26" t="str">
        <f t="shared" si="2"/>
        <v>insert into CHB_DATACHECK_RULE_INV values ('de394A49-6813-5A9E-E050-107F01006A65','ProductReportRegister002','isNotEmpty','repPmmode','','','N','产品管理模式要素不可为空。','D','com.joyintech.tams.invest.common.ChbBaseCheckLib');</v>
      </c>
    </row>
    <row r="151" spans="1:14" s="22" customFormat="1">
      <c r="A151" s="21" t="s">
        <v>832</v>
      </c>
      <c r="B151" s="21" t="s">
        <v>605</v>
      </c>
      <c r="C151" s="21" t="s">
        <v>20</v>
      </c>
      <c r="D151" s="21" t="s">
        <v>91</v>
      </c>
      <c r="E151" s="21" t="s">
        <v>34</v>
      </c>
      <c r="F151" s="21" t="s">
        <v>92</v>
      </c>
      <c r="G151" s="21" t="s">
        <v>14</v>
      </c>
      <c r="H151" s="21" t="s">
        <v>93</v>
      </c>
      <c r="I151" s="21" t="s">
        <v>11</v>
      </c>
      <c r="J151" s="21" t="s">
        <v>833</v>
      </c>
      <c r="K151" s="21" t="s">
        <v>871</v>
      </c>
      <c r="L151" s="21" t="s">
        <v>643</v>
      </c>
      <c r="M151" s="21"/>
      <c r="N151" s="26" t="str">
        <f t="shared" si="2"/>
        <v>insert into CHB_DATACHECK_RULE_INV values ('de394A49-6813-5A9E-E050-007F01006A65','ProductReportRegister002','inDatadict','repPmmode','==','SVR_PROD_MANAGE','Y','产品管理模式不在值域范围内。','E','com.joyintech.tams.invest.common.ChbBaseCheckLib');</v>
      </c>
    </row>
    <row r="152" spans="1:14" s="22" customFormat="1">
      <c r="A152" s="21" t="s">
        <v>834</v>
      </c>
      <c r="B152" s="21" t="s">
        <v>605</v>
      </c>
      <c r="C152" s="21" t="s">
        <v>8</v>
      </c>
      <c r="D152" s="21" t="s">
        <v>72</v>
      </c>
      <c r="E152" s="21"/>
      <c r="F152" s="21"/>
      <c r="G152" s="21" t="s">
        <v>10</v>
      </c>
      <c r="H152" s="21" t="s">
        <v>527</v>
      </c>
      <c r="I152" s="21" t="s">
        <v>636</v>
      </c>
      <c r="J152" s="21" t="s">
        <v>528</v>
      </c>
      <c r="K152" s="21" t="s">
        <v>871</v>
      </c>
      <c r="L152" s="21" t="s">
        <v>643</v>
      </c>
      <c r="M152" s="21"/>
      <c r="N152" s="26" t="str">
        <f t="shared" si="2"/>
        <v>insert into CHB_DATACHECK_RULE_INV values ('de464A83-6813-5A9E-E050-107F01006A65','ProductReportRegister002','isNotEmpty','repRiskLevel','','','N','产品风险等级要素不可为空。','D','com.joyintech.tams.invest.common.ChbBaseCheckLib');</v>
      </c>
    </row>
    <row r="153" spans="1:14" s="22" customFormat="1">
      <c r="A153" s="21" t="s">
        <v>835</v>
      </c>
      <c r="B153" s="21" t="s">
        <v>605</v>
      </c>
      <c r="C153" s="21" t="s">
        <v>20</v>
      </c>
      <c r="D153" s="21" t="s">
        <v>72</v>
      </c>
      <c r="E153" s="21" t="s">
        <v>34</v>
      </c>
      <c r="F153" s="21" t="s">
        <v>73</v>
      </c>
      <c r="G153" s="21" t="s">
        <v>14</v>
      </c>
      <c r="H153" s="21" t="s">
        <v>74</v>
      </c>
      <c r="I153" s="21" t="s">
        <v>11</v>
      </c>
      <c r="J153" s="21" t="s">
        <v>837</v>
      </c>
      <c r="K153" s="21" t="s">
        <v>871</v>
      </c>
      <c r="L153" s="21" t="s">
        <v>643</v>
      </c>
      <c r="M153" s="21"/>
      <c r="N153" s="26" t="str">
        <f t="shared" si="2"/>
        <v>insert into CHB_DATACHECK_RULE_INV values ('de464A83-6813-5A9E-E050-007F01006A65','ProductReportRegister002','inDatadict','repRiskLevel','==','PRODUCT_RISK_GRADE','Y','产品风险等级不在值域范围内。','E','com.joyintech.tams.invest.common.ChbBaseCheckLib');</v>
      </c>
    </row>
    <row r="154" spans="1:14" s="22" customFormat="1">
      <c r="A154" s="21" t="s">
        <v>836</v>
      </c>
      <c r="B154" s="21" t="s">
        <v>605</v>
      </c>
      <c r="C154" s="21" t="s">
        <v>76</v>
      </c>
      <c r="D154" s="21" t="s">
        <v>72</v>
      </c>
      <c r="E154" s="21" t="s">
        <v>34</v>
      </c>
      <c r="F154" s="21" t="s">
        <v>77</v>
      </c>
      <c r="G154" s="21" t="s">
        <v>14</v>
      </c>
      <c r="H154" s="21" t="s">
        <v>78</v>
      </c>
      <c r="I154" s="21" t="s">
        <v>11</v>
      </c>
      <c r="J154" s="21" t="s">
        <v>528</v>
      </c>
      <c r="K154" s="21" t="s">
        <v>871</v>
      </c>
      <c r="L154" s="21" t="s">
        <v>643</v>
      </c>
      <c r="M154" s="21"/>
      <c r="N154" s="26" t="str">
        <f t="shared" si="2"/>
        <v>insert into CHB_DATACHECK_RULE_INV values ('de8E4A49-6813-5A9E-E050-107F21206A66','ProductReportRegister002','inArray','repRiskLevel','==','01','Y','产品风险等级必须选择“01 一级（低）”。','E','com.joyintech.tams.invest.common.ChbBaseCheckLib');</v>
      </c>
    </row>
    <row r="155" spans="1:14" s="22" customFormat="1">
      <c r="A155" s="21" t="s">
        <v>862</v>
      </c>
      <c r="B155" s="21" t="s">
        <v>605</v>
      </c>
      <c r="C155" s="21" t="s">
        <v>76</v>
      </c>
      <c r="D155" s="21" t="s">
        <v>72</v>
      </c>
      <c r="E155" s="21" t="s">
        <v>34</v>
      </c>
      <c r="F155" s="21" t="s">
        <v>80</v>
      </c>
      <c r="G155" s="21" t="s">
        <v>14</v>
      </c>
      <c r="H155" s="21" t="s">
        <v>81</v>
      </c>
      <c r="I155" s="21" t="s">
        <v>11</v>
      </c>
      <c r="J155" s="21" t="s">
        <v>528</v>
      </c>
      <c r="K155" s="21" t="s">
        <v>871</v>
      </c>
      <c r="L155" s="21" t="s">
        <v>643</v>
      </c>
      <c r="M155" s="21"/>
      <c r="N155" s="26" t="str">
        <f t="shared" si="2"/>
        <v>insert into CHB_DATACHECK_RULE_INV values ('de8E4A49-6813-5A9E-E050-107F21206A67','ProductReportRegister002','inArray','repRiskLevel','==','01,02','Y','产品风险等级必须选择“01 一级（低）”或者“02 二级（中低）”。','E','com.joyintech.tams.invest.common.ChbBaseCheckLib');</v>
      </c>
    </row>
    <row r="156" spans="1:14" s="22" customFormat="1">
      <c r="A156" s="21" t="s">
        <v>838</v>
      </c>
      <c r="B156" s="21" t="s">
        <v>605</v>
      </c>
      <c r="C156" s="21" t="s">
        <v>76</v>
      </c>
      <c r="D156" s="21" t="s">
        <v>72</v>
      </c>
      <c r="E156" s="21" t="s">
        <v>34</v>
      </c>
      <c r="F156" s="21" t="s">
        <v>83</v>
      </c>
      <c r="G156" s="21" t="s">
        <v>14</v>
      </c>
      <c r="H156" s="21" t="s">
        <v>84</v>
      </c>
      <c r="I156" s="21" t="s">
        <v>11</v>
      </c>
      <c r="J156" s="21" t="s">
        <v>528</v>
      </c>
      <c r="K156" s="21" t="s">
        <v>871</v>
      </c>
      <c r="L156" s="21" t="s">
        <v>643</v>
      </c>
      <c r="M156" s="21"/>
      <c r="N156" s="26" t="str">
        <f t="shared" si="2"/>
        <v>insert into CHB_DATACHECK_RULE_INV values ('de8E4A49-6813-5A9E-E050-107F21206A68','ProductReportRegister002','inArray','repRiskLevel','==','01,02,03','Y','产品风险等级必须选择“01 一级（低）”或者“02 二级（中低）”或者“03 三级（中）”。','E','com.joyintech.tams.invest.common.ChbBaseCheckLib');</v>
      </c>
    </row>
    <row r="157" spans="1:14" s="22" customFormat="1">
      <c r="A157" s="21" t="s">
        <v>861</v>
      </c>
      <c r="B157" s="21" t="s">
        <v>605</v>
      </c>
      <c r="C157" s="21" t="s">
        <v>76</v>
      </c>
      <c r="D157" s="21" t="s">
        <v>72</v>
      </c>
      <c r="E157" s="21" t="s">
        <v>34</v>
      </c>
      <c r="F157" s="21" t="s">
        <v>86</v>
      </c>
      <c r="G157" s="21" t="s">
        <v>14</v>
      </c>
      <c r="H157" s="21" t="s">
        <v>87</v>
      </c>
      <c r="I157" s="21" t="s">
        <v>11</v>
      </c>
      <c r="J157" s="21" t="s">
        <v>528</v>
      </c>
      <c r="K157" s="21" t="s">
        <v>871</v>
      </c>
      <c r="L157" s="21" t="s">
        <v>643</v>
      </c>
      <c r="M157" s="21"/>
      <c r="N157" s="26" t="str">
        <f t="shared" si="2"/>
        <v>insert into CHB_DATACHECK_RULE_INV values ('de8E4A49-6813-5A9E-E050-107F21206A69','ProductReportRegister002','inArray','repRiskLevel','==','01,02,03,04','Y','产品风险等级必须选择“01 一级（低）”或者“02 二级（中低）”或者“03 三级（中）”或者“04 四级（中高）”。','E','com.joyintech.tams.invest.common.ChbBaseCheckLib');</v>
      </c>
    </row>
    <row r="158" spans="1:14" s="22" customFormat="1">
      <c r="A158" s="21" t="s">
        <v>129</v>
      </c>
      <c r="B158" s="21" t="s">
        <v>605</v>
      </c>
      <c r="C158" s="21" t="s">
        <v>8</v>
      </c>
      <c r="D158" s="21" t="s">
        <v>130</v>
      </c>
      <c r="E158" s="21"/>
      <c r="F158" s="21"/>
      <c r="G158" s="21" t="s">
        <v>10</v>
      </c>
      <c r="H158" s="21" t="s">
        <v>546</v>
      </c>
      <c r="I158" s="21" t="s">
        <v>636</v>
      </c>
      <c r="J158" s="21" t="s">
        <v>547</v>
      </c>
      <c r="K158" s="21" t="s">
        <v>871</v>
      </c>
      <c r="L158" s="21" t="s">
        <v>643</v>
      </c>
      <c r="M158" s="21"/>
      <c r="N158" s="26" t="str">
        <f t="shared" si="2"/>
        <v>insert into CHB_DATACHECK_RULE_INV values ('de444A49-6813-5A9E-E050-17F01006A65 ','ProductReportRegister002','isNotEmpty','repPricedMode','','','N','产品定价方式要素不可为空。','D','com.joyintech.tams.invest.common.ChbBaseCheckLib');</v>
      </c>
    </row>
    <row r="159" spans="1:14" s="22" customFormat="1">
      <c r="A159" s="21" t="s">
        <v>131</v>
      </c>
      <c r="B159" s="21" t="s">
        <v>605</v>
      </c>
      <c r="C159" s="21" t="s">
        <v>20</v>
      </c>
      <c r="D159" s="21" t="s">
        <v>130</v>
      </c>
      <c r="E159" s="21" t="s">
        <v>34</v>
      </c>
      <c r="F159" s="21" t="s">
        <v>132</v>
      </c>
      <c r="G159" s="21" t="s">
        <v>14</v>
      </c>
      <c r="H159" s="21" t="s">
        <v>133</v>
      </c>
      <c r="I159" s="21" t="s">
        <v>11</v>
      </c>
      <c r="J159" s="21" t="s">
        <v>840</v>
      </c>
      <c r="K159" s="21" t="s">
        <v>871</v>
      </c>
      <c r="L159" s="21" t="s">
        <v>643</v>
      </c>
      <c r="M159" s="21"/>
      <c r="N159" s="26" t="str">
        <f t="shared" si="2"/>
        <v>insert into CHB_DATACHECK_RULE_INV values ('de444A49-6813-5A9E-E050-007F01006A65','ProductReportRegister002','inDatadict','repPricedMode','==','SVR_PRODVALUETYPE','Y','产品定价方式不在值域范围内。','E','com.joyintech.tams.invest.common.ChbBaseCheckLib');</v>
      </c>
    </row>
    <row r="160" spans="1:14" s="22" customFormat="1">
      <c r="A160" s="21" t="s">
        <v>841</v>
      </c>
      <c r="B160" s="21" t="s">
        <v>605</v>
      </c>
      <c r="C160" s="21" t="s">
        <v>8</v>
      </c>
      <c r="D160" s="21" t="s">
        <v>195</v>
      </c>
      <c r="E160" s="21"/>
      <c r="F160" s="21"/>
      <c r="G160" s="21" t="s">
        <v>10</v>
      </c>
      <c r="H160" s="21" t="s">
        <v>572</v>
      </c>
      <c r="I160" s="21" t="s">
        <v>11</v>
      </c>
      <c r="J160" s="21" t="s">
        <v>573</v>
      </c>
      <c r="K160" s="21" t="s">
        <v>871</v>
      </c>
      <c r="L160" s="21" t="s">
        <v>643</v>
      </c>
      <c r="M160" s="21"/>
      <c r="N160" s="26" t="str">
        <f t="shared" si="2"/>
        <v>insert into CHB_DATACHECK_RULE_INV values ('de194A90-6813-5A9E-E050-007F01006A65','ProductReportRegister002','isNotEmpty','repRemark','','','N','备注要素不可为空','E','com.joyintech.tams.invest.common.ChbBaseCheckLib');</v>
      </c>
    </row>
    <row r="161" spans="1:14" s="22" customFormat="1">
      <c r="A161" s="21" t="s">
        <v>839</v>
      </c>
      <c r="B161" s="21" t="s">
        <v>605</v>
      </c>
      <c r="C161" s="21" t="s">
        <v>8</v>
      </c>
      <c r="D161" s="21" t="s">
        <v>195</v>
      </c>
      <c r="E161" s="21"/>
      <c r="F161" s="21"/>
      <c r="G161" s="21" t="s">
        <v>10</v>
      </c>
      <c r="H161" s="21" t="s">
        <v>196</v>
      </c>
      <c r="I161" s="21" t="s">
        <v>11</v>
      </c>
      <c r="J161" s="21" t="s">
        <v>573</v>
      </c>
      <c r="K161" s="21" t="s">
        <v>871</v>
      </c>
      <c r="L161" s="21" t="s">
        <v>643</v>
      </c>
      <c r="M161" s="21"/>
      <c r="N161" s="26" t="str">
        <f t="shared" si="2"/>
        <v>insert into CHB_DATACHECK_RULE_INV values ('de194A92-6813-5A9E-E050-007F01006A65','ProductReportRegister002','isNotEmpty','repRemark','','','N','备注要素不可为空','E','com.joyintech.tams.invest.common.ChbBaseCheckLib');</v>
      </c>
    </row>
    <row r="162" spans="1:14" s="22" customFormat="1">
      <c r="A162" s="21" t="s">
        <v>843</v>
      </c>
      <c r="B162" s="21" t="s">
        <v>605</v>
      </c>
      <c r="C162" s="21" t="s">
        <v>8</v>
      </c>
      <c r="D162" s="21" t="s">
        <v>195</v>
      </c>
      <c r="E162" s="21"/>
      <c r="F162" s="21"/>
      <c r="G162" s="21" t="s">
        <v>10</v>
      </c>
      <c r="H162" s="21" t="s">
        <v>196</v>
      </c>
      <c r="I162" s="21" t="s">
        <v>11</v>
      </c>
      <c r="J162" s="21" t="s">
        <v>573</v>
      </c>
      <c r="K162" s="21" t="s">
        <v>871</v>
      </c>
      <c r="L162" s="21" t="s">
        <v>643</v>
      </c>
      <c r="M162" s="21"/>
      <c r="N162" s="26" t="str">
        <f t="shared" si="2"/>
        <v>insert into CHB_DATACHECK_RULE_INV values ('de194A93-6813-5A9E-E050-007F01006A65','ProductReportRegister002','isNotEmpty','repRemark','','','N','备注要素不可为空','E','com.joyintech.tams.invest.common.ChbBaseCheckLib');</v>
      </c>
    </row>
    <row r="163" spans="1:14" s="22" customFormat="1">
      <c r="A163" s="21" t="s">
        <v>844</v>
      </c>
      <c r="B163" s="21" t="s">
        <v>605</v>
      </c>
      <c r="C163" s="21" t="s">
        <v>8</v>
      </c>
      <c r="D163" s="21" t="s">
        <v>195</v>
      </c>
      <c r="E163" s="21"/>
      <c r="F163" s="21"/>
      <c r="G163" s="21" t="s">
        <v>10</v>
      </c>
      <c r="H163" s="21" t="s">
        <v>196</v>
      </c>
      <c r="I163" s="21" t="s">
        <v>11</v>
      </c>
      <c r="J163" s="21" t="s">
        <v>573</v>
      </c>
      <c r="K163" s="21" t="s">
        <v>871</v>
      </c>
      <c r="L163" s="21" t="s">
        <v>643</v>
      </c>
      <c r="M163" s="21"/>
      <c r="N163" s="26" t="str">
        <f t="shared" si="2"/>
        <v>insert into CHB_DATACHECK_RULE_INV values ('de194A96-6813-5A9E-E050-007F01006A65','ProductReportRegister002','isNotEmpty','repRemark','','','N','备注要素不可为空','E','com.joyintech.tams.invest.common.ChbBaseCheckLib');</v>
      </c>
    </row>
    <row r="164" spans="1:14" s="22" customFormat="1">
      <c r="A164" s="21" t="s">
        <v>845</v>
      </c>
      <c r="B164" s="21" t="s">
        <v>605</v>
      </c>
      <c r="C164" s="21" t="s">
        <v>8</v>
      </c>
      <c r="D164" s="21" t="s">
        <v>195</v>
      </c>
      <c r="E164" s="21"/>
      <c r="F164" s="21"/>
      <c r="G164" s="21" t="s">
        <v>10</v>
      </c>
      <c r="H164" s="21" t="s">
        <v>196</v>
      </c>
      <c r="I164" s="21" t="s">
        <v>11</v>
      </c>
      <c r="J164" s="21" t="s">
        <v>573</v>
      </c>
      <c r="K164" s="21" t="s">
        <v>871</v>
      </c>
      <c r="L164" s="21" t="s">
        <v>643</v>
      </c>
      <c r="M164" s="21"/>
      <c r="N164" s="26" t="str">
        <f t="shared" si="2"/>
        <v>insert into CHB_DATACHECK_RULE_INV values ('de194A95-6813-5A9E-E050-007F01006A65','ProductReportRegister002','isNotEmpty','repRemark','','','N','备注要素不可为空','E','com.joyintech.tams.invest.common.ChbBaseCheckLib');</v>
      </c>
    </row>
    <row r="165" spans="1:14" s="22" customFormat="1">
      <c r="A165" s="21" t="s">
        <v>846</v>
      </c>
      <c r="B165" s="21" t="s">
        <v>605</v>
      </c>
      <c r="C165" s="21" t="s">
        <v>8</v>
      </c>
      <c r="D165" s="21" t="s">
        <v>195</v>
      </c>
      <c r="E165" s="21"/>
      <c r="F165" s="21"/>
      <c r="G165" s="21" t="s">
        <v>10</v>
      </c>
      <c r="H165" s="21" t="s">
        <v>196</v>
      </c>
      <c r="I165" s="21" t="s">
        <v>11</v>
      </c>
      <c r="J165" s="21" t="s">
        <v>573</v>
      </c>
      <c r="K165" s="21" t="s">
        <v>871</v>
      </c>
      <c r="L165" s="21" t="s">
        <v>643</v>
      </c>
      <c r="M165" s="21"/>
      <c r="N165" s="26" t="str">
        <f t="shared" si="2"/>
        <v>insert into CHB_DATACHECK_RULE_INV values ('de194A91-6813-5A9E-E050-007F01006A65','ProductReportRegister002','isNotEmpty','repRemark','','','N','备注要素不可为空','E','com.joyintech.tams.invest.common.ChbBaseCheckLib');</v>
      </c>
    </row>
    <row r="166" spans="1:14" s="22" customFormat="1">
      <c r="A166" s="21" t="s">
        <v>848</v>
      </c>
      <c r="B166" s="21" t="s">
        <v>605</v>
      </c>
      <c r="C166" s="21" t="s">
        <v>8</v>
      </c>
      <c r="D166" s="21" t="s">
        <v>195</v>
      </c>
      <c r="E166" s="21"/>
      <c r="F166" s="21"/>
      <c r="G166" s="21" t="s">
        <v>10</v>
      </c>
      <c r="H166" s="21" t="s">
        <v>196</v>
      </c>
      <c r="I166" s="21" t="s">
        <v>11</v>
      </c>
      <c r="J166" s="21" t="s">
        <v>573</v>
      </c>
      <c r="K166" s="21" t="s">
        <v>871</v>
      </c>
      <c r="L166" s="21" t="s">
        <v>643</v>
      </c>
      <c r="M166" s="21"/>
      <c r="N166" s="26" t="str">
        <f t="shared" si="2"/>
        <v>insert into CHB_DATACHECK_RULE_INV values ('de194A94-6813-5A9E-E050-007F01006A65','ProductReportRegister002','isNotEmpty','repRemark','','','N','备注要素不可为空','E','com.joyintech.tams.invest.common.ChbBaseCheckLib');</v>
      </c>
    </row>
    <row r="167" spans="1:14" s="22" customFormat="1">
      <c r="A167" s="21" t="s">
        <v>868</v>
      </c>
      <c r="B167" s="21" t="s">
        <v>605</v>
      </c>
      <c r="C167" s="21" t="s">
        <v>12</v>
      </c>
      <c r="D167" s="21" t="s">
        <v>195</v>
      </c>
      <c r="E167" s="21" t="s">
        <v>34</v>
      </c>
      <c r="F167" s="21" t="s">
        <v>203</v>
      </c>
      <c r="G167" s="21" t="s">
        <v>14</v>
      </c>
      <c r="H167" s="21" t="s">
        <v>204</v>
      </c>
      <c r="I167" s="24" t="s">
        <v>865</v>
      </c>
      <c r="J167" s="21" t="s">
        <v>573</v>
      </c>
      <c r="K167" s="21" t="s">
        <v>871</v>
      </c>
      <c r="L167" s="21" t="s">
        <v>643</v>
      </c>
      <c r="M167" s="21"/>
      <c r="N167" s="26" t="str">
        <f t="shared" si="2"/>
        <v>insert into CHB_DATACHECK_RULE_INV values ('1e194A89-6813-5A9E-E050-007F01006A66','ProductReportRegister002','lessThanCharLength','repRemark','==','257','Y','备注要素超长（256）','E','com.joyintech.tams.invest.common.ChbBaseCheckLib');</v>
      </c>
    </row>
    <row r="168" spans="1:14" s="22" customFormat="1">
      <c r="A168" s="21" t="s">
        <v>849</v>
      </c>
      <c r="B168" s="21" t="s">
        <v>605</v>
      </c>
      <c r="C168" s="21" t="s">
        <v>16</v>
      </c>
      <c r="D168" s="21" t="s">
        <v>195</v>
      </c>
      <c r="E168" s="21"/>
      <c r="F168" s="21" t="s">
        <v>43</v>
      </c>
      <c r="G168" s="21" t="s">
        <v>14</v>
      </c>
      <c r="H168" s="21" t="s">
        <v>205</v>
      </c>
      <c r="I168" s="21" t="s">
        <v>11</v>
      </c>
      <c r="J168" s="21" t="s">
        <v>573</v>
      </c>
      <c r="K168" s="21" t="s">
        <v>871</v>
      </c>
      <c r="L168" s="21" t="s">
        <v>643</v>
      </c>
      <c r="M168" s="21"/>
      <c r="N168" s="26" t="str">
        <f t="shared" si="2"/>
        <v>insert into CHB_DATACHECK_RULE_INV values ('de294A49-6813-5A9E-E050-007F01006B23','ProductReportRegister002','isCustomizedStringForWhitelist','repRemark','','^[\u4e00-\u9fa5\ue815-\ue864\uff01-\uff5e\uffe0-\uffe5\u3000-\u3003\u3005-\u3017\u301d-\u301e\u2010\u2013-\u2016\u2018-\u2019\u201c-\u201d\u2025-\u2026\u2030\u2032-\u2033\u2035\u203b\u00b7\u0030-\u0039\u0041-\u005a\u0061-\u007a\u2160-\u216b\u0020-\u0026\u0028-\u007B\u007D\u007E]{0,}$','Y','备注必须填写白名单中的文字。','E','com.joyintech.tams.invest.common.ChbBaseCheckLib');</v>
      </c>
    </row>
    <row r="169" spans="1:14" s="37" customFormat="1">
      <c r="A169" s="35" t="s">
        <v>622</v>
      </c>
      <c r="B169" s="36" t="s">
        <v>731</v>
      </c>
      <c r="C169" s="36" t="s">
        <v>624</v>
      </c>
      <c r="D169" s="36" t="s">
        <v>101</v>
      </c>
      <c r="E169" s="36" t="s">
        <v>34</v>
      </c>
      <c r="F169" s="36" t="s">
        <v>625</v>
      </c>
      <c r="G169" s="36" t="s">
        <v>14</v>
      </c>
      <c r="H169" s="36" t="s">
        <v>854</v>
      </c>
      <c r="I169" s="36" t="s">
        <v>11</v>
      </c>
      <c r="J169" s="36" t="s">
        <v>537</v>
      </c>
      <c r="K169" s="21" t="s">
        <v>871</v>
      </c>
      <c r="L169" s="36" t="s">
        <v>643</v>
      </c>
      <c r="M169" s="36"/>
      <c r="N169" s="26" t="str">
        <f t="shared" si="2"/>
        <v>insert into CHB_DATACHECK_RULE_INV values ('de5E4A48-6813-5A9E-E050-007F01006A66','ProductReportRegister002','compareValue','repIssuePartyId','==','Z70024','Y','发行机构代码必须与银行代码相同。','E','com.joyintech.tams.invest.common.ChbBaseCheckLib');</v>
      </c>
    </row>
    <row r="170" spans="1:14" s="37" customFormat="1">
      <c r="A170" s="36" t="s">
        <v>629</v>
      </c>
      <c r="B170" s="36" t="s">
        <v>731</v>
      </c>
      <c r="C170" s="36" t="s">
        <v>872</v>
      </c>
      <c r="D170" s="36" t="s">
        <v>473</v>
      </c>
      <c r="E170" s="36"/>
      <c r="F170" s="36" t="s">
        <v>869</v>
      </c>
      <c r="G170" s="36" t="s">
        <v>855</v>
      </c>
      <c r="H170" s="36" t="s">
        <v>864</v>
      </c>
      <c r="I170" s="36" t="s">
        <v>11</v>
      </c>
      <c r="J170" s="38" t="s">
        <v>631</v>
      </c>
      <c r="K170" s="21" t="s">
        <v>871</v>
      </c>
      <c r="L170" s="38" t="s">
        <v>643</v>
      </c>
      <c r="M170" s="38"/>
      <c r="N170" s="26" t="str">
        <f t="shared" si="2"/>
        <v>insert into CHB_DATACHECK_RULE_INV values ('de5E4A38-6813-5A9E-E050-007F01006A66','ProductReportRegister002','invAssetTypeAndPercent','repInvTypeRat','','(((\d{1,3}(.\d{1,2})?%)|(\d{1,3}(.\d{1,2})?%-\d{1,3}(.\d{1,2})?%)):[\u4e00-\u9fa5_a-zA-Z0-9()_]+;)*(((\d{1,3}(.\d{1,2})?%)|(\d{1,3}(.\d{1,2})?%-\d{1,3}(.\d{1,2})?%)):[\u4e00-\u9fa5_a-zA-Z0-9()_]+)','Y','投资资产种类及比例要素格式不对。正确的格式：数字%：文字；数字%-数字%：文字（其中，百分号、冒号、分号、连字号均应为英文标点，文字和数字部分均不得含有英文百分号、冒号、分号、连字号）。其中，数字格式为n..（5，2），且需大于等于0、小于等于100。','E','com.joyintech.tams.invest.common.ChbBaseCheckLib');</v>
      </c>
    </row>
    <row r="171" spans="1:14">
      <c r="A171" s="39"/>
      <c r="B171" s="39"/>
      <c r="C171" s="39"/>
      <c r="D171" s="39"/>
      <c r="E171" s="39"/>
      <c r="F171" s="39"/>
      <c r="G171" s="39"/>
      <c r="H171" s="39"/>
      <c r="I171" s="39"/>
      <c r="J171" s="40"/>
    </row>
  </sheetData>
  <autoFilter ref="A1:N1"/>
  <phoneticPr fontId="1" type="noConversion"/>
  <hyperlinks>
    <hyperlink ref="M67" r:id="rId1" display="http://pf.joyintech.com:8090/browse/ZZOTZL-439"/>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3"/>
  <sheetViews>
    <sheetView topLeftCell="C1" workbookViewId="0">
      <selection activeCell="D9" sqref="D9"/>
    </sheetView>
  </sheetViews>
  <sheetFormatPr defaultRowHeight="13.5"/>
  <cols>
    <col min="1" max="2" width="40.5" bestFit="1" customWidth="1"/>
    <col min="3" max="3" width="22.75" bestFit="1" customWidth="1"/>
    <col min="4" max="4" width="22" customWidth="1"/>
    <col min="5" max="5" width="11.875" customWidth="1"/>
    <col min="6" max="6" width="11" customWidth="1"/>
    <col min="7" max="7" width="40.875" customWidth="1"/>
    <col min="8" max="8" width="12.375" customWidth="1"/>
    <col min="9" max="9" width="17.125" customWidth="1"/>
  </cols>
  <sheetData>
    <row r="1" spans="1:10" s="3" customFormat="1">
      <c r="A1" s="2" t="s">
        <v>380</v>
      </c>
      <c r="B1" s="2" t="s">
        <v>0</v>
      </c>
      <c r="C1" s="2" t="s">
        <v>1</v>
      </c>
      <c r="D1" s="2" t="s">
        <v>2</v>
      </c>
      <c r="E1" s="2" t="s">
        <v>3</v>
      </c>
      <c r="F1" s="2" t="s">
        <v>4</v>
      </c>
      <c r="G1" s="2" t="s">
        <v>6</v>
      </c>
      <c r="H1" s="2" t="s">
        <v>7</v>
      </c>
      <c r="I1" s="5" t="s">
        <v>441</v>
      </c>
      <c r="J1" s="20" t="s">
        <v>639</v>
      </c>
    </row>
    <row r="2" spans="1:10" s="22" customFormat="1">
      <c r="A2" s="21" t="s">
        <v>280</v>
      </c>
      <c r="B2" s="21" t="s">
        <v>82</v>
      </c>
      <c r="C2" s="21" t="s">
        <v>281</v>
      </c>
      <c r="D2" s="21" t="s">
        <v>137</v>
      </c>
      <c r="E2" s="21" t="s">
        <v>34</v>
      </c>
      <c r="F2" s="21" t="s">
        <v>383</v>
      </c>
      <c r="G2" s="21" t="s">
        <v>476</v>
      </c>
      <c r="H2" s="21" t="s">
        <v>11</v>
      </c>
      <c r="I2" s="26" t="s">
        <v>477</v>
      </c>
      <c r="J2" s="22" t="str">
        <f t="shared" ref="J2:J43" si="0">CONCATENATE("INSERT INTO CHB_DATACHECK_CONDITION_INV VALUES ('",A2,"','",B2,"','",C2,"','",I2,"','",E2,"','",F2,"','",G2,"','",H2,"');")</f>
        <v>INSERT INTO CHB_DATACHECK_CONDITION_INV VALUES ('de3E4A49-6810-5A9E-E650-327F01006A85','de8E4A49-6813-5A9E-E050-107F21206A68','inArrayMin','repRiskType','==','03','当[投资者风险偏好]选择“03 平衡型”时','E');</v>
      </c>
    </row>
    <row r="3" spans="1:10" s="22" customFormat="1">
      <c r="A3" s="21" t="s">
        <v>312</v>
      </c>
      <c r="B3" s="21" t="s">
        <v>75</v>
      </c>
      <c r="C3" s="21" t="s">
        <v>281</v>
      </c>
      <c r="D3" s="21" t="s">
        <v>137</v>
      </c>
      <c r="E3" s="21" t="s">
        <v>34</v>
      </c>
      <c r="F3" s="21" t="s">
        <v>77</v>
      </c>
      <c r="G3" s="21" t="s">
        <v>313</v>
      </c>
      <c r="H3" s="21" t="s">
        <v>11</v>
      </c>
      <c r="I3" s="26" t="s">
        <v>477</v>
      </c>
      <c r="J3" s="22" t="str">
        <f t="shared" si="0"/>
        <v>INSERT INTO CHB_DATACHECK_CONDITION_INV VALUES ('de3E4A49-6810-5A9E-E650-327F01006A83','de8E4A49-6813-5A9E-E050-107F21206A66','inArrayMin','repRiskType','==','01','当[投资者风险偏好]选择“01 保守型”时','E');</v>
      </c>
    </row>
    <row r="4" spans="1:10" s="22" customFormat="1">
      <c r="A4" s="21" t="s">
        <v>325</v>
      </c>
      <c r="B4" s="21" t="s">
        <v>85</v>
      </c>
      <c r="C4" s="21" t="s">
        <v>281</v>
      </c>
      <c r="D4" s="21" t="s">
        <v>137</v>
      </c>
      <c r="E4" s="21" t="s">
        <v>34</v>
      </c>
      <c r="F4" s="21" t="s">
        <v>384</v>
      </c>
      <c r="G4" s="21" t="s">
        <v>326</v>
      </c>
      <c r="H4" s="21" t="s">
        <v>11</v>
      </c>
      <c r="I4" s="26" t="s">
        <v>477</v>
      </c>
      <c r="J4" s="22" t="str">
        <f t="shared" si="0"/>
        <v>INSERT INTO CHB_DATACHECK_CONDITION_INV VALUES ('de3E4A49-6810-5A9E-E650-327F01006A86','de8E4A49-6813-5A9E-E050-107F21206A69','inArrayMin','repRiskType','==','04','当[投资者风险偏好]选择“04 成长型”时','E');</v>
      </c>
    </row>
    <row r="5" spans="1:10" s="22" customFormat="1">
      <c r="A5" s="21" t="s">
        <v>300</v>
      </c>
      <c r="B5" s="21" t="s">
        <v>201</v>
      </c>
      <c r="C5" s="21" t="s">
        <v>184</v>
      </c>
      <c r="D5" s="21" t="s">
        <v>211</v>
      </c>
      <c r="E5" s="21" t="s">
        <v>34</v>
      </c>
      <c r="F5" s="21" t="s">
        <v>381</v>
      </c>
      <c r="G5" s="21" t="s">
        <v>478</v>
      </c>
      <c r="H5" s="21" t="s">
        <v>11</v>
      </c>
      <c r="I5" s="26" t="s">
        <v>847</v>
      </c>
      <c r="J5" s="22" t="str">
        <f t="shared" si="0"/>
        <v>INSERT INTO CHB_DATACHECK_CONDITION_INV VALUES ('de3E4A49-6810-5A9E-E650-A49F01006A13','de194A91-6813-5A9E-E050-007F01006A65','compareValue','repRaiseCcy','==','99','当募集币种为其他时','E');</v>
      </c>
    </row>
    <row r="6" spans="1:10" s="22" customFormat="1">
      <c r="A6" s="21" t="s">
        <v>306</v>
      </c>
      <c r="B6" s="21" t="s">
        <v>79</v>
      </c>
      <c r="C6" s="21" t="s">
        <v>281</v>
      </c>
      <c r="D6" s="21" t="s">
        <v>137</v>
      </c>
      <c r="E6" s="21" t="s">
        <v>34</v>
      </c>
      <c r="F6" s="21" t="s">
        <v>382</v>
      </c>
      <c r="G6" s="21" t="s">
        <v>480</v>
      </c>
      <c r="H6" s="21" t="s">
        <v>11</v>
      </c>
      <c r="I6" s="26" t="s">
        <v>477</v>
      </c>
      <c r="J6" s="22" t="str">
        <f t="shared" si="0"/>
        <v>INSERT INTO CHB_DATACHECK_CONDITION_INV VALUES ('de3E4A49-6810-5A9E-E650-327F01006A84','de8E4A49-6813-5A9E-E050-107F21206A67','inArrayMin','repRiskType','==','02','当[投资者风险偏好]选择“02 稳健型”时','E');</v>
      </c>
    </row>
    <row r="7" spans="1:10" s="22" customFormat="1">
      <c r="A7" s="21" t="s">
        <v>286</v>
      </c>
      <c r="B7" s="21" t="s">
        <v>109</v>
      </c>
      <c r="C7" s="21" t="s">
        <v>76</v>
      </c>
      <c r="D7" s="21" t="s">
        <v>91</v>
      </c>
      <c r="E7" s="21" t="s">
        <v>34</v>
      </c>
      <c r="F7" s="21" t="s">
        <v>287</v>
      </c>
      <c r="G7" s="21" t="s">
        <v>481</v>
      </c>
      <c r="H7" s="21" t="s">
        <v>633</v>
      </c>
      <c r="I7" s="26" t="s">
        <v>482</v>
      </c>
      <c r="J7" s="22" t="str">
        <f t="shared" si="0"/>
        <v>INSERT INTO CHB_DATACHECK_CONDITION_INV VALUES ('de3E4A49-6810-5A9E-E650-917F01006A83','de404A49-6813-5A9E-E050-007F01006A65','inArray','repPmmode','==','02,03','当“产品管理模式”要素选择“03 资产管理公司”或“02 其他机构为实际管理人”时','D');</v>
      </c>
    </row>
    <row r="8" spans="1:10" s="22" customFormat="1">
      <c r="A8" s="21" t="s">
        <v>302</v>
      </c>
      <c r="B8" s="21" t="s">
        <v>111</v>
      </c>
      <c r="C8" s="21" t="s">
        <v>76</v>
      </c>
      <c r="D8" s="21" t="s">
        <v>91</v>
      </c>
      <c r="E8" s="21" t="s">
        <v>34</v>
      </c>
      <c r="F8" s="21" t="s">
        <v>303</v>
      </c>
      <c r="G8" s="21" t="s">
        <v>304</v>
      </c>
      <c r="H8" s="21" t="s">
        <v>11</v>
      </c>
      <c r="I8" s="26" t="s">
        <v>482</v>
      </c>
      <c r="J8" s="22" t="str">
        <f t="shared" si="0"/>
        <v>INSERT INTO CHB_DATACHECK_CONDITION_INV VALUES ('de3E4A49-6810-5A9E-E650-A37F01006A83','de434A49-6813-5A9E-E050-007F01006A65','inArray','repPmmode','==','01,04','当“产品管理模式”要素选择“01 银行为实际管理人” 或“04 特殊目的载体（SPV）”时','E');</v>
      </c>
    </row>
    <row r="9" spans="1:10" s="22" customFormat="1">
      <c r="A9" s="21" t="s">
        <v>282</v>
      </c>
      <c r="B9" s="21" t="s">
        <v>52</v>
      </c>
      <c r="C9" s="21" t="s">
        <v>76</v>
      </c>
      <c r="D9" s="21" t="s">
        <v>250</v>
      </c>
      <c r="E9" s="21" t="s">
        <v>34</v>
      </c>
      <c r="F9" s="21" t="s">
        <v>80</v>
      </c>
      <c r="G9" s="21" t="s">
        <v>483</v>
      </c>
      <c r="H9" s="21" t="s">
        <v>11</v>
      </c>
      <c r="I9" s="26" t="s">
        <v>484</v>
      </c>
      <c r="J9" s="22" t="str">
        <f t="shared" si="0"/>
        <v>INSERT INTO CHB_DATACHECK_CONDITION_INV VALUES ('de3E4A49-6810-2A9E-E750-207F01006A83','de284A49-6813-5A9E-E050-007F01006A65','inArray','repOperateMode','==','01,02','当“产品运作模式”要素选择“01 封闭式净值型”或“02 封闭式非净值型”时','E');</v>
      </c>
    </row>
    <row r="10" spans="1:10" s="22" customFormat="1">
      <c r="A10" s="21" t="s">
        <v>851</v>
      </c>
      <c r="B10" s="21" t="s">
        <v>700</v>
      </c>
      <c r="C10" s="21" t="s">
        <v>76</v>
      </c>
      <c r="D10" s="21" t="s">
        <v>250</v>
      </c>
      <c r="E10" s="21" t="s">
        <v>34</v>
      </c>
      <c r="F10" s="21" t="s">
        <v>284</v>
      </c>
      <c r="G10" s="21" t="s">
        <v>285</v>
      </c>
      <c r="H10" s="21" t="s">
        <v>11</v>
      </c>
      <c r="I10" s="26" t="s">
        <v>484</v>
      </c>
      <c r="J10" s="22" t="str">
        <f t="shared" si="0"/>
        <v>INSERT INTO CHB_DATACHECK_CONDITION_INV VALUES ('de3E4A49-6810-5A9E-E650-517F01006A83','de344A49-6813-5A9E-E050-007F01006A65','inArray','repOperateMode','==','03,04','当“产品运作模式”要素选择“03 开放式净值型”或“04 开放式非净值型”时','E');</v>
      </c>
    </row>
    <row r="11" spans="1:10" s="22" customFormat="1">
      <c r="A11" s="21" t="s">
        <v>307</v>
      </c>
      <c r="B11" s="21" t="s">
        <v>116</v>
      </c>
      <c r="C11" s="21" t="s">
        <v>76</v>
      </c>
      <c r="D11" s="21" t="s">
        <v>250</v>
      </c>
      <c r="E11" s="21" t="s">
        <v>34</v>
      </c>
      <c r="F11" s="21" t="s">
        <v>284</v>
      </c>
      <c r="G11" s="21" t="s">
        <v>285</v>
      </c>
      <c r="H11" s="21" t="s">
        <v>634</v>
      </c>
      <c r="I11" s="26" t="s">
        <v>484</v>
      </c>
      <c r="J11" s="22" t="str">
        <f t="shared" si="0"/>
        <v>INSERT INTO CHB_DATACHECK_CONDITION_INV VALUES ('de3E4A49-6810-1A9E-E650-007F01006A83','de254A49-6813-5A9E-E050-007F01006A65','inArray','repOperateMode','==','03,04','当“产品运作模式”要素选择“03 开放式净值型”或“04 开放式非净值型”时','D');</v>
      </c>
    </row>
    <row r="12" spans="1:10" s="22" customFormat="1">
      <c r="A12" s="21" t="s">
        <v>332</v>
      </c>
      <c r="B12" s="21" t="s">
        <v>118</v>
      </c>
      <c r="C12" s="21" t="s">
        <v>76</v>
      </c>
      <c r="D12" s="21" t="s">
        <v>250</v>
      </c>
      <c r="E12" s="21" t="s">
        <v>34</v>
      </c>
      <c r="F12" s="21" t="s">
        <v>80</v>
      </c>
      <c r="G12" s="21" t="s">
        <v>283</v>
      </c>
      <c r="H12" s="21" t="s">
        <v>11</v>
      </c>
      <c r="I12" s="26" t="s">
        <v>484</v>
      </c>
      <c r="J12" s="22" t="str">
        <f t="shared" si="0"/>
        <v>INSERT INTO CHB_DATACHECK_CONDITION_INV VALUES ('de3E4A49-6810-2A9E-E750-107F01006A83','de274A49-6813-5A9E-E050-007F01006A65','inArray','repOperateMode','==','01,02','当“产品运作模式”要素选择“01 封闭式净值型”或“02 封闭式非净值型”时','E');</v>
      </c>
    </row>
    <row r="13" spans="1:10" s="25" customFormat="1">
      <c r="A13" s="24" t="s">
        <v>333</v>
      </c>
      <c r="B13" s="24" t="s">
        <v>106</v>
      </c>
      <c r="C13" s="24" t="s">
        <v>76</v>
      </c>
      <c r="D13" s="24" t="s">
        <v>250</v>
      </c>
      <c r="E13" s="24" t="s">
        <v>34</v>
      </c>
      <c r="F13" s="24" t="s">
        <v>80</v>
      </c>
      <c r="G13" s="24" t="s">
        <v>283</v>
      </c>
      <c r="H13" s="30" t="s">
        <v>863</v>
      </c>
      <c r="I13" s="31" t="s">
        <v>484</v>
      </c>
      <c r="J13" s="25" t="str">
        <f t="shared" si="0"/>
        <v>INSERT INTO CHB_DATACHECK_CONDITION_INV VALUES ('de3E4A49-6810-5A9E-E650-817F01006A83','de374A49-6813-5A9E-E050-007F01006A65','inArray','repOperateMode','==','01,02','当“产品运作模式”要素选择“01 封闭式净值型”或“02 封闭式非净值型”时','E');</v>
      </c>
    </row>
    <row r="14" spans="1:10" s="22" customFormat="1">
      <c r="A14" s="21" t="s">
        <v>339</v>
      </c>
      <c r="B14" s="21" t="s">
        <v>60</v>
      </c>
      <c r="C14" s="21" t="s">
        <v>76</v>
      </c>
      <c r="D14" s="21" t="s">
        <v>250</v>
      </c>
      <c r="E14" s="21" t="s">
        <v>34</v>
      </c>
      <c r="F14" s="21" t="s">
        <v>80</v>
      </c>
      <c r="G14" s="21" t="s">
        <v>283</v>
      </c>
      <c r="H14" s="21" t="s">
        <v>11</v>
      </c>
      <c r="I14" s="26" t="s">
        <v>484</v>
      </c>
      <c r="J14" s="22" t="str">
        <f t="shared" si="0"/>
        <v>INSERT INTO CHB_DATACHECK_CONDITION_INV VALUES ('de3E4A49-6810-2A9E-E750-007F01006A83','de324A49-6813-5A9E-E050-107F01006A65','inArray','repOperateMode','==','01,02','当“产品运作模式”要素选择“01 封闭式净值型”或“02 封闭式非净值型”时','E');</v>
      </c>
    </row>
    <row r="15" spans="1:10" s="22" customFormat="1">
      <c r="A15" s="21" t="s">
        <v>318</v>
      </c>
      <c r="B15" s="21" t="s">
        <v>194</v>
      </c>
      <c r="C15" s="21" t="s">
        <v>184</v>
      </c>
      <c r="D15" s="21" t="s">
        <v>177</v>
      </c>
      <c r="E15" s="21" t="s">
        <v>34</v>
      </c>
      <c r="F15" s="21" t="s">
        <v>381</v>
      </c>
      <c r="G15" s="21" t="s">
        <v>485</v>
      </c>
      <c r="H15" s="21" t="s">
        <v>11</v>
      </c>
      <c r="I15" s="26" t="s">
        <v>801</v>
      </c>
      <c r="J15" s="22" t="str">
        <f t="shared" si="0"/>
        <v>INSERT INTO CHB_DATACHECK_CONDITION_INV VALUES ('de3E4A49-6810-5A9E-E650-A49F01006A12','de194A90-6813-5A9E-E050-007F01006A65','compareValue','repInvestCountry','==','99','当产品投资国家或地区为其他时','E');</v>
      </c>
    </row>
    <row r="16" spans="1:10" s="22" customFormat="1">
      <c r="A16" s="21" t="s">
        <v>336</v>
      </c>
      <c r="B16" s="21" t="s">
        <v>198</v>
      </c>
      <c r="C16" s="21" t="s">
        <v>184</v>
      </c>
      <c r="D16" s="21" t="s">
        <v>65</v>
      </c>
      <c r="E16" s="21" t="s">
        <v>34</v>
      </c>
      <c r="F16" s="21" t="s">
        <v>381</v>
      </c>
      <c r="G16" s="21" t="s">
        <v>487</v>
      </c>
      <c r="H16" s="21" t="s">
        <v>11</v>
      </c>
      <c r="I16" s="26" t="s">
        <v>779</v>
      </c>
      <c r="J16" s="22" t="str">
        <f t="shared" si="0"/>
        <v>INSERT INTO CHB_DATACHECK_CONDITION_INV VALUES ('de3E4A49-6810-5A9E-E650-A49F01006A15','de194A93-6813-5A9E-E050-007F01006A65','compareValue','repCashProfCcy','==','99','当兑付收益币种为其他时','E');</v>
      </c>
    </row>
    <row r="17" spans="1:10" s="22" customFormat="1">
      <c r="A17" s="21" t="s">
        <v>288</v>
      </c>
      <c r="B17" s="21" t="s">
        <v>233</v>
      </c>
      <c r="C17" s="21" t="s">
        <v>184</v>
      </c>
      <c r="D17" s="21" t="s">
        <v>37</v>
      </c>
      <c r="E17" s="21" t="s">
        <v>34</v>
      </c>
      <c r="F17" s="21" t="s">
        <v>382</v>
      </c>
      <c r="G17" s="21" t="s">
        <v>489</v>
      </c>
      <c r="H17" s="28" t="s">
        <v>664</v>
      </c>
      <c r="I17" s="26" t="s">
        <v>490</v>
      </c>
      <c r="J17" s="22" t="str">
        <f t="shared" si="0"/>
        <v>INSERT INTO CHB_DATACHECK_CONDITION_INV VALUES ('de3E4A49-6810-5A9E-E650-A41101006A83','de464A70-6813-5A9E-E050-007F01006A65','compareValue','repInvestArea','==','02','当“资金投向地区”要素选择“02 境外”时','D');</v>
      </c>
    </row>
    <row r="18" spans="1:10" s="22" customFormat="1">
      <c r="A18" s="21" t="s">
        <v>290</v>
      </c>
      <c r="B18" s="21" t="s">
        <v>151</v>
      </c>
      <c r="C18" s="21" t="s">
        <v>184</v>
      </c>
      <c r="D18" s="21" t="s">
        <v>37</v>
      </c>
      <c r="E18" s="21" t="s">
        <v>34</v>
      </c>
      <c r="F18" s="21" t="s">
        <v>77</v>
      </c>
      <c r="G18" s="21" t="s">
        <v>291</v>
      </c>
      <c r="H18" s="21" t="s">
        <v>11</v>
      </c>
      <c r="I18" s="26" t="s">
        <v>490</v>
      </c>
      <c r="J18" s="22" t="str">
        <f t="shared" si="0"/>
        <v>INSERT INTO CHB_DATACHECK_CONDITION_INV VALUES ('de3E4A49-6810-5A9E-E650-A49F01006A07','de194A80-6813-5A9E-E050-007F01006A65','compareValue','repInvestArea','==','01','当“资金投向地区”要素选择“01 境内”时','E');</v>
      </c>
    </row>
    <row r="19" spans="1:10" s="22" customFormat="1">
      <c r="A19" s="21" t="s">
        <v>310</v>
      </c>
      <c r="B19" s="21" t="s">
        <v>176</v>
      </c>
      <c r="C19" s="21" t="s">
        <v>184</v>
      </c>
      <c r="D19" s="21" t="s">
        <v>37</v>
      </c>
      <c r="E19" s="21" t="s">
        <v>34</v>
      </c>
      <c r="F19" s="21" t="s">
        <v>77</v>
      </c>
      <c r="G19" s="21" t="s">
        <v>491</v>
      </c>
      <c r="H19" s="21" t="s">
        <v>11</v>
      </c>
      <c r="I19" s="26" t="s">
        <v>490</v>
      </c>
      <c r="J19" s="22" t="str">
        <f t="shared" si="0"/>
        <v>INSERT INTO CHB_DATACHECK_CONDITION_INV VALUES ('de3E4A49-6810-5A9E-E350-007F01006A83','de204A49-6813-5A9E-E050-007F01006A65','compareValue','repInvestArea','==','01','当资金投向地区为01 境内时','E');</v>
      </c>
    </row>
    <row r="20" spans="1:10" s="22" customFormat="1">
      <c r="A20" s="21" t="s">
        <v>316</v>
      </c>
      <c r="B20" s="21" t="s">
        <v>235</v>
      </c>
      <c r="C20" s="21" t="s">
        <v>184</v>
      </c>
      <c r="D20" s="21" t="s">
        <v>37</v>
      </c>
      <c r="E20" s="21" t="s">
        <v>34</v>
      </c>
      <c r="F20" s="21" t="s">
        <v>77</v>
      </c>
      <c r="G20" s="21" t="s">
        <v>291</v>
      </c>
      <c r="H20" s="21" t="s">
        <v>11</v>
      </c>
      <c r="I20" s="26" t="s">
        <v>490</v>
      </c>
      <c r="J20" s="22" t="str">
        <f t="shared" si="0"/>
        <v>INSERT INTO CHB_DATACHECK_CONDITION_INV VALUES ('de3E4A49-6810-5A9E-E650-A49F01006A04','de194A77-6813-5A9E-E050-007F01006A65','compareValue','repInvestArea','==','01','当“资金投向地区”要素选择“01 境内”时','E');</v>
      </c>
    </row>
    <row r="21" spans="1:10" s="22" customFormat="1">
      <c r="A21" s="21" t="s">
        <v>317</v>
      </c>
      <c r="B21" s="21" t="s">
        <v>240</v>
      </c>
      <c r="C21" s="21" t="s">
        <v>184</v>
      </c>
      <c r="D21" s="21" t="s">
        <v>67</v>
      </c>
      <c r="E21" s="21" t="s">
        <v>34</v>
      </c>
      <c r="F21" s="21" t="s">
        <v>382</v>
      </c>
      <c r="G21" s="21" t="s">
        <v>295</v>
      </c>
      <c r="H21" s="21" t="s">
        <v>11</v>
      </c>
      <c r="I21" s="26" t="s">
        <v>493</v>
      </c>
      <c r="J21" s="22" t="str">
        <f t="shared" si="0"/>
        <v>INSERT INTO CHB_DATACHECK_CONDITION_INV VALUES ('de3E4A49-6810-5A9E-E650-A49F01006A09','de194A87-6813-5A9E-E050-007F01006A65','compareValue','repCreditFlag','==','02','“产品增信标识”选择 “02 无”时','E');</v>
      </c>
    </row>
    <row r="22" spans="1:10" s="22" customFormat="1">
      <c r="A22" s="21" t="s">
        <v>320</v>
      </c>
      <c r="B22" s="21" t="s">
        <v>149</v>
      </c>
      <c r="C22" s="21" t="s">
        <v>76</v>
      </c>
      <c r="D22" s="21" t="s">
        <v>37</v>
      </c>
      <c r="E22" s="21" t="s">
        <v>34</v>
      </c>
      <c r="F22" s="21" t="s">
        <v>287</v>
      </c>
      <c r="G22" s="21" t="s">
        <v>321</v>
      </c>
      <c r="H22" s="21" t="s">
        <v>635</v>
      </c>
      <c r="I22" s="26" t="s">
        <v>490</v>
      </c>
      <c r="J22" s="22" t="str">
        <f t="shared" si="0"/>
        <v>INSERT INTO CHB_DATACHECK_CONDITION_INV VALUES ('de3E4A49-6810-5A9E-E650-A49F01006A05','de194A78-6813-5A9E-E050-007F01006A65','inArray','repInvestArea','==','02,03','当“资金投向地区”要素选择“02 境外”或“03 境内和境外”时','D');</v>
      </c>
    </row>
    <row r="23" spans="1:10" s="22" customFormat="1">
      <c r="A23" s="21" t="s">
        <v>322</v>
      </c>
      <c r="B23" s="21" t="s">
        <v>238</v>
      </c>
      <c r="C23" s="21" t="s">
        <v>184</v>
      </c>
      <c r="D23" s="21" t="s">
        <v>67</v>
      </c>
      <c r="E23" s="21" t="s">
        <v>34</v>
      </c>
      <c r="F23" s="21" t="s">
        <v>77</v>
      </c>
      <c r="G23" s="21" t="s">
        <v>323</v>
      </c>
      <c r="H23" s="21" t="s">
        <v>636</v>
      </c>
      <c r="I23" s="26" t="s">
        <v>493</v>
      </c>
      <c r="J23" s="22" t="str">
        <f t="shared" si="0"/>
        <v>INSERT INTO CHB_DATACHECK_CONDITION_INV VALUES ('de3E4A49-6810-5A9E-E650-A49F01006A08','de184A86-6813-5A9E-E050-007F01006A65','compareValue','repCreditFlag','==','01','若“产品增信标识”选择“01 有”时','D');</v>
      </c>
    </row>
    <row r="24" spans="1:10" s="22" customFormat="1">
      <c r="A24" s="21" t="s">
        <v>324</v>
      </c>
      <c r="B24" s="21" t="s">
        <v>244</v>
      </c>
      <c r="C24" s="21" t="s">
        <v>184</v>
      </c>
      <c r="D24" s="21" t="s">
        <v>67</v>
      </c>
      <c r="E24" s="21" t="s">
        <v>34</v>
      </c>
      <c r="F24" s="21" t="s">
        <v>77</v>
      </c>
      <c r="G24" s="21" t="s">
        <v>492</v>
      </c>
      <c r="H24" s="21" t="s">
        <v>637</v>
      </c>
      <c r="I24" s="26" t="s">
        <v>493</v>
      </c>
      <c r="J24" s="22" t="str">
        <f t="shared" si="0"/>
        <v>INSERT INTO CHB_DATACHECK_CONDITION_INV VALUES ('de3E4A49-6810-5A9E-E650-A49F01006A10','de464A88-6813-5A9E-E050-007F01006A65','compareValue','repCreditFlag','==','01','若“产品增信标识”选择“01 有”时','D');</v>
      </c>
    </row>
    <row r="25" spans="1:10" s="22" customFormat="1">
      <c r="A25" s="21" t="s">
        <v>294</v>
      </c>
      <c r="B25" s="21" t="s">
        <v>246</v>
      </c>
      <c r="C25" s="21" t="s">
        <v>184</v>
      </c>
      <c r="D25" s="21" t="s">
        <v>67</v>
      </c>
      <c r="E25" s="21" t="s">
        <v>34</v>
      </c>
      <c r="F25" s="21" t="s">
        <v>382</v>
      </c>
      <c r="G25" s="21" t="s">
        <v>295</v>
      </c>
      <c r="H25" s="21" t="s">
        <v>11</v>
      </c>
      <c r="I25" s="26" t="s">
        <v>493</v>
      </c>
      <c r="J25" s="22" t="str">
        <f t="shared" si="0"/>
        <v>INSERT INTO CHB_DATACHECK_CONDITION_INV VALUES ('de3E4A49-6810-5A9E-E650-A49F01006A11','de194A89-6813-5A9E-E050-007F01006A65','compareValue','repCreditFlag','==','02','“产品增信标识”选择 “02 无”时','E');</v>
      </c>
    </row>
    <row r="26" spans="1:10" s="22" customFormat="1">
      <c r="A26" s="21" t="s">
        <v>296</v>
      </c>
      <c r="B26" s="21" t="s">
        <v>154</v>
      </c>
      <c r="C26" s="21" t="s">
        <v>76</v>
      </c>
      <c r="D26" s="21" t="s">
        <v>37</v>
      </c>
      <c r="E26" s="21" t="s">
        <v>34</v>
      </c>
      <c r="F26" s="21" t="s">
        <v>297</v>
      </c>
      <c r="G26" s="21" t="s">
        <v>298</v>
      </c>
      <c r="H26" s="21" t="s">
        <v>637</v>
      </c>
      <c r="I26" s="26" t="s">
        <v>490</v>
      </c>
      <c r="J26" s="22" t="str">
        <f t="shared" si="0"/>
        <v>INSERT INTO CHB_DATACHECK_CONDITION_INV VALUES ('de3E4A49-6810-5A9E-E550-007F01006A83','de224A49-6813-5A9E-E050-007F01006A65','inArray','repInvestArea','==','01,03','当“资金投向地区”要素选择“01 境内”或“03 境内和境外”时','D');</v>
      </c>
    </row>
    <row r="27" spans="1:10" s="22" customFormat="1">
      <c r="A27" s="21" t="s">
        <v>301</v>
      </c>
      <c r="B27" s="21" t="s">
        <v>213</v>
      </c>
      <c r="C27" s="21" t="s">
        <v>184</v>
      </c>
      <c r="D27" s="21" t="s">
        <v>37</v>
      </c>
      <c r="E27" s="21" t="s">
        <v>34</v>
      </c>
      <c r="F27" s="21" t="s">
        <v>382</v>
      </c>
      <c r="G27" s="21" t="s">
        <v>289</v>
      </c>
      <c r="H27" s="21" t="s">
        <v>11</v>
      </c>
      <c r="I27" s="26" t="s">
        <v>490</v>
      </c>
      <c r="J27" s="22" t="str">
        <f t="shared" si="0"/>
        <v>INSERT INTO CHB_DATACHECK_CONDITION_INV VALUES ('de3E4A49-6810-5A9E-E650-A49F01006A01','de304A73-6813-5A9E-E050-007F01006A66','compareValue','repInvestArea','==','02','当“资金投向地区”要素选择“02 境外”时','E');</v>
      </c>
    </row>
    <row r="28" spans="1:10" s="22" customFormat="1">
      <c r="A28" s="21" t="s">
        <v>305</v>
      </c>
      <c r="B28" s="21" t="s">
        <v>202</v>
      </c>
      <c r="C28" s="21" t="s">
        <v>184</v>
      </c>
      <c r="D28" s="21" t="s">
        <v>58</v>
      </c>
      <c r="E28" s="21" t="s">
        <v>34</v>
      </c>
      <c r="F28" s="21" t="s">
        <v>381</v>
      </c>
      <c r="G28" s="21" t="s">
        <v>494</v>
      </c>
      <c r="H28" s="21" t="s">
        <v>11</v>
      </c>
      <c r="I28" s="26" t="s">
        <v>495</v>
      </c>
      <c r="J28" s="22" t="str">
        <f t="shared" si="0"/>
        <v>INSERT INTO CHB_DATACHECK_CONDITION_INV VALUES ('de3E4A49-6810-5A9E-E650-A49F01006A16','de194A94-6813-5A9E-E050-007F01006A65','compareValue','isFreeRedem','==','99','当最短持有期后是否自由赎回选择 其他时','E');</v>
      </c>
    </row>
    <row r="29" spans="1:10" s="22" customFormat="1">
      <c r="A29" s="21" t="s">
        <v>308</v>
      </c>
      <c r="B29" s="21" t="s">
        <v>121</v>
      </c>
      <c r="C29" s="21" t="s">
        <v>76</v>
      </c>
      <c r="D29" s="21" t="s">
        <v>37</v>
      </c>
      <c r="E29" s="21" t="s">
        <v>34</v>
      </c>
      <c r="F29" s="21" t="s">
        <v>297</v>
      </c>
      <c r="G29" s="21" t="s">
        <v>298</v>
      </c>
      <c r="H29" s="21" t="s">
        <v>637</v>
      </c>
      <c r="I29" s="26" t="s">
        <v>490</v>
      </c>
      <c r="J29" s="22" t="str">
        <f t="shared" si="0"/>
        <v>INSERT INTO CHB_DATACHECK_CONDITION_INV VALUES ('de3E4A49-6810-5A9E-E650-A41001006A83','de464A69-6813-5A9E-E050-007F01006A65','inArray','repInvestArea','==','01,03','当“资金投向地区”要素选择“01 境内”或“03 境内和境外”时','D');</v>
      </c>
    </row>
    <row r="30" spans="1:10" s="22" customFormat="1">
      <c r="A30" s="21" t="s">
        <v>309</v>
      </c>
      <c r="B30" s="21" t="s">
        <v>123</v>
      </c>
      <c r="C30" s="21" t="s">
        <v>184</v>
      </c>
      <c r="D30" s="21" t="s">
        <v>37</v>
      </c>
      <c r="E30" s="21" t="s">
        <v>34</v>
      </c>
      <c r="F30" s="21" t="s">
        <v>382</v>
      </c>
      <c r="G30" s="21" t="s">
        <v>289</v>
      </c>
      <c r="H30" s="21" t="s">
        <v>11</v>
      </c>
      <c r="I30" s="26" t="s">
        <v>490</v>
      </c>
      <c r="J30" s="22" t="str">
        <f t="shared" si="0"/>
        <v>INSERT INTO CHB_DATACHECK_CONDITION_INV VALUES ('de3E4A49-6810-5A9E-E650-A41201006A83','de304A71-6813-5A9E-E050-007F01006A66','compareValue','repInvestArea','==','02','当“资金投向地区”要素选择“02 境外”时','E');</v>
      </c>
    </row>
    <row r="31" spans="1:10" s="22" customFormat="1">
      <c r="A31" s="21" t="s">
        <v>329</v>
      </c>
      <c r="B31" s="21" t="s">
        <v>231</v>
      </c>
      <c r="C31" s="21" t="s">
        <v>76</v>
      </c>
      <c r="D31" s="21" t="s">
        <v>37</v>
      </c>
      <c r="E31" s="21" t="s">
        <v>34</v>
      </c>
      <c r="F31" s="21" t="s">
        <v>287</v>
      </c>
      <c r="G31" s="21" t="s">
        <v>321</v>
      </c>
      <c r="H31" s="21" t="s">
        <v>637</v>
      </c>
      <c r="I31" s="26" t="s">
        <v>490</v>
      </c>
      <c r="J31" s="22" t="str">
        <f t="shared" si="0"/>
        <v>INSERT INTO CHB_DATACHECK_CONDITION_INV VALUES ('de3E4A49-6810-5A9E-E650-A49F01006A03','de194A76-6813-5A9E-E050-007F01006A03','inArray','repInvestArea','==','02,03','当“资金投向地区”要素选择“02 境外”或“03 境内和境外”时','D');</v>
      </c>
    </row>
    <row r="32" spans="1:10" s="22" customFormat="1">
      <c r="A32" s="21" t="s">
        <v>330</v>
      </c>
      <c r="B32" s="21" t="s">
        <v>183</v>
      </c>
      <c r="C32" s="21" t="s">
        <v>184</v>
      </c>
      <c r="D32" s="21" t="s">
        <v>37</v>
      </c>
      <c r="E32" s="21" t="s">
        <v>34</v>
      </c>
      <c r="F32" s="21" t="s">
        <v>382</v>
      </c>
      <c r="G32" s="21" t="s">
        <v>289</v>
      </c>
      <c r="H32" s="28" t="s">
        <v>664</v>
      </c>
      <c r="I32" s="26" t="s">
        <v>490</v>
      </c>
      <c r="J32" s="22" t="str">
        <f t="shared" si="0"/>
        <v>INSERT INTO CHB_DATACHECK_CONDITION_INV VALUES ('1e3E4A49-6810-5A9E-E650-A49F01006A16','de184A49-6813-5A9E-E050-107F01006A65','compareValue','repInvestArea','==','02','当“资金投向地区”要素选择“02 境外”时','D');</v>
      </c>
    </row>
    <row r="33" spans="1:10" s="22" customFormat="1">
      <c r="A33" s="21" t="s">
        <v>331</v>
      </c>
      <c r="B33" s="21" t="s">
        <v>182</v>
      </c>
      <c r="C33" s="21" t="s">
        <v>76</v>
      </c>
      <c r="D33" s="21" t="s">
        <v>37</v>
      </c>
      <c r="E33" s="21" t="s">
        <v>34</v>
      </c>
      <c r="F33" s="21" t="s">
        <v>287</v>
      </c>
      <c r="G33" s="21" t="s">
        <v>321</v>
      </c>
      <c r="H33" s="21" t="s">
        <v>637</v>
      </c>
      <c r="I33" s="26" t="s">
        <v>490</v>
      </c>
      <c r="J33" s="22" t="str">
        <f t="shared" si="0"/>
        <v>INSERT INTO CHB_DATACHECK_CONDITION_INV VALUES ('de3E4A49-6810-5A9E-E150-007F01006A83','de184A49-6813-5A9E-E050-007F01006A65','inArray','repInvestArea','==','02,03','当“资金投向地区”要素选择“02 境外”或“03 境内和境外”时','D');</v>
      </c>
    </row>
    <row r="34" spans="1:10" s="22" customFormat="1">
      <c r="A34" s="21" t="s">
        <v>337</v>
      </c>
      <c r="B34" s="21" t="s">
        <v>156</v>
      </c>
      <c r="C34" s="21" t="s">
        <v>184</v>
      </c>
      <c r="D34" s="21" t="s">
        <v>37</v>
      </c>
      <c r="E34" s="21" t="s">
        <v>34</v>
      </c>
      <c r="F34" s="21" t="s">
        <v>382</v>
      </c>
      <c r="G34" s="21" t="s">
        <v>338</v>
      </c>
      <c r="H34" s="21" t="s">
        <v>11</v>
      </c>
      <c r="I34" s="26" t="s">
        <v>490</v>
      </c>
      <c r="J34" s="22" t="str">
        <f t="shared" si="0"/>
        <v>INSERT INTO CHB_DATACHECK_CONDITION_INV VALUES ('de3E4A49-6810-5A9E-E650-007F01006A83','de234A49-6813-5A9E-E050-007F01006A65','compareValue','repInvestArea','==','02','当“资金投向地区”要素选择“02境外”时','E');</v>
      </c>
    </row>
    <row r="35" spans="1:10" s="22" customFormat="1">
      <c r="A35" s="21" t="s">
        <v>319</v>
      </c>
      <c r="B35" s="21" t="s">
        <v>268</v>
      </c>
      <c r="C35" s="21" t="s">
        <v>184</v>
      </c>
      <c r="D35" s="21" t="s">
        <v>191</v>
      </c>
      <c r="E35" s="21" t="s">
        <v>185</v>
      </c>
      <c r="F35" s="21" t="s">
        <v>77</v>
      </c>
      <c r="G35" s="21" t="s">
        <v>496</v>
      </c>
      <c r="H35" s="28" t="s">
        <v>664</v>
      </c>
      <c r="I35" s="26" t="s">
        <v>497</v>
      </c>
      <c r="J35" s="22" t="str">
        <f t="shared" si="0"/>
        <v>INSERT INTO CHB_DATACHECK_CONDITION_INV VALUES ('de3E4A49-6810-5A9E-E650-A48F01006A83','de474A49-6813-5A9E-E050-007F01006A65','compareValue','repContMode','!=','01','当“合作模式”要素选择除“01 独立运作”以外的其他选项时','D');</v>
      </c>
    </row>
    <row r="36" spans="1:10" s="22" customFormat="1">
      <c r="A36" s="21" t="s">
        <v>327</v>
      </c>
      <c r="B36" s="21" t="s">
        <v>270</v>
      </c>
      <c r="C36" s="21" t="s">
        <v>184</v>
      </c>
      <c r="D36" s="21" t="s">
        <v>191</v>
      </c>
      <c r="E36" s="21" t="s">
        <v>34</v>
      </c>
      <c r="F36" s="21" t="s">
        <v>77</v>
      </c>
      <c r="G36" s="21" t="s">
        <v>328</v>
      </c>
      <c r="H36" s="21" t="s">
        <v>11</v>
      </c>
      <c r="I36" s="26" t="s">
        <v>497</v>
      </c>
      <c r="J36" s="22" t="str">
        <f t="shared" si="0"/>
        <v>INSERT INTO CHB_DATACHECK_CONDITION_INV VALUES ('de3E4A49-6810-5A9E-E650-A47F01006A83','de484A49-6813-5A9E-E050-007F01006A65','compareValue','repContMode','==','01','当“合作模式”要素选择 “01 独立运作”时','E');</v>
      </c>
    </row>
    <row r="37" spans="1:10" s="22" customFormat="1">
      <c r="A37" s="21" t="s">
        <v>311</v>
      </c>
      <c r="B37" s="21" t="s">
        <v>197</v>
      </c>
      <c r="C37" s="21" t="s">
        <v>184</v>
      </c>
      <c r="D37" s="21" t="s">
        <v>19</v>
      </c>
      <c r="E37" s="21" t="s">
        <v>34</v>
      </c>
      <c r="F37" s="21" t="s">
        <v>381</v>
      </c>
      <c r="G37" s="21" t="s">
        <v>498</v>
      </c>
      <c r="H37" s="21" t="s">
        <v>11</v>
      </c>
      <c r="I37" s="26" t="s">
        <v>842</v>
      </c>
      <c r="J37" s="22" t="str">
        <f t="shared" si="0"/>
        <v>INSERT INTO CHB_DATACHECK_CONDITION_INV VALUES ('de3E4A49-6810-5A9E-E650-A49F01006A14','de194A92-6813-5A9E-E050-007F01006A65','compareValue','repCashPrinCcy','==','99','当兑付本金币种为其他时','E');</v>
      </c>
    </row>
    <row r="38" spans="1:10" s="22" customFormat="1">
      <c r="A38" s="21" t="s">
        <v>334</v>
      </c>
      <c r="B38" s="21" t="s">
        <v>199</v>
      </c>
      <c r="C38" s="21" t="s">
        <v>184</v>
      </c>
      <c r="D38" s="21" t="s">
        <v>122</v>
      </c>
      <c r="E38" s="21" t="s">
        <v>34</v>
      </c>
      <c r="F38" s="21" t="s">
        <v>381</v>
      </c>
      <c r="G38" s="21" t="s">
        <v>500</v>
      </c>
      <c r="H38" s="21" t="s">
        <v>11</v>
      </c>
      <c r="I38" s="26" t="s">
        <v>501</v>
      </c>
      <c r="J38" s="22" t="str">
        <f t="shared" si="0"/>
        <v>INSERT INTO CHB_DATACHECK_CONDITION_INV VALUES ('de3E4A49-6810-5A9E-E650-A49F01006A18','de194A96-6813-5A9E-E050-007F01006A65','compareValue','repInDepName','==','99','当境内托管机构名称为其他时','E');</v>
      </c>
    </row>
    <row r="39" spans="1:10" s="22" customFormat="1">
      <c r="A39" s="21" t="s">
        <v>335</v>
      </c>
      <c r="B39" s="21" t="s">
        <v>200</v>
      </c>
      <c r="C39" s="21" t="s">
        <v>184</v>
      </c>
      <c r="D39" s="21" t="s">
        <v>232</v>
      </c>
      <c r="E39" s="21" t="s">
        <v>34</v>
      </c>
      <c r="F39" s="21" t="s">
        <v>381</v>
      </c>
      <c r="G39" s="21" t="s">
        <v>502</v>
      </c>
      <c r="H39" s="21" t="s">
        <v>11</v>
      </c>
      <c r="I39" s="26" t="s">
        <v>744</v>
      </c>
      <c r="J39" s="22" t="str">
        <f t="shared" si="0"/>
        <v>INSERT INTO CHB_DATACHECK_CONDITION_INV VALUES ('de3E4A49-6810-5A9E-E650-A49F01006A17','de194A95-6813-5A9E-E050-007F01006A65','compareValue','repOutDepCtry','==','99','当境外托管机构国别为其他时','E');</v>
      </c>
    </row>
    <row r="40" spans="1:10" s="22" customFormat="1">
      <c r="A40" s="21" t="s">
        <v>292</v>
      </c>
      <c r="B40" s="21" t="s">
        <v>57</v>
      </c>
      <c r="C40" s="21" t="s">
        <v>184</v>
      </c>
      <c r="D40" s="21" t="s">
        <v>117</v>
      </c>
      <c r="E40" s="21" t="s">
        <v>34</v>
      </c>
      <c r="F40" s="21" t="s">
        <v>77</v>
      </c>
      <c r="G40" s="21" t="s">
        <v>504</v>
      </c>
      <c r="H40" s="21" t="s">
        <v>637</v>
      </c>
      <c r="I40" s="26" t="s">
        <v>505</v>
      </c>
      <c r="J40" s="22" t="str">
        <f t="shared" si="0"/>
        <v>INSERT INTO CHB_DATACHECK_CONDITION_INV VALUES ('de3E4A49-6810-5A9E-E650-317F01006A83','de324A49-6813-5A9E-E050-007F01006A65','compareValue','isShortTerm','==','01','当“是否设置最短持有期限”选择“01 是”时','D');</v>
      </c>
    </row>
    <row r="41" spans="1:10" s="22" customFormat="1">
      <c r="A41" s="21" t="s">
        <v>314</v>
      </c>
      <c r="B41" s="21" t="s">
        <v>50</v>
      </c>
      <c r="C41" s="21" t="s">
        <v>184</v>
      </c>
      <c r="D41" s="21" t="s">
        <v>117</v>
      </c>
      <c r="E41" s="21" t="s">
        <v>34</v>
      </c>
      <c r="F41" s="21" t="s">
        <v>382</v>
      </c>
      <c r="G41" s="21" t="s">
        <v>315</v>
      </c>
      <c r="H41" s="21" t="s">
        <v>11</v>
      </c>
      <c r="I41" s="26" t="s">
        <v>505</v>
      </c>
      <c r="J41" s="22" t="str">
        <f t="shared" si="0"/>
        <v>INSERT INTO CHB_DATACHECK_CONDITION_INV VALUES ('de3E4A49-6810-5A9E-E650-217F01006A83','de304A49-6813-5A9E-E050-007F01006A66','compareValue','isShortTerm','==','02','当“是否设置最短持有期限”选择“02 否”时','E');</v>
      </c>
    </row>
    <row r="42" spans="1:10" s="22" customFormat="1">
      <c r="A42" s="21" t="s">
        <v>850</v>
      </c>
      <c r="B42" s="21" t="s">
        <v>646</v>
      </c>
      <c r="C42" s="21" t="s">
        <v>184</v>
      </c>
      <c r="D42" s="21" t="s">
        <v>117</v>
      </c>
      <c r="E42" s="21" t="s">
        <v>34</v>
      </c>
      <c r="F42" s="21" t="s">
        <v>382</v>
      </c>
      <c r="G42" s="21" t="s">
        <v>315</v>
      </c>
      <c r="H42" s="21" t="s">
        <v>11</v>
      </c>
      <c r="I42" s="26" t="s">
        <v>505</v>
      </c>
      <c r="J42" s="22" t="str">
        <f t="shared" si="0"/>
        <v>INSERT INTO CHB_DATACHECK_CONDITION_INV VALUES ('de3E4A49-6810-5A9E-E650-417F01006A83','de334A49-6813-5A9E-E050-007F01006A65','compareValue','isShortTerm','==','02','当“是否设置最短持有期限”选择“02 否”时','E');</v>
      </c>
    </row>
    <row r="43" spans="1:10" s="22" customFormat="1">
      <c r="A43" s="21" t="s">
        <v>299</v>
      </c>
      <c r="B43" s="21" t="s">
        <v>48</v>
      </c>
      <c r="C43" s="21" t="s">
        <v>184</v>
      </c>
      <c r="D43" s="21" t="s">
        <v>117</v>
      </c>
      <c r="E43" s="21" t="s">
        <v>34</v>
      </c>
      <c r="F43" s="21" t="s">
        <v>77</v>
      </c>
      <c r="G43" s="21" t="s">
        <v>293</v>
      </c>
      <c r="H43" s="21" t="s">
        <v>637</v>
      </c>
      <c r="I43" s="26" t="s">
        <v>505</v>
      </c>
      <c r="J43" s="22" t="str">
        <f t="shared" si="0"/>
        <v>INSERT INTO CHB_DATACHECK_CONDITION_INV VALUES ('de3E4A49-6810-5A9E-E650-207F01006A83','de294A49-6813-5A9E-E050-007F01006A66','compareValue','isShortTerm','==','01','当“是否设置最短持有期限”选择“01 是”时','D');</v>
      </c>
    </row>
  </sheetData>
  <autoFilter ref="A1:H43"/>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Views>
    <sheetView workbookViewId="0">
      <selection activeCell="D15" sqref="D15"/>
    </sheetView>
  </sheetViews>
  <sheetFormatPr defaultRowHeight="13.5"/>
  <cols>
    <col min="1" max="1" width="17.125" customWidth="1"/>
    <col min="2" max="2" width="16.875" customWidth="1"/>
    <col min="3" max="3" width="15.875" customWidth="1"/>
    <col min="4" max="4" width="62.875" customWidth="1"/>
  </cols>
  <sheetData>
    <row r="1" spans="1:4">
      <c r="A1" s="1" t="s">
        <v>610</v>
      </c>
      <c r="B1" s="1" t="s">
        <v>607</v>
      </c>
      <c r="C1" s="1" t="s">
        <v>606</v>
      </c>
      <c r="D1" s="1" t="s">
        <v>447</v>
      </c>
    </row>
    <row r="2" spans="1:4" ht="56.25" customHeight="1">
      <c r="A2" s="1" t="s">
        <v>611</v>
      </c>
      <c r="B2" s="1" t="s">
        <v>617</v>
      </c>
      <c r="C2" s="1" t="s">
        <v>616</v>
      </c>
      <c r="D2" s="16" t="s">
        <v>608</v>
      </c>
    </row>
    <row r="3" spans="1:4" ht="54">
      <c r="A3" s="1" t="s">
        <v>105</v>
      </c>
      <c r="B3" s="1" t="s">
        <v>613</v>
      </c>
      <c r="C3" s="1" t="s">
        <v>614</v>
      </c>
      <c r="D3" s="16" t="s">
        <v>612</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
  <sheetViews>
    <sheetView workbookViewId="0">
      <selection activeCell="I8" sqref="I8"/>
    </sheetView>
  </sheetViews>
  <sheetFormatPr defaultRowHeight="13.5"/>
  <cols>
    <col min="1" max="1" width="5.75" customWidth="1"/>
    <col min="2" max="2" width="20.5" customWidth="1"/>
    <col min="3" max="3" width="14.875" customWidth="1"/>
    <col min="4" max="4" width="27.125" customWidth="1"/>
    <col min="5" max="5" width="10.25" customWidth="1"/>
    <col min="7" max="7" width="40.875" customWidth="1"/>
    <col min="8" max="8" width="14.125" customWidth="1"/>
  </cols>
  <sheetData>
    <row r="1" spans="1:10">
      <c r="A1" s="15" t="s">
        <v>442</v>
      </c>
      <c r="B1" s="15" t="s">
        <v>461</v>
      </c>
      <c r="C1" s="7" t="s">
        <v>443</v>
      </c>
      <c r="D1" s="8" t="s">
        <v>444</v>
      </c>
      <c r="E1" s="15" t="s">
        <v>462</v>
      </c>
      <c r="F1" s="15" t="s">
        <v>445</v>
      </c>
      <c r="G1" s="8" t="s">
        <v>446</v>
      </c>
      <c r="H1" s="19" t="s">
        <v>447</v>
      </c>
      <c r="I1" t="s">
        <v>641</v>
      </c>
      <c r="J1" t="s">
        <v>642</v>
      </c>
    </row>
    <row r="2" spans="1:10" s="17" customFormat="1">
      <c r="A2" s="12" t="s">
        <v>618</v>
      </c>
      <c r="B2" s="9" t="s">
        <v>463</v>
      </c>
      <c r="C2" s="13" t="s">
        <v>464</v>
      </c>
      <c r="D2" s="10" t="s">
        <v>449</v>
      </c>
      <c r="E2" s="9" t="s">
        <v>465</v>
      </c>
      <c r="F2" s="9" t="s">
        <v>466</v>
      </c>
      <c r="G2" s="10" t="s">
        <v>451</v>
      </c>
      <c r="H2" s="10" t="s">
        <v>621</v>
      </c>
      <c r="I2" s="32" t="s">
        <v>656</v>
      </c>
    </row>
    <row r="3" spans="1:10">
      <c r="A3" s="12" t="s">
        <v>382</v>
      </c>
      <c r="B3" s="9" t="s">
        <v>448</v>
      </c>
      <c r="C3" s="13" t="s">
        <v>464</v>
      </c>
      <c r="D3" s="10" t="s">
        <v>452</v>
      </c>
      <c r="E3" s="9" t="s">
        <v>450</v>
      </c>
      <c r="F3" s="9" t="s">
        <v>453</v>
      </c>
      <c r="G3" s="10" t="s">
        <v>454</v>
      </c>
      <c r="H3" s="10" t="s">
        <v>621</v>
      </c>
      <c r="I3" s="32" t="s">
        <v>656</v>
      </c>
    </row>
    <row r="4" spans="1:10">
      <c r="A4" s="12" t="s">
        <v>383</v>
      </c>
      <c r="B4" s="9" t="s">
        <v>463</v>
      </c>
      <c r="C4" s="13" t="s">
        <v>467</v>
      </c>
      <c r="D4" s="10" t="s">
        <v>455</v>
      </c>
      <c r="E4" s="14" t="s">
        <v>468</v>
      </c>
      <c r="F4" s="14" t="s">
        <v>466</v>
      </c>
      <c r="G4" s="10" t="s">
        <v>626</v>
      </c>
      <c r="H4" s="10" t="s">
        <v>627</v>
      </c>
      <c r="I4" s="32" t="s">
        <v>643</v>
      </c>
    </row>
    <row r="5" spans="1:10" s="18" customFormat="1">
      <c r="A5" s="12" t="s">
        <v>384</v>
      </c>
      <c r="B5" s="9" t="s">
        <v>471</v>
      </c>
      <c r="C5" s="13" t="s">
        <v>469</v>
      </c>
      <c r="D5" s="10" t="s">
        <v>456</v>
      </c>
      <c r="E5" s="14" t="s">
        <v>468</v>
      </c>
      <c r="F5" s="14" t="s">
        <v>466</v>
      </c>
      <c r="G5" s="10" t="s">
        <v>472</v>
      </c>
      <c r="H5" s="10" t="s">
        <v>621</v>
      </c>
      <c r="I5" s="18" t="s">
        <v>656</v>
      </c>
    </row>
    <row r="6" spans="1:10" s="17" customFormat="1" ht="24">
      <c r="A6" s="12" t="s">
        <v>619</v>
      </c>
      <c r="B6" s="9" t="s">
        <v>463</v>
      </c>
      <c r="C6" s="13" t="s">
        <v>470</v>
      </c>
      <c r="D6" s="10" t="s">
        <v>457</v>
      </c>
      <c r="E6" s="14" t="s">
        <v>468</v>
      </c>
      <c r="F6" s="14" t="s">
        <v>466</v>
      </c>
      <c r="G6" s="10" t="s">
        <v>458</v>
      </c>
      <c r="H6" s="10" t="s">
        <v>621</v>
      </c>
      <c r="I6" s="33" t="s">
        <v>656</v>
      </c>
    </row>
    <row r="7" spans="1:10" ht="24">
      <c r="A7" s="12" t="s">
        <v>620</v>
      </c>
      <c r="B7" s="9" t="s">
        <v>463</v>
      </c>
      <c r="C7" s="13" t="s">
        <v>470</v>
      </c>
      <c r="D7" s="11" t="s">
        <v>459</v>
      </c>
      <c r="E7" s="14" t="s">
        <v>468</v>
      </c>
      <c r="F7" s="14" t="s">
        <v>466</v>
      </c>
      <c r="G7" s="11" t="s">
        <v>460</v>
      </c>
      <c r="H7" s="10" t="s">
        <v>628</v>
      </c>
    </row>
    <row r="8" spans="1:10" ht="96">
      <c r="A8" s="12" t="s">
        <v>385</v>
      </c>
      <c r="B8" s="9" t="s">
        <v>463</v>
      </c>
      <c r="C8" s="13" t="s">
        <v>473</v>
      </c>
      <c r="D8" s="10" t="s">
        <v>474</v>
      </c>
      <c r="E8" s="14" t="s">
        <v>468</v>
      </c>
      <c r="F8" s="14" t="s">
        <v>466</v>
      </c>
      <c r="G8" s="10" t="s">
        <v>475</v>
      </c>
      <c r="H8" s="10" t="s">
        <v>627</v>
      </c>
      <c r="I8" s="33" t="s">
        <v>643</v>
      </c>
    </row>
  </sheetData>
  <autoFilter ref="A1:H8"/>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4"/>
  <sheetViews>
    <sheetView workbookViewId="0">
      <selection activeCell="A21" sqref="A21"/>
    </sheetView>
  </sheetViews>
  <sheetFormatPr defaultRowHeight="13.5"/>
  <cols>
    <col min="1" max="1" width="132.75" customWidth="1"/>
  </cols>
  <sheetData>
    <row r="1" spans="1:1">
      <c r="A1" s="4" t="s">
        <v>386</v>
      </c>
    </row>
    <row r="2" spans="1:1">
      <c r="A2" s="4" t="s">
        <v>387</v>
      </c>
    </row>
    <row r="3" spans="1:1">
      <c r="A3" s="4" t="s">
        <v>388</v>
      </c>
    </row>
    <row r="4" spans="1:1">
      <c r="A4" s="4" t="s">
        <v>389</v>
      </c>
    </row>
    <row r="5" spans="1:1">
      <c r="A5" s="4" t="s">
        <v>390</v>
      </c>
    </row>
    <row r="6" spans="1:1">
      <c r="A6" s="4" t="s">
        <v>391</v>
      </c>
    </row>
    <row r="7" spans="1:1">
      <c r="A7" s="4" t="s">
        <v>392</v>
      </c>
    </row>
    <row r="8" spans="1:1">
      <c r="A8" s="4" t="s">
        <v>393</v>
      </c>
    </row>
    <row r="9" spans="1:1">
      <c r="A9" s="4" t="s">
        <v>394</v>
      </c>
    </row>
    <row r="10" spans="1:1">
      <c r="A10" s="4" t="s">
        <v>395</v>
      </c>
    </row>
    <row r="11" spans="1:1">
      <c r="A11" s="4" t="s">
        <v>396</v>
      </c>
    </row>
    <row r="12" spans="1:1">
      <c r="A12" s="4" t="s">
        <v>623</v>
      </c>
    </row>
    <row r="13" spans="1:1">
      <c r="A13" s="4" t="s">
        <v>397</v>
      </c>
    </row>
    <row r="14" spans="1:1">
      <c r="A14" s="4" t="s">
        <v>398</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4"/>
  <sheetViews>
    <sheetView showGridLines="0" topLeftCell="A14" workbookViewId="0">
      <selection activeCell="N24" sqref="N24"/>
    </sheetView>
  </sheetViews>
  <sheetFormatPr defaultRowHeight="13.5"/>
  <sheetData>
    <row r="1" spans="1:1">
      <c r="A1" t="s">
        <v>340</v>
      </c>
    </row>
    <row r="2" spans="1:1">
      <c r="A2" t="s">
        <v>341</v>
      </c>
    </row>
    <row r="3" spans="1:1">
      <c r="A3" t="s">
        <v>342</v>
      </c>
    </row>
    <row r="4" spans="1:1">
      <c r="A4" t="s">
        <v>343</v>
      </c>
    </row>
    <row r="5" spans="1:1">
      <c r="A5" t="s">
        <v>344</v>
      </c>
    </row>
    <row r="6" spans="1:1">
      <c r="A6" t="s">
        <v>345</v>
      </c>
    </row>
    <row r="7" spans="1:1">
      <c r="A7" t="s">
        <v>346</v>
      </c>
    </row>
    <row r="8" spans="1:1">
      <c r="A8" t="s">
        <v>347</v>
      </c>
    </row>
    <row r="9" spans="1:1">
      <c r="A9" t="s">
        <v>348</v>
      </c>
    </row>
    <row r="10" spans="1:1">
      <c r="A10" t="s">
        <v>349</v>
      </c>
    </row>
    <row r="11" spans="1:1">
      <c r="A11" t="s">
        <v>350</v>
      </c>
    </row>
    <row r="12" spans="1:1">
      <c r="A12" t="s">
        <v>351</v>
      </c>
    </row>
    <row r="13" spans="1:1">
      <c r="A13" t="s">
        <v>352</v>
      </c>
    </row>
    <row r="14" spans="1:1">
      <c r="A14" t="s">
        <v>353</v>
      </c>
    </row>
    <row r="18" spans="1:11">
      <c r="K18" t="s">
        <v>340</v>
      </c>
    </row>
    <row r="19" spans="1:11">
      <c r="A19" t="s">
        <v>340</v>
      </c>
      <c r="K19" t="s">
        <v>399</v>
      </c>
    </row>
    <row r="20" spans="1:11">
      <c r="A20" t="s">
        <v>354</v>
      </c>
      <c r="K20" t="s">
        <v>400</v>
      </c>
    </row>
    <row r="21" spans="1:11">
      <c r="A21" t="s">
        <v>355</v>
      </c>
      <c r="K21" t="s">
        <v>401</v>
      </c>
    </row>
    <row r="22" spans="1:11">
      <c r="A22" t="s">
        <v>356</v>
      </c>
      <c r="K22" t="s">
        <v>402</v>
      </c>
    </row>
    <row r="23" spans="1:11">
      <c r="A23" t="s">
        <v>379</v>
      </c>
      <c r="K23" t="s">
        <v>403</v>
      </c>
    </row>
    <row r="24" spans="1:11">
      <c r="A24" t="s">
        <v>358</v>
      </c>
      <c r="K24" t="s">
        <v>404</v>
      </c>
    </row>
    <row r="25" spans="1:11">
      <c r="A25" t="s">
        <v>359</v>
      </c>
      <c r="K25" t="s">
        <v>405</v>
      </c>
    </row>
    <row r="26" spans="1:11">
      <c r="A26" t="s">
        <v>360</v>
      </c>
      <c r="K26" t="s">
        <v>406</v>
      </c>
    </row>
    <row r="27" spans="1:11">
      <c r="A27" t="s">
        <v>361</v>
      </c>
      <c r="K27" t="s">
        <v>407</v>
      </c>
    </row>
    <row r="28" spans="1:11">
      <c r="A28" t="s">
        <v>362</v>
      </c>
      <c r="K28" t="s">
        <v>342</v>
      </c>
    </row>
    <row r="29" spans="1:11">
      <c r="A29" t="s">
        <v>342</v>
      </c>
      <c r="K29" t="s">
        <v>408</v>
      </c>
    </row>
    <row r="30" spans="1:11">
      <c r="A30" t="s">
        <v>363</v>
      </c>
      <c r="K30" t="s">
        <v>364</v>
      </c>
    </row>
    <row r="31" spans="1:11">
      <c r="A31" t="s">
        <v>364</v>
      </c>
      <c r="K31" t="s">
        <v>409</v>
      </c>
    </row>
    <row r="32" spans="1:11">
      <c r="A32" t="s">
        <v>365</v>
      </c>
      <c r="K32" t="s">
        <v>366</v>
      </c>
    </row>
    <row r="33" spans="1:11">
      <c r="A33" t="s">
        <v>366</v>
      </c>
      <c r="K33" t="s">
        <v>410</v>
      </c>
    </row>
    <row r="34" spans="1:11">
      <c r="A34" t="s">
        <v>367</v>
      </c>
      <c r="K34" t="s">
        <v>411</v>
      </c>
    </row>
    <row r="35" spans="1:11">
      <c r="A35" t="s">
        <v>368</v>
      </c>
      <c r="K35" t="s">
        <v>344</v>
      </c>
    </row>
    <row r="36" spans="1:11">
      <c r="A36" t="s">
        <v>344</v>
      </c>
      <c r="K36" t="s">
        <v>412</v>
      </c>
    </row>
    <row r="37" spans="1:11">
      <c r="A37" t="s">
        <v>369</v>
      </c>
      <c r="K37" t="s">
        <v>413</v>
      </c>
    </row>
    <row r="38" spans="1:11">
      <c r="A38" t="s">
        <v>370</v>
      </c>
      <c r="K38" t="s">
        <v>414</v>
      </c>
    </row>
    <row r="39" spans="1:11">
      <c r="A39" t="s">
        <v>340</v>
      </c>
      <c r="K39" t="s">
        <v>415</v>
      </c>
    </row>
    <row r="40" spans="1:11">
      <c r="A40" t="s">
        <v>354</v>
      </c>
      <c r="K40" t="s">
        <v>416</v>
      </c>
    </row>
    <row r="41" spans="1:11">
      <c r="A41" t="s">
        <v>355</v>
      </c>
      <c r="K41" t="s">
        <v>417</v>
      </c>
    </row>
    <row r="42" spans="1:11">
      <c r="A42" t="s">
        <v>356</v>
      </c>
      <c r="K42" t="s">
        <v>418</v>
      </c>
    </row>
    <row r="43" spans="1:11">
      <c r="A43" t="s">
        <v>357</v>
      </c>
      <c r="K43" t="s">
        <v>419</v>
      </c>
    </row>
    <row r="44" spans="1:11">
      <c r="A44" t="s">
        <v>358</v>
      </c>
      <c r="K44" t="s">
        <v>420</v>
      </c>
    </row>
    <row r="45" spans="1:11">
      <c r="A45" t="s">
        <v>359</v>
      </c>
      <c r="K45" t="s">
        <v>421</v>
      </c>
    </row>
    <row r="46" spans="1:11">
      <c r="A46" t="s">
        <v>360</v>
      </c>
      <c r="K46" t="s">
        <v>422</v>
      </c>
    </row>
    <row r="47" spans="1:11">
      <c r="A47" t="s">
        <v>361</v>
      </c>
      <c r="K47" t="s">
        <v>423</v>
      </c>
    </row>
    <row r="48" spans="1:11">
      <c r="A48" t="s">
        <v>362</v>
      </c>
      <c r="K48" t="s">
        <v>424</v>
      </c>
    </row>
    <row r="49" spans="1:11">
      <c r="A49" t="s">
        <v>342</v>
      </c>
      <c r="K49" t="s">
        <v>370</v>
      </c>
    </row>
    <row r="50" spans="1:11">
      <c r="A50" t="s">
        <v>363</v>
      </c>
      <c r="K50" t="s">
        <v>340</v>
      </c>
    </row>
    <row r="51" spans="1:11">
      <c r="A51" t="s">
        <v>364</v>
      </c>
      <c r="K51" t="s">
        <v>399</v>
      </c>
    </row>
    <row r="52" spans="1:11">
      <c r="A52" t="s">
        <v>365</v>
      </c>
      <c r="K52" t="s">
        <v>400</v>
      </c>
    </row>
    <row r="53" spans="1:11">
      <c r="A53" t="s">
        <v>366</v>
      </c>
      <c r="K53" t="s">
        <v>401</v>
      </c>
    </row>
    <row r="54" spans="1:11">
      <c r="A54" t="s">
        <v>367</v>
      </c>
      <c r="K54" t="s">
        <v>402</v>
      </c>
    </row>
    <row r="55" spans="1:11">
      <c r="A55" t="s">
        <v>368</v>
      </c>
      <c r="K55" t="s">
        <v>403</v>
      </c>
    </row>
    <row r="56" spans="1:11">
      <c r="A56" t="s">
        <v>344</v>
      </c>
      <c r="K56" t="s">
        <v>404</v>
      </c>
    </row>
    <row r="57" spans="1:11">
      <c r="A57" t="s">
        <v>371</v>
      </c>
      <c r="K57" t="s">
        <v>405</v>
      </c>
    </row>
    <row r="58" spans="1:11">
      <c r="A58" t="s">
        <v>370</v>
      </c>
      <c r="K58" t="s">
        <v>406</v>
      </c>
    </row>
    <row r="59" spans="1:11">
      <c r="A59" t="s">
        <v>340</v>
      </c>
      <c r="K59" t="s">
        <v>407</v>
      </c>
    </row>
    <row r="60" spans="1:11">
      <c r="A60" t="s">
        <v>354</v>
      </c>
      <c r="K60" t="s">
        <v>342</v>
      </c>
    </row>
    <row r="61" spans="1:11">
      <c r="A61" t="s">
        <v>355</v>
      </c>
      <c r="K61" t="s">
        <v>408</v>
      </c>
    </row>
    <row r="62" spans="1:11">
      <c r="A62" t="s">
        <v>356</v>
      </c>
      <c r="K62" t="s">
        <v>364</v>
      </c>
    </row>
    <row r="63" spans="1:11">
      <c r="A63" t="s">
        <v>357</v>
      </c>
      <c r="K63" t="s">
        <v>409</v>
      </c>
    </row>
    <row r="64" spans="1:11">
      <c r="A64" t="s">
        <v>358</v>
      </c>
      <c r="K64" t="s">
        <v>366</v>
      </c>
    </row>
    <row r="65" spans="1:11">
      <c r="A65" t="s">
        <v>359</v>
      </c>
      <c r="K65" t="s">
        <v>410</v>
      </c>
    </row>
    <row r="66" spans="1:11">
      <c r="A66" t="s">
        <v>360</v>
      </c>
      <c r="K66" t="s">
        <v>425</v>
      </c>
    </row>
    <row r="67" spans="1:11">
      <c r="A67" t="s">
        <v>361</v>
      </c>
      <c r="K67" t="s">
        <v>344</v>
      </c>
    </row>
    <row r="68" spans="1:11">
      <c r="A68" t="s">
        <v>362</v>
      </c>
      <c r="K68" t="s">
        <v>412</v>
      </c>
    </row>
    <row r="69" spans="1:11">
      <c r="A69" t="s">
        <v>342</v>
      </c>
      <c r="K69" t="s">
        <v>413</v>
      </c>
    </row>
    <row r="70" spans="1:11">
      <c r="A70" t="s">
        <v>363</v>
      </c>
      <c r="K70" t="s">
        <v>414</v>
      </c>
    </row>
    <row r="71" spans="1:11">
      <c r="A71" t="s">
        <v>364</v>
      </c>
      <c r="K71" t="s">
        <v>415</v>
      </c>
    </row>
    <row r="72" spans="1:11">
      <c r="A72" t="s">
        <v>365</v>
      </c>
      <c r="K72" t="s">
        <v>416</v>
      </c>
    </row>
    <row r="73" spans="1:11">
      <c r="A73" t="s">
        <v>366</v>
      </c>
      <c r="K73" t="s">
        <v>417</v>
      </c>
    </row>
    <row r="74" spans="1:11">
      <c r="A74" t="s">
        <v>367</v>
      </c>
      <c r="K74" t="s">
        <v>418</v>
      </c>
    </row>
    <row r="75" spans="1:11">
      <c r="A75" t="s">
        <v>368</v>
      </c>
      <c r="K75" t="s">
        <v>419</v>
      </c>
    </row>
    <row r="76" spans="1:11">
      <c r="A76" t="s">
        <v>344</v>
      </c>
      <c r="K76" t="s">
        <v>420</v>
      </c>
    </row>
    <row r="77" spans="1:11">
      <c r="A77" t="s">
        <v>372</v>
      </c>
      <c r="K77" t="s">
        <v>421</v>
      </c>
    </row>
    <row r="78" spans="1:11">
      <c r="A78" t="s">
        <v>370</v>
      </c>
      <c r="K78" t="s">
        <v>422</v>
      </c>
    </row>
    <row r="79" spans="1:11">
      <c r="A79" t="s">
        <v>340</v>
      </c>
      <c r="K79" t="s">
        <v>423</v>
      </c>
    </row>
    <row r="80" spans="1:11">
      <c r="A80" t="s">
        <v>354</v>
      </c>
      <c r="K80" t="s">
        <v>426</v>
      </c>
    </row>
    <row r="81" spans="1:11">
      <c r="A81" t="s">
        <v>355</v>
      </c>
      <c r="K81" t="s">
        <v>370</v>
      </c>
    </row>
    <row r="82" spans="1:11">
      <c r="A82" t="s">
        <v>356</v>
      </c>
      <c r="K82" t="s">
        <v>340</v>
      </c>
    </row>
    <row r="83" spans="1:11">
      <c r="A83" t="s">
        <v>357</v>
      </c>
      <c r="K83" t="s">
        <v>399</v>
      </c>
    </row>
    <row r="84" spans="1:11">
      <c r="A84" t="s">
        <v>358</v>
      </c>
      <c r="K84" t="s">
        <v>400</v>
      </c>
    </row>
    <row r="85" spans="1:11">
      <c r="A85" t="s">
        <v>359</v>
      </c>
      <c r="K85" t="s">
        <v>401</v>
      </c>
    </row>
    <row r="86" spans="1:11">
      <c r="A86" t="s">
        <v>360</v>
      </c>
      <c r="K86" t="s">
        <v>402</v>
      </c>
    </row>
    <row r="87" spans="1:11">
      <c r="A87" t="s">
        <v>361</v>
      </c>
      <c r="K87" t="s">
        <v>403</v>
      </c>
    </row>
    <row r="88" spans="1:11">
      <c r="A88" t="s">
        <v>362</v>
      </c>
      <c r="K88" t="s">
        <v>404</v>
      </c>
    </row>
    <row r="89" spans="1:11">
      <c r="A89" t="s">
        <v>342</v>
      </c>
      <c r="K89" t="s">
        <v>405</v>
      </c>
    </row>
    <row r="90" spans="1:11">
      <c r="A90" t="s">
        <v>363</v>
      </c>
      <c r="K90" t="s">
        <v>406</v>
      </c>
    </row>
    <row r="91" spans="1:11">
      <c r="A91" t="s">
        <v>364</v>
      </c>
      <c r="K91" t="s">
        <v>407</v>
      </c>
    </row>
    <row r="92" spans="1:11">
      <c r="A92" t="s">
        <v>365</v>
      </c>
      <c r="K92" t="s">
        <v>342</v>
      </c>
    </row>
    <row r="93" spans="1:11">
      <c r="A93" t="s">
        <v>366</v>
      </c>
      <c r="K93" t="s">
        <v>408</v>
      </c>
    </row>
    <row r="94" spans="1:11">
      <c r="A94" t="s">
        <v>367</v>
      </c>
      <c r="K94" t="s">
        <v>364</v>
      </c>
    </row>
    <row r="95" spans="1:11">
      <c r="A95" t="s">
        <v>368</v>
      </c>
      <c r="K95" t="s">
        <v>409</v>
      </c>
    </row>
    <row r="96" spans="1:11">
      <c r="A96" t="s">
        <v>344</v>
      </c>
      <c r="K96" t="s">
        <v>366</v>
      </c>
    </row>
    <row r="97" spans="1:11">
      <c r="A97" t="s">
        <v>373</v>
      </c>
      <c r="K97" t="s">
        <v>410</v>
      </c>
    </row>
    <row r="98" spans="1:11">
      <c r="A98" t="s">
        <v>370</v>
      </c>
      <c r="K98" t="s">
        <v>427</v>
      </c>
    </row>
    <row r="99" spans="1:11">
      <c r="A99" t="s">
        <v>340</v>
      </c>
      <c r="K99" t="s">
        <v>344</v>
      </c>
    </row>
    <row r="100" spans="1:11">
      <c r="A100" t="s">
        <v>354</v>
      </c>
      <c r="K100" t="s">
        <v>412</v>
      </c>
    </row>
    <row r="101" spans="1:11">
      <c r="A101" t="s">
        <v>355</v>
      </c>
      <c r="K101" t="s">
        <v>413</v>
      </c>
    </row>
    <row r="102" spans="1:11">
      <c r="A102" t="s">
        <v>356</v>
      </c>
      <c r="K102" t="s">
        <v>414</v>
      </c>
    </row>
    <row r="103" spans="1:11">
      <c r="A103" t="s">
        <v>357</v>
      </c>
      <c r="K103" t="s">
        <v>415</v>
      </c>
    </row>
    <row r="104" spans="1:11">
      <c r="A104" t="s">
        <v>358</v>
      </c>
      <c r="K104" t="s">
        <v>416</v>
      </c>
    </row>
    <row r="105" spans="1:11">
      <c r="A105" t="s">
        <v>359</v>
      </c>
      <c r="K105" t="s">
        <v>417</v>
      </c>
    </row>
    <row r="106" spans="1:11">
      <c r="A106" t="s">
        <v>360</v>
      </c>
      <c r="K106" t="s">
        <v>418</v>
      </c>
    </row>
    <row r="107" spans="1:11">
      <c r="A107" t="s">
        <v>361</v>
      </c>
      <c r="K107" t="s">
        <v>419</v>
      </c>
    </row>
    <row r="108" spans="1:11">
      <c r="A108" t="s">
        <v>362</v>
      </c>
      <c r="K108" t="s">
        <v>420</v>
      </c>
    </row>
    <row r="109" spans="1:11">
      <c r="A109" t="s">
        <v>342</v>
      </c>
      <c r="K109" t="s">
        <v>421</v>
      </c>
    </row>
    <row r="110" spans="1:11">
      <c r="A110" t="s">
        <v>363</v>
      </c>
      <c r="K110" t="s">
        <v>422</v>
      </c>
    </row>
    <row r="111" spans="1:11">
      <c r="A111" t="s">
        <v>364</v>
      </c>
      <c r="K111" t="s">
        <v>423</v>
      </c>
    </row>
    <row r="112" spans="1:11">
      <c r="A112" t="s">
        <v>365</v>
      </c>
      <c r="K112" t="s">
        <v>428</v>
      </c>
    </row>
    <row r="113" spans="1:11">
      <c r="A113" t="s">
        <v>366</v>
      </c>
      <c r="K113" t="s">
        <v>370</v>
      </c>
    </row>
    <row r="114" spans="1:11">
      <c r="A114" t="s">
        <v>367</v>
      </c>
      <c r="K114" t="s">
        <v>340</v>
      </c>
    </row>
    <row r="115" spans="1:11">
      <c r="A115" t="s">
        <v>368</v>
      </c>
      <c r="K115" t="s">
        <v>399</v>
      </c>
    </row>
    <row r="116" spans="1:11">
      <c r="A116" t="s">
        <v>344</v>
      </c>
      <c r="K116" t="s">
        <v>400</v>
      </c>
    </row>
    <row r="117" spans="1:11">
      <c r="A117" t="s">
        <v>374</v>
      </c>
      <c r="K117" t="s">
        <v>401</v>
      </c>
    </row>
    <row r="118" spans="1:11">
      <c r="A118" t="s">
        <v>370</v>
      </c>
      <c r="K118" t="s">
        <v>402</v>
      </c>
    </row>
    <row r="119" spans="1:11">
      <c r="A119" t="s">
        <v>340</v>
      </c>
      <c r="K119" t="s">
        <v>403</v>
      </c>
    </row>
    <row r="120" spans="1:11">
      <c r="A120" t="s">
        <v>354</v>
      </c>
      <c r="K120" t="s">
        <v>404</v>
      </c>
    </row>
    <row r="121" spans="1:11">
      <c r="A121" t="s">
        <v>355</v>
      </c>
      <c r="K121" t="s">
        <v>405</v>
      </c>
    </row>
    <row r="122" spans="1:11">
      <c r="A122" t="s">
        <v>356</v>
      </c>
      <c r="K122" t="s">
        <v>406</v>
      </c>
    </row>
    <row r="123" spans="1:11">
      <c r="A123" t="s">
        <v>357</v>
      </c>
      <c r="K123" t="s">
        <v>407</v>
      </c>
    </row>
    <row r="124" spans="1:11">
      <c r="A124" t="s">
        <v>358</v>
      </c>
      <c r="K124" t="s">
        <v>342</v>
      </c>
    </row>
    <row r="125" spans="1:11">
      <c r="A125" t="s">
        <v>359</v>
      </c>
      <c r="K125" t="s">
        <v>408</v>
      </c>
    </row>
    <row r="126" spans="1:11">
      <c r="A126" t="s">
        <v>360</v>
      </c>
      <c r="K126" t="s">
        <v>364</v>
      </c>
    </row>
    <row r="127" spans="1:11">
      <c r="A127" t="s">
        <v>361</v>
      </c>
      <c r="K127" t="s">
        <v>409</v>
      </c>
    </row>
    <row r="128" spans="1:11">
      <c r="A128" t="s">
        <v>362</v>
      </c>
      <c r="K128" t="s">
        <v>366</v>
      </c>
    </row>
    <row r="129" spans="1:11">
      <c r="A129" t="s">
        <v>342</v>
      </c>
      <c r="K129" t="s">
        <v>410</v>
      </c>
    </row>
    <row r="130" spans="1:11">
      <c r="A130" t="s">
        <v>363</v>
      </c>
      <c r="K130" t="s">
        <v>429</v>
      </c>
    </row>
    <row r="131" spans="1:11">
      <c r="A131" t="s">
        <v>364</v>
      </c>
      <c r="K131" t="s">
        <v>344</v>
      </c>
    </row>
    <row r="132" spans="1:11">
      <c r="A132" t="s">
        <v>365</v>
      </c>
      <c r="K132" t="s">
        <v>412</v>
      </c>
    </row>
    <row r="133" spans="1:11">
      <c r="A133" t="s">
        <v>366</v>
      </c>
      <c r="K133" t="s">
        <v>413</v>
      </c>
    </row>
    <row r="134" spans="1:11">
      <c r="A134" t="s">
        <v>367</v>
      </c>
      <c r="K134" t="s">
        <v>414</v>
      </c>
    </row>
    <row r="135" spans="1:11">
      <c r="A135" t="s">
        <v>368</v>
      </c>
      <c r="K135" t="s">
        <v>415</v>
      </c>
    </row>
    <row r="136" spans="1:11">
      <c r="A136" t="s">
        <v>344</v>
      </c>
      <c r="K136" t="s">
        <v>416</v>
      </c>
    </row>
    <row r="137" spans="1:11">
      <c r="A137" t="s">
        <v>375</v>
      </c>
      <c r="K137" t="s">
        <v>417</v>
      </c>
    </row>
    <row r="138" spans="1:11">
      <c r="A138" t="s">
        <v>370</v>
      </c>
      <c r="K138" t="s">
        <v>418</v>
      </c>
    </row>
    <row r="139" spans="1:11">
      <c r="A139" t="s">
        <v>340</v>
      </c>
      <c r="K139" t="s">
        <v>419</v>
      </c>
    </row>
    <row r="140" spans="1:11">
      <c r="A140" t="s">
        <v>354</v>
      </c>
      <c r="K140" t="s">
        <v>420</v>
      </c>
    </row>
    <row r="141" spans="1:11">
      <c r="A141" t="s">
        <v>355</v>
      </c>
      <c r="K141" t="s">
        <v>421</v>
      </c>
    </row>
    <row r="142" spans="1:11">
      <c r="A142" t="s">
        <v>356</v>
      </c>
      <c r="K142" t="s">
        <v>422</v>
      </c>
    </row>
    <row r="143" spans="1:11">
      <c r="A143" t="s">
        <v>357</v>
      </c>
      <c r="K143" t="s">
        <v>423</v>
      </c>
    </row>
    <row r="144" spans="1:11">
      <c r="A144" t="s">
        <v>358</v>
      </c>
      <c r="K144" t="s">
        <v>430</v>
      </c>
    </row>
    <row r="145" spans="1:11">
      <c r="A145" t="s">
        <v>359</v>
      </c>
      <c r="K145" t="s">
        <v>370</v>
      </c>
    </row>
    <row r="146" spans="1:11">
      <c r="A146" t="s">
        <v>360</v>
      </c>
      <c r="K146" t="s">
        <v>340</v>
      </c>
    </row>
    <row r="147" spans="1:11">
      <c r="A147" t="s">
        <v>361</v>
      </c>
      <c r="K147" t="s">
        <v>399</v>
      </c>
    </row>
    <row r="148" spans="1:11">
      <c r="A148" t="s">
        <v>362</v>
      </c>
      <c r="K148" t="s">
        <v>400</v>
      </c>
    </row>
    <row r="149" spans="1:11">
      <c r="A149" t="s">
        <v>342</v>
      </c>
      <c r="K149" t="s">
        <v>401</v>
      </c>
    </row>
    <row r="150" spans="1:11">
      <c r="A150" t="s">
        <v>363</v>
      </c>
      <c r="K150" t="s">
        <v>402</v>
      </c>
    </row>
    <row r="151" spans="1:11">
      <c r="A151" t="s">
        <v>364</v>
      </c>
      <c r="K151" t="s">
        <v>403</v>
      </c>
    </row>
    <row r="152" spans="1:11">
      <c r="A152" t="s">
        <v>365</v>
      </c>
      <c r="K152" t="s">
        <v>404</v>
      </c>
    </row>
    <row r="153" spans="1:11">
      <c r="A153" t="s">
        <v>366</v>
      </c>
      <c r="K153" t="s">
        <v>405</v>
      </c>
    </row>
    <row r="154" spans="1:11">
      <c r="A154" t="s">
        <v>367</v>
      </c>
      <c r="K154" t="s">
        <v>406</v>
      </c>
    </row>
    <row r="155" spans="1:11">
      <c r="A155" t="s">
        <v>368</v>
      </c>
      <c r="K155" t="s">
        <v>407</v>
      </c>
    </row>
    <row r="156" spans="1:11">
      <c r="A156" t="s">
        <v>344</v>
      </c>
      <c r="K156" t="s">
        <v>342</v>
      </c>
    </row>
    <row r="157" spans="1:11">
      <c r="A157" t="s">
        <v>376</v>
      </c>
      <c r="K157" t="s">
        <v>408</v>
      </c>
    </row>
    <row r="158" spans="1:11">
      <c r="A158" t="s">
        <v>370</v>
      </c>
      <c r="K158" t="s">
        <v>364</v>
      </c>
    </row>
    <row r="159" spans="1:11">
      <c r="A159" t="s">
        <v>340</v>
      </c>
      <c r="K159" t="s">
        <v>409</v>
      </c>
    </row>
    <row r="160" spans="1:11">
      <c r="A160" t="s">
        <v>354</v>
      </c>
      <c r="K160" t="s">
        <v>366</v>
      </c>
    </row>
    <row r="161" spans="1:11">
      <c r="A161" t="s">
        <v>355</v>
      </c>
      <c r="K161" t="s">
        <v>410</v>
      </c>
    </row>
    <row r="162" spans="1:11">
      <c r="A162" t="s">
        <v>356</v>
      </c>
      <c r="K162" t="s">
        <v>431</v>
      </c>
    </row>
    <row r="163" spans="1:11">
      <c r="A163" t="s">
        <v>357</v>
      </c>
      <c r="K163" t="s">
        <v>344</v>
      </c>
    </row>
    <row r="164" spans="1:11">
      <c r="A164" t="s">
        <v>358</v>
      </c>
      <c r="K164" t="s">
        <v>412</v>
      </c>
    </row>
    <row r="165" spans="1:11">
      <c r="A165" t="s">
        <v>359</v>
      </c>
      <c r="K165" t="s">
        <v>413</v>
      </c>
    </row>
    <row r="166" spans="1:11">
      <c r="A166" t="s">
        <v>360</v>
      </c>
      <c r="K166" t="s">
        <v>414</v>
      </c>
    </row>
    <row r="167" spans="1:11">
      <c r="A167" t="s">
        <v>361</v>
      </c>
      <c r="K167" t="s">
        <v>415</v>
      </c>
    </row>
    <row r="168" spans="1:11">
      <c r="A168" t="s">
        <v>362</v>
      </c>
      <c r="K168" t="s">
        <v>416</v>
      </c>
    </row>
    <row r="169" spans="1:11">
      <c r="A169" t="s">
        <v>342</v>
      </c>
      <c r="K169" t="s">
        <v>417</v>
      </c>
    </row>
    <row r="170" spans="1:11">
      <c r="A170" t="s">
        <v>363</v>
      </c>
      <c r="K170" t="s">
        <v>418</v>
      </c>
    </row>
    <row r="171" spans="1:11">
      <c r="A171" t="s">
        <v>364</v>
      </c>
      <c r="K171" t="s">
        <v>419</v>
      </c>
    </row>
    <row r="172" spans="1:11">
      <c r="A172" t="s">
        <v>365</v>
      </c>
      <c r="K172" t="s">
        <v>420</v>
      </c>
    </row>
    <row r="173" spans="1:11">
      <c r="A173" t="s">
        <v>366</v>
      </c>
      <c r="K173" t="s">
        <v>421</v>
      </c>
    </row>
    <row r="174" spans="1:11">
      <c r="A174" t="s">
        <v>367</v>
      </c>
      <c r="K174" t="s">
        <v>422</v>
      </c>
    </row>
    <row r="175" spans="1:11">
      <c r="A175" t="s">
        <v>368</v>
      </c>
      <c r="K175" t="s">
        <v>423</v>
      </c>
    </row>
    <row r="176" spans="1:11">
      <c r="A176" t="s">
        <v>344</v>
      </c>
      <c r="K176" t="s">
        <v>432</v>
      </c>
    </row>
    <row r="177" spans="1:11">
      <c r="A177" t="s">
        <v>377</v>
      </c>
      <c r="K177" t="s">
        <v>370</v>
      </c>
    </row>
    <row r="178" spans="1:11">
      <c r="A178" t="s">
        <v>370</v>
      </c>
      <c r="K178" t="s">
        <v>340</v>
      </c>
    </row>
    <row r="179" spans="1:11">
      <c r="A179" t="s">
        <v>340</v>
      </c>
      <c r="K179" t="s">
        <v>399</v>
      </c>
    </row>
    <row r="180" spans="1:11">
      <c r="A180" t="s">
        <v>354</v>
      </c>
      <c r="K180" t="s">
        <v>400</v>
      </c>
    </row>
    <row r="181" spans="1:11">
      <c r="A181" t="s">
        <v>355</v>
      </c>
      <c r="K181" t="s">
        <v>401</v>
      </c>
    </row>
    <row r="182" spans="1:11">
      <c r="A182" t="s">
        <v>356</v>
      </c>
      <c r="K182" t="s">
        <v>402</v>
      </c>
    </row>
    <row r="183" spans="1:11">
      <c r="A183" t="s">
        <v>357</v>
      </c>
      <c r="K183" t="s">
        <v>403</v>
      </c>
    </row>
    <row r="184" spans="1:11">
      <c r="A184" t="s">
        <v>358</v>
      </c>
      <c r="K184" t="s">
        <v>404</v>
      </c>
    </row>
    <row r="185" spans="1:11">
      <c r="A185" t="s">
        <v>359</v>
      </c>
      <c r="K185" t="s">
        <v>405</v>
      </c>
    </row>
    <row r="186" spans="1:11">
      <c r="A186" t="s">
        <v>360</v>
      </c>
      <c r="K186" t="s">
        <v>406</v>
      </c>
    </row>
    <row r="187" spans="1:11">
      <c r="A187" t="s">
        <v>361</v>
      </c>
      <c r="K187" t="s">
        <v>407</v>
      </c>
    </row>
    <row r="188" spans="1:11">
      <c r="A188" t="s">
        <v>362</v>
      </c>
      <c r="K188" t="s">
        <v>342</v>
      </c>
    </row>
    <row r="189" spans="1:11">
      <c r="A189" t="s">
        <v>342</v>
      </c>
      <c r="K189" t="s">
        <v>408</v>
      </c>
    </row>
    <row r="190" spans="1:11">
      <c r="A190" t="s">
        <v>363</v>
      </c>
      <c r="K190" t="s">
        <v>364</v>
      </c>
    </row>
    <row r="191" spans="1:11">
      <c r="A191" t="s">
        <v>364</v>
      </c>
      <c r="K191" t="s">
        <v>409</v>
      </c>
    </row>
    <row r="192" spans="1:11">
      <c r="A192" t="s">
        <v>365</v>
      </c>
      <c r="K192" t="s">
        <v>366</v>
      </c>
    </row>
    <row r="193" spans="1:11">
      <c r="A193" t="s">
        <v>366</v>
      </c>
      <c r="K193" t="s">
        <v>410</v>
      </c>
    </row>
    <row r="194" spans="1:11">
      <c r="A194" t="s">
        <v>367</v>
      </c>
      <c r="K194" t="s">
        <v>433</v>
      </c>
    </row>
    <row r="195" spans="1:11">
      <c r="A195" t="s">
        <v>368</v>
      </c>
      <c r="K195" t="s">
        <v>344</v>
      </c>
    </row>
    <row r="196" spans="1:11">
      <c r="A196" t="s">
        <v>344</v>
      </c>
      <c r="K196" t="s">
        <v>412</v>
      </c>
    </row>
    <row r="197" spans="1:11">
      <c r="A197" t="s">
        <v>378</v>
      </c>
      <c r="K197" t="s">
        <v>413</v>
      </c>
    </row>
    <row r="198" spans="1:11">
      <c r="K198" t="s">
        <v>414</v>
      </c>
    </row>
    <row r="199" spans="1:11">
      <c r="K199" t="s">
        <v>415</v>
      </c>
    </row>
    <row r="200" spans="1:11">
      <c r="K200" t="s">
        <v>416</v>
      </c>
    </row>
    <row r="201" spans="1:11">
      <c r="K201" t="s">
        <v>417</v>
      </c>
    </row>
    <row r="202" spans="1:11">
      <c r="K202" t="s">
        <v>418</v>
      </c>
    </row>
    <row r="203" spans="1:11">
      <c r="K203" t="s">
        <v>419</v>
      </c>
    </row>
    <row r="204" spans="1:11">
      <c r="K204" t="s">
        <v>420</v>
      </c>
    </row>
    <row r="205" spans="1:11">
      <c r="K205" t="s">
        <v>421</v>
      </c>
    </row>
    <row r="206" spans="1:11">
      <c r="K206" t="s">
        <v>422</v>
      </c>
    </row>
    <row r="207" spans="1:11">
      <c r="K207" t="s">
        <v>423</v>
      </c>
    </row>
    <row r="208" spans="1:11">
      <c r="K208" t="s">
        <v>434</v>
      </c>
    </row>
    <row r="209" spans="11:11">
      <c r="K209" t="s">
        <v>370</v>
      </c>
    </row>
    <row r="210" spans="11:11">
      <c r="K210" t="s">
        <v>340</v>
      </c>
    </row>
    <row r="211" spans="11:11">
      <c r="K211" t="s">
        <v>399</v>
      </c>
    </row>
    <row r="212" spans="11:11">
      <c r="K212" t="s">
        <v>400</v>
      </c>
    </row>
    <row r="213" spans="11:11">
      <c r="K213" t="s">
        <v>401</v>
      </c>
    </row>
    <row r="214" spans="11:11">
      <c r="K214" t="s">
        <v>402</v>
      </c>
    </row>
    <row r="215" spans="11:11">
      <c r="K215" t="s">
        <v>403</v>
      </c>
    </row>
    <row r="216" spans="11:11">
      <c r="K216" t="s">
        <v>404</v>
      </c>
    </row>
    <row r="217" spans="11:11">
      <c r="K217" t="s">
        <v>405</v>
      </c>
    </row>
    <row r="218" spans="11:11">
      <c r="K218" t="s">
        <v>406</v>
      </c>
    </row>
    <row r="219" spans="11:11">
      <c r="K219" t="s">
        <v>407</v>
      </c>
    </row>
    <row r="220" spans="11:11">
      <c r="K220" t="s">
        <v>342</v>
      </c>
    </row>
    <row r="221" spans="11:11">
      <c r="K221" t="s">
        <v>408</v>
      </c>
    </row>
    <row r="222" spans="11:11">
      <c r="K222" t="s">
        <v>364</v>
      </c>
    </row>
    <row r="223" spans="11:11">
      <c r="K223" t="s">
        <v>409</v>
      </c>
    </row>
    <row r="224" spans="11:11">
      <c r="K224" t="s">
        <v>366</v>
      </c>
    </row>
    <row r="225" spans="11:11">
      <c r="K225" t="s">
        <v>410</v>
      </c>
    </row>
    <row r="226" spans="11:11">
      <c r="K226" t="s">
        <v>435</v>
      </c>
    </row>
    <row r="227" spans="11:11">
      <c r="K227" t="s">
        <v>344</v>
      </c>
    </row>
    <row r="228" spans="11:11">
      <c r="K228" t="s">
        <v>412</v>
      </c>
    </row>
    <row r="229" spans="11:11">
      <c r="K229" t="s">
        <v>413</v>
      </c>
    </row>
    <row r="230" spans="11:11">
      <c r="K230" t="s">
        <v>414</v>
      </c>
    </row>
    <row r="231" spans="11:11">
      <c r="K231" t="s">
        <v>415</v>
      </c>
    </row>
    <row r="232" spans="11:11">
      <c r="K232" t="s">
        <v>416</v>
      </c>
    </row>
    <row r="233" spans="11:11">
      <c r="K233" t="s">
        <v>417</v>
      </c>
    </row>
    <row r="234" spans="11:11">
      <c r="K234" t="s">
        <v>418</v>
      </c>
    </row>
    <row r="235" spans="11:11">
      <c r="K235" t="s">
        <v>419</v>
      </c>
    </row>
    <row r="236" spans="11:11">
      <c r="K236" t="s">
        <v>420</v>
      </c>
    </row>
    <row r="237" spans="11:11">
      <c r="K237" t="s">
        <v>421</v>
      </c>
    </row>
    <row r="238" spans="11:11">
      <c r="K238" t="s">
        <v>422</v>
      </c>
    </row>
    <row r="239" spans="11:11">
      <c r="K239" t="s">
        <v>423</v>
      </c>
    </row>
    <row r="240" spans="11:11">
      <c r="K240" t="s">
        <v>436</v>
      </c>
    </row>
    <row r="241" spans="11:11">
      <c r="K241" t="s">
        <v>370</v>
      </c>
    </row>
    <row r="242" spans="11:11">
      <c r="K242" t="s">
        <v>340</v>
      </c>
    </row>
    <row r="243" spans="11:11">
      <c r="K243" t="s">
        <v>399</v>
      </c>
    </row>
    <row r="244" spans="11:11">
      <c r="K244" t="s">
        <v>400</v>
      </c>
    </row>
    <row r="245" spans="11:11">
      <c r="K245" t="s">
        <v>401</v>
      </c>
    </row>
    <row r="246" spans="11:11">
      <c r="K246" t="s">
        <v>402</v>
      </c>
    </row>
    <row r="247" spans="11:11">
      <c r="K247" t="s">
        <v>403</v>
      </c>
    </row>
    <row r="248" spans="11:11">
      <c r="K248" t="s">
        <v>404</v>
      </c>
    </row>
    <row r="249" spans="11:11">
      <c r="K249" t="s">
        <v>405</v>
      </c>
    </row>
    <row r="250" spans="11:11">
      <c r="K250" t="s">
        <v>406</v>
      </c>
    </row>
    <row r="251" spans="11:11">
      <c r="K251" t="s">
        <v>407</v>
      </c>
    </row>
    <row r="252" spans="11:11">
      <c r="K252" t="s">
        <v>342</v>
      </c>
    </row>
    <row r="253" spans="11:11">
      <c r="K253" t="s">
        <v>408</v>
      </c>
    </row>
    <row r="254" spans="11:11">
      <c r="K254" t="s">
        <v>364</v>
      </c>
    </row>
    <row r="255" spans="11:11">
      <c r="K255" t="s">
        <v>409</v>
      </c>
    </row>
    <row r="256" spans="11:11">
      <c r="K256" t="s">
        <v>366</v>
      </c>
    </row>
    <row r="257" spans="11:11">
      <c r="K257" t="s">
        <v>410</v>
      </c>
    </row>
    <row r="258" spans="11:11">
      <c r="K258" t="s">
        <v>437</v>
      </c>
    </row>
    <row r="259" spans="11:11">
      <c r="K259" t="s">
        <v>344</v>
      </c>
    </row>
    <row r="260" spans="11:11">
      <c r="K260" t="s">
        <v>412</v>
      </c>
    </row>
    <row r="261" spans="11:11">
      <c r="K261" t="s">
        <v>413</v>
      </c>
    </row>
    <row r="262" spans="11:11">
      <c r="K262" t="s">
        <v>414</v>
      </c>
    </row>
    <row r="263" spans="11:11">
      <c r="K263" t="s">
        <v>415</v>
      </c>
    </row>
    <row r="264" spans="11:11">
      <c r="K264" t="s">
        <v>416</v>
      </c>
    </row>
    <row r="265" spans="11:11">
      <c r="K265" t="s">
        <v>417</v>
      </c>
    </row>
    <row r="266" spans="11:11">
      <c r="K266" t="s">
        <v>418</v>
      </c>
    </row>
    <row r="267" spans="11:11">
      <c r="K267" t="s">
        <v>419</v>
      </c>
    </row>
    <row r="268" spans="11:11">
      <c r="K268" t="s">
        <v>420</v>
      </c>
    </row>
    <row r="269" spans="11:11">
      <c r="K269" t="s">
        <v>421</v>
      </c>
    </row>
    <row r="270" spans="11:11">
      <c r="K270" t="s">
        <v>422</v>
      </c>
    </row>
    <row r="271" spans="11:11">
      <c r="K271" t="s">
        <v>423</v>
      </c>
    </row>
    <row r="272" spans="11:11">
      <c r="K272" t="s">
        <v>438</v>
      </c>
    </row>
    <row r="273" spans="11:11">
      <c r="K273" t="s">
        <v>370</v>
      </c>
    </row>
    <row r="274" spans="11:11">
      <c r="K274" t="s">
        <v>340</v>
      </c>
    </row>
    <row r="275" spans="11:11">
      <c r="K275" t="s">
        <v>399</v>
      </c>
    </row>
    <row r="276" spans="11:11">
      <c r="K276" t="s">
        <v>400</v>
      </c>
    </row>
    <row r="277" spans="11:11">
      <c r="K277" t="s">
        <v>401</v>
      </c>
    </row>
    <row r="278" spans="11:11">
      <c r="K278" t="s">
        <v>402</v>
      </c>
    </row>
    <row r="279" spans="11:11">
      <c r="K279" t="s">
        <v>403</v>
      </c>
    </row>
    <row r="280" spans="11:11">
      <c r="K280" t="s">
        <v>404</v>
      </c>
    </row>
    <row r="281" spans="11:11">
      <c r="K281" t="s">
        <v>405</v>
      </c>
    </row>
    <row r="282" spans="11:11">
      <c r="K282" t="s">
        <v>406</v>
      </c>
    </row>
    <row r="283" spans="11:11">
      <c r="K283" t="s">
        <v>407</v>
      </c>
    </row>
    <row r="284" spans="11:11">
      <c r="K284" t="s">
        <v>342</v>
      </c>
    </row>
    <row r="285" spans="11:11">
      <c r="K285" t="s">
        <v>408</v>
      </c>
    </row>
    <row r="286" spans="11:11">
      <c r="K286" t="s">
        <v>364</v>
      </c>
    </row>
    <row r="287" spans="11:11">
      <c r="K287" t="s">
        <v>409</v>
      </c>
    </row>
    <row r="288" spans="11:11">
      <c r="K288" t="s">
        <v>366</v>
      </c>
    </row>
    <row r="289" spans="11:11">
      <c r="K289" t="s">
        <v>410</v>
      </c>
    </row>
    <row r="290" spans="11:11">
      <c r="K290" t="s">
        <v>439</v>
      </c>
    </row>
    <row r="291" spans="11:11">
      <c r="K291" t="s">
        <v>344</v>
      </c>
    </row>
    <row r="292" spans="11:11">
      <c r="K292" t="s">
        <v>412</v>
      </c>
    </row>
    <row r="293" spans="11:11">
      <c r="K293" t="s">
        <v>413</v>
      </c>
    </row>
    <row r="294" spans="11:11">
      <c r="K294" t="s">
        <v>414</v>
      </c>
    </row>
    <row r="295" spans="11:11">
      <c r="K295" t="s">
        <v>415</v>
      </c>
    </row>
    <row r="296" spans="11:11">
      <c r="K296" t="s">
        <v>416</v>
      </c>
    </row>
    <row r="297" spans="11:11">
      <c r="K297" t="s">
        <v>417</v>
      </c>
    </row>
    <row r="298" spans="11:11">
      <c r="K298" t="s">
        <v>418</v>
      </c>
    </row>
    <row r="299" spans="11:11">
      <c r="K299" t="s">
        <v>419</v>
      </c>
    </row>
    <row r="300" spans="11:11">
      <c r="K300" t="s">
        <v>420</v>
      </c>
    </row>
    <row r="301" spans="11:11">
      <c r="K301" t="s">
        <v>421</v>
      </c>
    </row>
    <row r="302" spans="11:11">
      <c r="K302" t="s">
        <v>422</v>
      </c>
    </row>
    <row r="303" spans="11:11">
      <c r="K303" t="s">
        <v>423</v>
      </c>
    </row>
    <row r="304" spans="11:11">
      <c r="K304" t="s">
        <v>440</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6</vt:i4>
      </vt:variant>
    </vt:vector>
  </HeadingPairs>
  <TitlesOfParts>
    <vt:vector size="6" baseType="lpstr">
      <vt:lpstr>规则配置表</vt:lpstr>
      <vt:lpstr>规则条件表</vt:lpstr>
      <vt:lpstr>数据字典映射</vt:lpstr>
      <vt:lpstr>代码校验</vt:lpstr>
      <vt:lpstr>校验规则</vt:lpstr>
      <vt:lpstr>参考SQL</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2020-12-15T09:41:38Z</dcterms:modified>
</cp:coreProperties>
</file>